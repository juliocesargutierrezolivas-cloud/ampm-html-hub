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Marzo\"/>
    </mc:Choice>
  </mc:AlternateContent>
  <xr:revisionPtr revIDLastSave="154" documentId="13_ncr:1_{7F24D7A3-3F38-4B1D-B03E-3A3E84F65D75}" xr6:coauthVersionLast="36" xr6:coauthVersionMax="47" xr10:uidLastSave="{B496BAD1-41FC-440C-B7B7-6E29AEF0E2F8}"/>
  <bookViews>
    <workbookView xWindow="-105" yWindow="-105" windowWidth="23250" windowHeight="12450" tabRatio="789" activeTab="3" xr2:uid="{00000000-000D-0000-FFFF-FFFF00000000}"/>
  </bookViews>
  <sheets>
    <sheet name="Resumen" sheetId="42" r:id="rId1"/>
    <sheet name="Mantenimiento" sheetId="14" r:id="rId2"/>
    <sheet name="BD" sheetId="275" r:id="rId3"/>
    <sheet name="Detallado" sheetId="56" r:id="rId4"/>
    <sheet name="Hoja1" sheetId="276" state="hidden" r:id="rId5"/>
  </sheets>
  <definedNames>
    <definedName name="_xlnm._FilterDatabase" localSheetId="4" hidden="1">Hoja1!$A$1:$V$13</definedName>
    <definedName name="_xlnm._FilterDatabase" localSheetId="1" hidden="1">Mantenimiento!$A$18:$CU$24</definedName>
    <definedName name="_xlnm._FilterDatabase" localSheetId="0" hidden="1">Resumen!$A$2:$D$2</definedName>
  </definedNames>
  <calcPr calcId="191029"/>
  <pivotCaches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P33" i="14" l="1"/>
  <c r="CO3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CT33" i="14" s="1"/>
  <c r="F33" i="14"/>
  <c r="E33" i="14"/>
  <c r="D33" i="14"/>
  <c r="C33" i="14"/>
  <c r="CP32" i="14"/>
  <c r="CO32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CT32" i="14" s="1"/>
  <c r="F32" i="14"/>
  <c r="E32" i="14"/>
  <c r="D32" i="14"/>
  <c r="C32" i="14"/>
  <c r="CU32" i="14" s="1"/>
  <c r="CP31" i="14"/>
  <c r="CO31" i="14"/>
  <c r="CN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CR31" i="14" s="1"/>
  <c r="N31" i="14"/>
  <c r="M31" i="14"/>
  <c r="L31" i="14"/>
  <c r="K31" i="14"/>
  <c r="J31" i="14"/>
  <c r="I31" i="14"/>
  <c r="H31" i="14"/>
  <c r="G31" i="14"/>
  <c r="CT31" i="14" s="1"/>
  <c r="F31" i="14"/>
  <c r="E31" i="14"/>
  <c r="D31" i="14"/>
  <c r="C31" i="14"/>
  <c r="CU31" i="14" s="1"/>
  <c r="CP30" i="14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CR30" i="14" s="1"/>
  <c r="J30" i="14"/>
  <c r="I30" i="14"/>
  <c r="H30" i="14"/>
  <c r="G30" i="14"/>
  <c r="F30" i="14"/>
  <c r="E30" i="14"/>
  <c r="D30" i="14"/>
  <c r="C30" i="14"/>
  <c r="CU30" i="14" s="1"/>
  <c r="CP29" i="14"/>
  <c r="CP34" i="14" s="1"/>
  <c r="CO29" i="14"/>
  <c r="CO34" i="14" s="1"/>
  <c r="CN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CT29" i="14" s="1"/>
  <c r="F29" i="14"/>
  <c r="E29" i="14"/>
  <c r="D29" i="14"/>
  <c r="C29" i="14"/>
  <c r="B33" i="14"/>
  <c r="B32" i="14"/>
  <c r="CS32" i="14" s="1"/>
  <c r="B31" i="14"/>
  <c r="B30" i="14"/>
  <c r="CS30" i="14" s="1"/>
  <c r="CU33" i="14"/>
  <c r="CT30" i="14"/>
  <c r="CU29" i="14"/>
  <c r="CU23" i="14"/>
  <c r="CT23" i="14"/>
  <c r="CS23" i="14"/>
  <c r="CR23" i="14"/>
  <c r="CU22" i="14"/>
  <c r="CT22" i="14"/>
  <c r="CS22" i="14"/>
  <c r="CR22" i="14"/>
  <c r="CU21" i="14"/>
  <c r="CT21" i="14"/>
  <c r="CS21" i="14"/>
  <c r="CR21" i="14"/>
  <c r="CU20" i="14"/>
  <c r="CT20" i="14"/>
  <c r="CS20" i="14"/>
  <c r="CR20" i="14"/>
  <c r="CU19" i="14"/>
  <c r="CT19" i="14"/>
  <c r="CS19" i="14"/>
  <c r="CR19" i="14"/>
  <c r="CU11" i="14"/>
  <c r="CT11" i="14"/>
  <c r="CS11" i="14"/>
  <c r="CR11" i="14"/>
  <c r="CU10" i="14"/>
  <c r="CT10" i="14"/>
  <c r="CS10" i="14"/>
  <c r="CR10" i="14"/>
  <c r="CU9" i="14"/>
  <c r="CT9" i="14"/>
  <c r="CS9" i="14"/>
  <c r="CR9" i="14"/>
  <c r="CU8" i="14"/>
  <c r="CT8" i="14"/>
  <c r="CS8" i="14"/>
  <c r="CR8" i="14"/>
  <c r="CQ24" i="14"/>
  <c r="CP24" i="14"/>
  <c r="CO24" i="14"/>
  <c r="CQ23" i="14"/>
  <c r="CQ22" i="14"/>
  <c r="CQ21" i="14"/>
  <c r="CQ20" i="14"/>
  <c r="CQ19" i="14"/>
  <c r="CR7" i="14"/>
  <c r="CS7" i="14"/>
  <c r="CU7" i="14"/>
  <c r="CT7" i="14"/>
  <c r="CR29" i="14" l="1"/>
  <c r="CR33" i="14"/>
  <c r="CR32" i="14"/>
  <c r="CS31" i="14"/>
  <c r="CS33" i="14"/>
  <c r="B29" i="14"/>
  <c r="CS29" i="14" s="1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Q31" i="14" l="1"/>
  <c r="CQ29" i="14"/>
  <c r="CQ30" i="14"/>
  <c r="CQ32" i="14"/>
  <c r="CQ33" i="14"/>
  <c r="H34" i="14"/>
  <c r="T34" i="14"/>
  <c r="AF34" i="14"/>
  <c r="AR34" i="14"/>
  <c r="BD34" i="14"/>
  <c r="BP34" i="14"/>
  <c r="CB34" i="14"/>
  <c r="CN34" i="14"/>
  <c r="CS24" i="14"/>
  <c r="C34" i="14"/>
  <c r="O34" i="14"/>
  <c r="AM34" i="14"/>
  <c r="BK34" i="14"/>
  <c r="BW34" i="14"/>
  <c r="CI34" i="14"/>
  <c r="I34" i="14"/>
  <c r="U34" i="14"/>
  <c r="AG34" i="14"/>
  <c r="AS34" i="14"/>
  <c r="BE34" i="14"/>
  <c r="BQ34" i="14"/>
  <c r="CC34" i="14"/>
  <c r="AY34" i="14"/>
  <c r="D34" i="14"/>
  <c r="P34" i="14"/>
  <c r="AB34" i="14"/>
  <c r="AN34" i="14"/>
  <c r="AZ34" i="14"/>
  <c r="BL34" i="14"/>
  <c r="BX34" i="14"/>
  <c r="CJ34" i="14"/>
  <c r="J34" i="14"/>
  <c r="V34" i="14"/>
  <c r="AH34" i="14"/>
  <c r="AT34" i="14"/>
  <c r="BF34" i="14"/>
  <c r="BR34" i="14"/>
  <c r="CD34" i="14"/>
  <c r="AA34" i="14"/>
  <c r="E34" i="14"/>
  <c r="Q34" i="14"/>
  <c r="AC34" i="14"/>
  <c r="AO34" i="14"/>
  <c r="BA34" i="14"/>
  <c r="BM34" i="14"/>
  <c r="BY34" i="14"/>
  <c r="CK34" i="14"/>
  <c r="K34" i="14"/>
  <c r="W34" i="14"/>
  <c r="AI34" i="14"/>
  <c r="AU34" i="14"/>
  <c r="BG34" i="14"/>
  <c r="BS34" i="14"/>
  <c r="CE34" i="14"/>
  <c r="F34" i="14"/>
  <c r="R34" i="14"/>
  <c r="AD34" i="14"/>
  <c r="AP34" i="14"/>
  <c r="BB34" i="14"/>
  <c r="BN34" i="14"/>
  <c r="BZ34" i="14"/>
  <c r="CL34" i="14"/>
  <c r="L34" i="14"/>
  <c r="X34" i="14"/>
  <c r="AJ34" i="14"/>
  <c r="AV34" i="14"/>
  <c r="BH34" i="14"/>
  <c r="BT34" i="14"/>
  <c r="CF34" i="14"/>
  <c r="G34" i="14"/>
  <c r="S34" i="14"/>
  <c r="AE34" i="14"/>
  <c r="AQ34" i="14"/>
  <c r="BC34" i="14"/>
  <c r="BO34" i="14"/>
  <c r="CA34" i="14"/>
  <c r="CM34" i="14"/>
  <c r="M34" i="14"/>
  <c r="Y34" i="14"/>
  <c r="AK34" i="14"/>
  <c r="AW34" i="14"/>
  <c r="BI34" i="14"/>
  <c r="BU34" i="14"/>
  <c r="CG34" i="14"/>
  <c r="N34" i="14"/>
  <c r="Z34" i="14"/>
  <c r="AL34" i="14"/>
  <c r="AX34" i="14"/>
  <c r="BJ34" i="14"/>
  <c r="BV34" i="14"/>
  <c r="CH34" i="14"/>
  <c r="CR24" i="14"/>
  <c r="CT24" i="14"/>
  <c r="CS12" i="14"/>
  <c r="CT12" i="14"/>
  <c r="B34" i="14"/>
  <c r="CT34" i="14"/>
  <c r="CR12" i="14"/>
  <c r="CQ34" i="14" l="1"/>
  <c r="CS34" i="14"/>
  <c r="CR34" i="14"/>
  <c r="CU12" i="14"/>
  <c r="CS13" i="14" s="1"/>
  <c r="CU34" i="14"/>
  <c r="CS36" i="14" l="1"/>
  <c r="H13" i="276"/>
  <c r="H12" i="276"/>
  <c r="H11" i="276"/>
  <c r="H10" i="276"/>
  <c r="H9" i="276"/>
  <c r="H8" i="276"/>
  <c r="H7" i="276"/>
  <c r="H6" i="276"/>
  <c r="H5" i="276"/>
  <c r="H4" i="276"/>
  <c r="H3" i="276"/>
  <c r="H2" i="276"/>
  <c r="CU24" i="14" l="1"/>
  <c r="CS25" i="14" s="1"/>
  <c r="C3" i="42"/>
  <c r="B3" i="42" l="1"/>
  <c r="D3" i="42" s="1"/>
  <c r="D4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Mickey Ampié</author>
  </authors>
  <commentList>
    <comment ref="H2" authorId="0" shapeId="0" xr:uid="{F3F317FB-0BE0-4D04-AA40-D6DE68FFC782}">
      <text>
        <r>
          <rPr>
            <b/>
            <sz val="9"/>
            <color indexed="81"/>
            <rFont val="Tahoma"/>
            <family val="2"/>
          </rPr>
          <t>Mickey Ampié: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<sst xmlns="http://schemas.openxmlformats.org/spreadsheetml/2006/main" count="4699" uniqueCount="942">
  <si>
    <t>Etiquetas de columna</t>
  </si>
  <si>
    <t>Etiquetas de fila</t>
  </si>
  <si>
    <t>Total general</t>
  </si>
  <si>
    <t>ADMINISTRACION</t>
  </si>
  <si>
    <t>OPERACIONES</t>
  </si>
  <si>
    <t>TIENDA-07</t>
  </si>
  <si>
    <t>TIENDA-09</t>
  </si>
  <si>
    <t>TIENDA-13</t>
  </si>
  <si>
    <t>TIENDA-18</t>
  </si>
  <si>
    <t>TIENDA-27</t>
  </si>
  <si>
    <t>TIENDA-30</t>
  </si>
  <si>
    <t xml:space="preserve">Total </t>
  </si>
  <si>
    <t>Manten Preventivo</t>
  </si>
  <si>
    <t>Materiales Ferreteros</t>
  </si>
  <si>
    <t>Reparacion en tienda</t>
  </si>
  <si>
    <t xml:space="preserve">DIFERENCIA </t>
  </si>
  <si>
    <t xml:space="preserve">Detalle </t>
  </si>
  <si>
    <t xml:space="preserve">Presupuesto </t>
  </si>
  <si>
    <t xml:space="preserve">Mantenimiento </t>
  </si>
  <si>
    <t xml:space="preserve">Diferencias </t>
  </si>
  <si>
    <t xml:space="preserve">EEFF </t>
  </si>
  <si>
    <t>TIENDA-37</t>
  </si>
  <si>
    <t>TIENDA-41</t>
  </si>
  <si>
    <t>FECHA</t>
  </si>
  <si>
    <t>Suma de Saldo</t>
  </si>
  <si>
    <t>Equipos computos</t>
  </si>
  <si>
    <t>TIENDA-12</t>
  </si>
  <si>
    <t>TIENDA-34</t>
  </si>
  <si>
    <t>TIENDA-01</t>
  </si>
  <si>
    <t>TIENDA-03</t>
  </si>
  <si>
    <t>TIENDA-15</t>
  </si>
  <si>
    <t>TIENDA-16</t>
  </si>
  <si>
    <t>TIENDA-20</t>
  </si>
  <si>
    <t>TIENDA-23</t>
  </si>
  <si>
    <t>TIENDA-25</t>
  </si>
  <si>
    <t>TIENDA-26</t>
  </si>
  <si>
    <t>TIENDA-28</t>
  </si>
  <si>
    <t>TIENDA-29</t>
  </si>
  <si>
    <t>TIENDA-33</t>
  </si>
  <si>
    <t>TIENDA-35</t>
  </si>
  <si>
    <t>TIENDA-36</t>
  </si>
  <si>
    <t>TIENDA-38</t>
  </si>
  <si>
    <t>CEDI</t>
  </si>
  <si>
    <t>PANADERIA</t>
  </si>
  <si>
    <t>TIENDA-02</t>
  </si>
  <si>
    <t>TIENDA-05</t>
  </si>
  <si>
    <t>TIENDA-08</t>
  </si>
  <si>
    <t>TIENDA-14</t>
  </si>
  <si>
    <t>TIENDA-19</t>
  </si>
  <si>
    <t>TIENDA-21</t>
  </si>
  <si>
    <t>TIENDA-32</t>
  </si>
  <si>
    <t>TIENDA-42</t>
  </si>
  <si>
    <t>TIENDA-43</t>
  </si>
  <si>
    <t>TIENDA-44</t>
  </si>
  <si>
    <t>TIENDA-06</t>
  </si>
  <si>
    <t>TIENDA-39</t>
  </si>
  <si>
    <t>TIENDA-04</t>
  </si>
  <si>
    <t>TIENDA-45</t>
  </si>
  <si>
    <t>TIENDA-47</t>
  </si>
  <si>
    <t>TIENDA-48</t>
  </si>
  <si>
    <t>TIENDA-46</t>
  </si>
  <si>
    <t>Mantenimiento Correctivo</t>
  </si>
  <si>
    <t>TIENDA-31</t>
  </si>
  <si>
    <t>TIENDA-40</t>
  </si>
  <si>
    <t>TIENDA-53</t>
  </si>
  <si>
    <t>TIENDA-50</t>
  </si>
  <si>
    <t>TIENDA-51</t>
  </si>
  <si>
    <t>TIENDA-52</t>
  </si>
  <si>
    <t>TIENDA-54</t>
  </si>
  <si>
    <t xml:space="preserve">GASTOS PROMEDIO CORDOBAS </t>
  </si>
  <si>
    <t>Tiendas</t>
  </si>
  <si>
    <t>Back Office</t>
  </si>
  <si>
    <t xml:space="preserve">Panaderia </t>
  </si>
  <si>
    <t>Cedi</t>
  </si>
  <si>
    <t>TIENDA-55</t>
  </si>
  <si>
    <t>TIENDA-56</t>
  </si>
  <si>
    <t>NOMBRE</t>
  </si>
  <si>
    <t>Total Difer.</t>
  </si>
  <si>
    <t>CUENTA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</si>
  <si>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</si>
  <si>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</si>
  <si>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</si>
  <si>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</si>
  <si>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</si>
  <si>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</si>
  <si>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</si>
  <si>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</si>
  <si>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</si>
  <si>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</si>
  <si>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</si>
  <si>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</si>
  <si>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</si>
  <si>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</si>
  <si>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</si>
  <si>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06-10-008-002</t>
  </si>
  <si>
    <t/>
  </si>
  <si>
    <t>Reparación y Mantenimiento de Rotulos</t>
  </si>
  <si>
    <t>06-10-008-003</t>
  </si>
  <si>
    <t>AMPM03</t>
  </si>
  <si>
    <t>AMPM16</t>
  </si>
  <si>
    <t>AMPM30</t>
  </si>
  <si>
    <t>AMPM18</t>
  </si>
  <si>
    <t>06-10-008-004</t>
  </si>
  <si>
    <t>06-10-008-001</t>
  </si>
  <si>
    <t>AMPM06</t>
  </si>
  <si>
    <t>AMPM52</t>
  </si>
  <si>
    <t>06-10-008-005</t>
  </si>
  <si>
    <t>TIENDA-57</t>
  </si>
  <si>
    <t>Suma de SALDO</t>
  </si>
  <si>
    <t>xmaltez</t>
  </si>
  <si>
    <t>TIENDA-58</t>
  </si>
  <si>
    <t>TIENDA-49</t>
  </si>
  <si>
    <t>(Todas)</t>
  </si>
  <si>
    <t>TIENDA-10</t>
  </si>
  <si>
    <t>PDA</t>
  </si>
  <si>
    <t>TIENDA-59</t>
  </si>
  <si>
    <t>MONITOREO</t>
  </si>
  <si>
    <t>TIENDA-60</t>
  </si>
  <si>
    <t>TIENDA-61</t>
  </si>
  <si>
    <t>TIENDA-62</t>
  </si>
  <si>
    <t>TIENDA-63</t>
  </si>
  <si>
    <t>MERCADEO</t>
  </si>
  <si>
    <t>TIENDA-64</t>
  </si>
  <si>
    <t>TIENDA-65</t>
  </si>
  <si>
    <t>TIENDA-66</t>
  </si>
  <si>
    <t>TIENDA-67</t>
  </si>
  <si>
    <t>kduarte</t>
  </si>
  <si>
    <t>TIENDA-68</t>
  </si>
  <si>
    <t>TIENDA-69</t>
  </si>
  <si>
    <t>TIENDA-70</t>
  </si>
  <si>
    <t>TIENDA-71</t>
  </si>
  <si>
    <t>TIENDA-72</t>
  </si>
  <si>
    <t>AMPM72</t>
  </si>
  <si>
    <t>jmurillo</t>
  </si>
  <si>
    <t>TIENDA-73</t>
  </si>
  <si>
    <t>AMPM34</t>
  </si>
  <si>
    <t>TIENDA-74</t>
  </si>
  <si>
    <t>TIENDA-75</t>
  </si>
  <si>
    <t>INSTA DE PUERTA JINOTEP A52</t>
  </si>
  <si>
    <t>PUERTA FIBRAN A52</t>
  </si>
  <si>
    <t>PMTRX00056359</t>
  </si>
  <si>
    <t>MT EN TIENDA A16 VIEJO</t>
  </si>
  <si>
    <t>PINTURA LATEX OPTIMA,FELPA</t>
  </si>
  <si>
    <t>PMTRX00056503</t>
  </si>
  <si>
    <t>LIMPIEZA MODULO A16 VIEJO</t>
  </si>
  <si>
    <t>SERV LIMPIEZA PISO A16</t>
  </si>
  <si>
    <t>T34L7565</t>
  </si>
  <si>
    <t>DISCOMOVIL</t>
  </si>
  <si>
    <t>GLTRX00545901</t>
  </si>
  <si>
    <t>MT EN TIENDA JALAPA</t>
  </si>
  <si>
    <t>RAMPA DE 1.20MT X 1.20MT</t>
  </si>
  <si>
    <t>PINTURA DE LINEAS PARA PARQUEO</t>
  </si>
  <si>
    <t>RAMPA DE 1MT X 0.5 MT</t>
  </si>
  <si>
    <t>suministro extinguidores A18</t>
  </si>
  <si>
    <t>manometro para extinguidor</t>
  </si>
  <si>
    <t>PMTRX00056529</t>
  </si>
  <si>
    <t>T06L15213</t>
  </si>
  <si>
    <t>INSTALACION MI BANKITO</t>
  </si>
  <si>
    <t>GLTRX00546676</t>
  </si>
  <si>
    <t>Forro Pared Food service Tiend</t>
  </si>
  <si>
    <t>FORO PARED FOOD SERVICE LA FAM</t>
  </si>
  <si>
    <t>PMTRX00056723</t>
  </si>
  <si>
    <t>FORRO PARED FOOD SERVICE MASAY</t>
  </si>
  <si>
    <t>FORRO PARED FOOD SERVICE NANDA</t>
  </si>
  <si>
    <t xml:space="preserve">Factura </t>
  </si>
  <si>
    <t xml:space="preserve">U$ </t>
  </si>
  <si>
    <t xml:space="preserve">Payouts mercadeo no lo acepto </t>
  </si>
  <si>
    <t xml:space="preserve">A06- Jesus </t>
  </si>
  <si>
    <t xml:space="preserve">Anticipo de activo </t>
  </si>
  <si>
    <t xml:space="preserve">Traslado de Sctivo Construccion de Rampla Jalapa </t>
  </si>
  <si>
    <t xml:space="preserve">Traslado de Activo Muebles Food Service </t>
  </si>
  <si>
    <t>Detalle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</si>
  <si>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</si>
  <si>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</si>
  <si>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</si>
  <si>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</si>
  <si>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</si>
  <si>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</si>
  <si>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</si>
  <si>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</si>
  <si>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</si>
  <si>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</si>
  <si>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</si>
  <si>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jlopez</t>
  </si>
  <si>
    <t>TIENDA-87</t>
  </si>
  <si>
    <t>TIENDA-88</t>
  </si>
  <si>
    <t>AMPM05</t>
  </si>
  <si>
    <t>TIENDA-89</t>
  </si>
  <si>
    <t>AMPM29</t>
  </si>
  <si>
    <t>PANADE</t>
  </si>
  <si>
    <t>AMPM19</t>
  </si>
  <si>
    <t>AMPM02</t>
  </si>
  <si>
    <t>ADMON</t>
  </si>
  <si>
    <t>AMPM23</t>
  </si>
  <si>
    <t>AMPM73</t>
  </si>
  <si>
    <t>AMPM25</t>
  </si>
  <si>
    <t>AMPM46</t>
  </si>
  <si>
    <t>AMPM85</t>
  </si>
  <si>
    <t>jgonzalez</t>
  </si>
  <si>
    <t>AMPM21</t>
  </si>
  <si>
    <t>PG MDO FREDDY ESP.</t>
  </si>
  <si>
    <t>AMPM15</t>
  </si>
  <si>
    <t>AMPM04</t>
  </si>
  <si>
    <t>AMPM63</t>
  </si>
  <si>
    <t>AMPM77</t>
  </si>
  <si>
    <t>AMPM37</t>
  </si>
  <si>
    <t>AMPM55</t>
  </si>
  <si>
    <t>LEDSOLUTIONS Nicaragua</t>
  </si>
  <si>
    <t>Transfrmador Interior Generico</t>
  </si>
  <si>
    <t>GLTRX00946637</t>
  </si>
  <si>
    <t>Trasl planta A43 a A19</t>
  </si>
  <si>
    <t>CMTRX00017015</t>
  </si>
  <si>
    <t>PG CK 21623 MDO</t>
  </si>
  <si>
    <t>Revision paneles Ele A25</t>
  </si>
  <si>
    <t>CMTRX00017009</t>
  </si>
  <si>
    <t>Rep filtro agua y cielo A34</t>
  </si>
  <si>
    <t>PG MANT FREDDY ESP</t>
  </si>
  <si>
    <t>Rp filtra agua canal,techo A34</t>
  </si>
  <si>
    <t>CMTRX00017003</t>
  </si>
  <si>
    <t>Punt elec bankito A37</t>
  </si>
  <si>
    <t>Desint inodoro y sondeo A46</t>
  </si>
  <si>
    <t>PG MANT ALEXANDER</t>
  </si>
  <si>
    <t>cam ojos buey, bombillas, A55</t>
  </si>
  <si>
    <t>Desint rotulos carretera A63</t>
  </si>
  <si>
    <t>Limp geral, poda y basura A73</t>
  </si>
  <si>
    <t>MOVIMIENTO CF+AA AMPM06</t>
  </si>
  <si>
    <t>TUBO CUADRADO, SOLDADURA</t>
  </si>
  <si>
    <t>crivera</t>
  </si>
  <si>
    <t>PMTRX00084374</t>
  </si>
  <si>
    <t>INSUMOS VARIOS</t>
  </si>
  <si>
    <t>SUMINISTRO CABLE</t>
  </si>
  <si>
    <t>REFRIGERANTE AA A06</t>
  </si>
  <si>
    <t>MAN OBRA+INST CF/AIRES</t>
  </si>
  <si>
    <t>SUMINI REFRIGERANTE CF A6</t>
  </si>
  <si>
    <t>TUBERIA Y ARMAFLEX</t>
  </si>
  <si>
    <t>MANT PREVENTIVO IMPRESORA-ADM</t>
  </si>
  <si>
    <t>PMTRX00084221</t>
  </si>
  <si>
    <t>MANT PREVENTIVO IMPRESORA-SIST</t>
  </si>
  <si>
    <t>MANT PREVENTIVO IMPRESORA A18</t>
  </si>
  <si>
    <t>MANT PREVENTIVO IMPRESORA A25</t>
  </si>
  <si>
    <t>Cargador Dell-MERCADEO</t>
  </si>
  <si>
    <t>AMAZON MARK* BP6MY6MA2</t>
  </si>
  <si>
    <t>Equipos Computos-SISTEMAS</t>
  </si>
  <si>
    <t>GLTRX00951225</t>
  </si>
  <si>
    <t>Importacion Equipos-SISTEMAS</t>
  </si>
  <si>
    <t>PMTRX00084376</t>
  </si>
  <si>
    <t>Kit Inalambrico PANADE</t>
  </si>
  <si>
    <t>REPARACIONES DE CAMARAS</t>
  </si>
  <si>
    <t>Reparacion de Camaras A02</t>
  </si>
  <si>
    <t>Reparacion de Camaras A03</t>
  </si>
  <si>
    <t>Reparacion de Camaras A04</t>
  </si>
  <si>
    <t>Bateria Interna A05</t>
  </si>
  <si>
    <t>Reparacion de Camaras A15</t>
  </si>
  <si>
    <t>Inst Cableado-Programacion A19</t>
  </si>
  <si>
    <t>Suministro de cables A21</t>
  </si>
  <si>
    <t>Reparacion de Camaras A23</t>
  </si>
  <si>
    <t>Reparacion de Camaras A29</t>
  </si>
  <si>
    <t>Cargador Dell-A77</t>
  </si>
  <si>
    <t>Reparacion de Camaras A85</t>
  </si>
  <si>
    <t>06-10-006-010</t>
  </si>
  <si>
    <t>AMPM27</t>
  </si>
  <si>
    <t>DESINTALACION DE LLAVES A27</t>
  </si>
  <si>
    <t>DESINTALACION LLAVES A27</t>
  </si>
  <si>
    <t>PMTRX00084826</t>
  </si>
  <si>
    <t>MT ROTULO T EN AMPM52</t>
  </si>
  <si>
    <t>MATENIMIENTO ROTULO/ SERV GRUA</t>
  </si>
  <si>
    <t>AMPM79</t>
  </si>
  <si>
    <t>DESINTA FASCIA AMPM79</t>
  </si>
  <si>
    <t>SERV DESINTA FASCIA LATERAL</t>
  </si>
  <si>
    <t>SINSA/ MT ARCHIVO-DIONIS</t>
  </si>
  <si>
    <t>ROTULO EXTINTOR+ABANICO ARCHIV</t>
  </si>
  <si>
    <t>GLTRX00956709</t>
  </si>
  <si>
    <t>SINSA/MT TIENDAS-DIONIS</t>
  </si>
  <si>
    <t>ESCALERA TIJERA ADMON</t>
  </si>
  <si>
    <t>GLTRX00955853</t>
  </si>
  <si>
    <t>AMPM99</t>
  </si>
  <si>
    <t>LUMINARIA PANEL LED CELOXA</t>
  </si>
  <si>
    <t>MT EN TIENDA- MONITOREO</t>
  </si>
  <si>
    <t>LIMPIEZA+PINTURA/ MONITOREO</t>
  </si>
  <si>
    <t>PMTRX00084831</t>
  </si>
  <si>
    <t>SINSA/ DIONIS</t>
  </si>
  <si>
    <t>KIT INODORO</t>
  </si>
  <si>
    <t>MT HIDROSANITARIO PANADERIA</t>
  </si>
  <si>
    <t>DISTNICA/MT PANADE-DIONIS</t>
  </si>
  <si>
    <t>DISPENSADOR PAPEL TOALLA PANAD</t>
  </si>
  <si>
    <t>SINSA/ MT PANADERIA- DIONIS</t>
  </si>
  <si>
    <t>MANGUERA-LUMNARIA LED-PANADE</t>
  </si>
  <si>
    <t>MT EN TIENDAS</t>
  </si>
  <si>
    <t>MT EN LIJADO TAPA INFERIOR A4</t>
  </si>
  <si>
    <t>PMTRX00084828</t>
  </si>
  <si>
    <t>MT MOPI A05 LIJADO Y PINTURA</t>
  </si>
  <si>
    <t>MT EN TIENDA A05</t>
  </si>
  <si>
    <t>CAMBIO PUERTA QUEBRADA+VISAGRA</t>
  </si>
  <si>
    <t>MT MOPI A6 LIJADO Y PINTURA</t>
  </si>
  <si>
    <t>AMPM08</t>
  </si>
  <si>
    <t>ECONOMART/A08-DIONIS</t>
  </si>
  <si>
    <t>COJINETE+CONTROL INFI A08</t>
  </si>
  <si>
    <t>SINSA-MT A08-DIONIS</t>
  </si>
  <si>
    <t>TORNILLO TANQUE A08</t>
  </si>
  <si>
    <t>SINSA-MT TIENDA A08-DIONIS</t>
  </si>
  <si>
    <t>TRAMPA LAVAMANO+BISAGRA</t>
  </si>
  <si>
    <t>GLTRX00956704</t>
  </si>
  <si>
    <t>AMPM13</t>
  </si>
  <si>
    <t>MT MOPI A13 LIJADO-PINTURA</t>
  </si>
  <si>
    <t>MT EN TIENDA A13</t>
  </si>
  <si>
    <t>MT PUERTA+VISAGRA A13</t>
  </si>
  <si>
    <t>AMPM14</t>
  </si>
  <si>
    <t>SINSA-MT TIENDA A14-DIONIS</t>
  </si>
  <si>
    <t>BOMBILLO LED A14</t>
  </si>
  <si>
    <t>MT MOPI A16 LIJADO Y PINTURA</t>
  </si>
  <si>
    <t>MT MOPI A18 LIJADO Y PINTURA</t>
  </si>
  <si>
    <t>OFICE SITE-MT A18-52-DIONIS</t>
  </si>
  <si>
    <t>SILLAS CAJERO A18</t>
  </si>
  <si>
    <t>MT MOPI A19 LIJADO Y PINTURA</t>
  </si>
  <si>
    <t>AMPM20</t>
  </si>
  <si>
    <t>DISTNICA/MT TIENDAS+DIONIS</t>
  </si>
  <si>
    <t>DISPENSADOR PAPEL A20</t>
  </si>
  <si>
    <t>ASIENTO SANITARIO A20</t>
  </si>
  <si>
    <t>MT EN TIENDA A21</t>
  </si>
  <si>
    <t>MT HIDROSANITARIO A21</t>
  </si>
  <si>
    <t>Retiro Piezas Smartcash A21</t>
  </si>
  <si>
    <t>PMTRX00084810</t>
  </si>
  <si>
    <t>FERRETERIA ALGUERA/MT A21 DI</t>
  </si>
  <si>
    <t>SILICON A21</t>
  </si>
  <si>
    <t>AMPM26</t>
  </si>
  <si>
    <t>Inst Puerta Melamina A26</t>
  </si>
  <si>
    <t>PMTRX00084801</t>
  </si>
  <si>
    <t>DISPENSADOR JABON A27</t>
  </si>
  <si>
    <t>AMPM32</t>
  </si>
  <si>
    <t>SERV TAPIZADO A32</t>
  </si>
  <si>
    <t>SERV TAPIZADO 2 SILLAS A32</t>
  </si>
  <si>
    <t>AMPM33</t>
  </si>
  <si>
    <t>MT EN TIENDA A33</t>
  </si>
  <si>
    <t>AJUSTE PUERTA ALUMINIO Y VIDRI</t>
  </si>
  <si>
    <t>AMPM38</t>
  </si>
  <si>
    <t>BISAGRA DE PRESION A38</t>
  </si>
  <si>
    <t>AMPM39</t>
  </si>
  <si>
    <t>MT HIDROSANITARIO A39</t>
  </si>
  <si>
    <t>AMPM41</t>
  </si>
  <si>
    <t>SINSA-MT TIENDA A41-DIONIS</t>
  </si>
  <si>
    <t>LLAVE CHORO-DAPTADOR A41</t>
  </si>
  <si>
    <t>AMPM49</t>
  </si>
  <si>
    <t>LUMINARIA LED A49</t>
  </si>
  <si>
    <t>SILLAS CAJERO A52</t>
  </si>
  <si>
    <t>AMPM58</t>
  </si>
  <si>
    <t>LUMINARIA LED A58</t>
  </si>
  <si>
    <t>AMPM66</t>
  </si>
  <si>
    <t>MB EMPOTRADO A66</t>
  </si>
  <si>
    <t>DESINTA Y TRASLADO MB A66</t>
  </si>
  <si>
    <t>PMTRX00084868</t>
  </si>
  <si>
    <t>AMPM67</t>
  </si>
  <si>
    <t>MT EN TIENDA A67</t>
  </si>
  <si>
    <t>CAMBIO 3 VIDRIOS FACHADA A67</t>
  </si>
  <si>
    <t>AMPM70</t>
  </si>
  <si>
    <t>MT EN TIENDA A70</t>
  </si>
  <si>
    <t>PARED GYPSUM+PINTURA+PUERTA</t>
  </si>
  <si>
    <t>REPARACION PUERTA A77</t>
  </si>
  <si>
    <t>REPARACION PUERTA+FUGA DE AGUA</t>
  </si>
  <si>
    <t>DISPEN JABON+PAP A77</t>
  </si>
  <si>
    <t>ESCALERA TIJERA A77</t>
  </si>
  <si>
    <t>AMPM78</t>
  </si>
  <si>
    <t>SINSA/MT A78- DIONIS</t>
  </si>
  <si>
    <t>CERADURA+DISPENSADOR JABON A78</t>
  </si>
  <si>
    <t>DISPE JABON+PAPEL A78</t>
  </si>
  <si>
    <t>CIERRA PUERTA A78</t>
  </si>
  <si>
    <t>AMPM80</t>
  </si>
  <si>
    <t>MT EN TIENDA A80</t>
  </si>
  <si>
    <t>CAMIO VIDRIO PUERTA A80</t>
  </si>
  <si>
    <t>MT EQUIPO EN TIENDA A29</t>
  </si>
  <si>
    <t>EVAPORADOR DIFUSOR A29</t>
  </si>
  <si>
    <t>PMTRX00085248</t>
  </si>
  <si>
    <t>MT EQUIPO EN TIENDA A46</t>
  </si>
  <si>
    <t>PROTECTOR VOLTAJE+KIT ARRANQ</t>
  </si>
  <si>
    <t>PMTRX00085236</t>
  </si>
  <si>
    <t>AMPM51</t>
  </si>
  <si>
    <t>MT EQUIPO EN TIENDA A51</t>
  </si>
  <si>
    <t>MOTOR FAN+MANO OBRA</t>
  </si>
  <si>
    <t>AMPM59</t>
  </si>
  <si>
    <t>MT MOTOR FAN A59</t>
  </si>
  <si>
    <t>MOTOR FAN A59</t>
  </si>
  <si>
    <t>AMPM65</t>
  </si>
  <si>
    <t>MT EQUIPO EN TIENDA A65</t>
  </si>
  <si>
    <t>TUBERIA+REFRIGERANTE+INSUMOS</t>
  </si>
  <si>
    <t>AMPM75</t>
  </si>
  <si>
    <t>MT EQUIPO EN  TIENDA A75</t>
  </si>
  <si>
    <t>PROTECTOR VOLTAJE+MANO OBRA</t>
  </si>
  <si>
    <t>PMTRX00085101</t>
  </si>
  <si>
    <t>ANTENIMIENTO OFICINA</t>
  </si>
  <si>
    <t>INST MANGUERA DE CONDENSADO</t>
  </si>
  <si>
    <t>MT EQUIPO A/A  ARCHIVO</t>
  </si>
  <si>
    <t>MT AA MINI SPLIT ARCHIVO</t>
  </si>
  <si>
    <t>MT EN TIENDA CELOXA</t>
  </si>
  <si>
    <t>SUMIN PERLINES+ANGULARES</t>
  </si>
  <si>
    <t>MT EQUIPO EN FRIO /PANADERIA</t>
  </si>
  <si>
    <t>MT AIRE ACONDICIONADO PANADE</t>
  </si>
  <si>
    <t>MT EQUIPO EN FRIO PANADERIA</t>
  </si>
  <si>
    <t>MT MESA FRIA+MANTENEDORA+FREEZ</t>
  </si>
  <si>
    <t>MT EQUIPO PANADERIA</t>
  </si>
  <si>
    <t>SERV CALIBRACION MESA/PANADE</t>
  </si>
  <si>
    <t>MT EN TIENDA A06</t>
  </si>
  <si>
    <t>INSULACION TUBERIA+REFRIGERANT</t>
  </si>
  <si>
    <t>PMTRX00085124</t>
  </si>
  <si>
    <t>MT EQUIPO EN TIENDA A06</t>
  </si>
  <si>
    <t>REEMPLAZO BOYA TANQUE AGUA</t>
  </si>
  <si>
    <t>AMPM12</t>
  </si>
  <si>
    <t>MT EQUIPO EN FRIO A12</t>
  </si>
  <si>
    <t>MT CF+AA+ MH A12</t>
  </si>
  <si>
    <t>MT EQUIPO EN TIENDA A15</t>
  </si>
  <si>
    <t>CARGA DE REFRIGERANTE A15</t>
  </si>
  <si>
    <t>MT EQUIPO EN TIENDA A20</t>
  </si>
  <si>
    <t>KIT ARRANQUE+SUMINISTRO CONDEN</t>
  </si>
  <si>
    <t>MT EQUIPO EN FRIO A21</t>
  </si>
  <si>
    <t>AA+CF+MH+ROLL SALCHICHA</t>
  </si>
  <si>
    <t>MT EQUIPO EN FRIO A29</t>
  </si>
  <si>
    <t>MT AA+CF+ROLL SALCHICHA</t>
  </si>
  <si>
    <t>REFRIGERANTE+ANGULARES+TUBERIA</t>
  </si>
  <si>
    <t>INST DE LUMINARIA A30</t>
  </si>
  <si>
    <t>MT EQUIPO EN FRIO A30</t>
  </si>
  <si>
    <t>MT AA+CF+MH+BEERCAVE</t>
  </si>
  <si>
    <t>AMPM31</t>
  </si>
  <si>
    <t>MT EQUIPO EN TIENDA A31</t>
  </si>
  <si>
    <t>SUMINISTRO FULL GAUGE A31</t>
  </si>
  <si>
    <t>MT LIMPIEZA DRENAJE A33</t>
  </si>
  <si>
    <t>LIMPIEZA DRENAJE Y PANA</t>
  </si>
  <si>
    <t>MT EQUIPO EN FRIO A34</t>
  </si>
  <si>
    <t>AA+CF+MT+ROLL SALCHICHA A34</t>
  </si>
  <si>
    <t>AMPM35</t>
  </si>
  <si>
    <t>MT EN TIENDA A35</t>
  </si>
  <si>
    <t>CAMBIO FOTOCELDA+CABLEADO A35</t>
  </si>
  <si>
    <t>AMPM36</t>
  </si>
  <si>
    <t>MT EQUIPO EN FRIO A36</t>
  </si>
  <si>
    <t>DIAGNOSTICO FLETE A36</t>
  </si>
  <si>
    <t>MT EQUIPO EN TIENDA A37</t>
  </si>
  <si>
    <t>INSTA DE LUMINARIA A37</t>
  </si>
  <si>
    <t>MT EQUIPO COMPUTO A37</t>
  </si>
  <si>
    <t>MT AA+CF+BEER CAVE A37</t>
  </si>
  <si>
    <t>MT EN TIENDA A38</t>
  </si>
  <si>
    <t>CAMBIO FOTO CELDA+REVISON</t>
  </si>
  <si>
    <t>INST DE LUMINARIA A39</t>
  </si>
  <si>
    <t>MT EN TIENDA A39</t>
  </si>
  <si>
    <t>CAMBIO BREAKER+FOTOCELDA+CABLE</t>
  </si>
  <si>
    <t>MT EQUIPO EN FRIO A41</t>
  </si>
  <si>
    <t>MT REFRIGERANT+ REPA FUGA</t>
  </si>
  <si>
    <t>AMPM45</t>
  </si>
  <si>
    <t>MT EQUIPO EN FRIO A45</t>
  </si>
  <si>
    <t>MT FUGA MH+ RECARGA REFIGERANT</t>
  </si>
  <si>
    <t>MT EQUIPO EN FRIO A46</t>
  </si>
  <si>
    <t>MT AA+CF+BEERCAVE A46</t>
  </si>
  <si>
    <t>AMPM48</t>
  </si>
  <si>
    <t>MT PANA DE DRENAJE A48</t>
  </si>
  <si>
    <t>MT EN TIENDA AMPM51</t>
  </si>
  <si>
    <t>TUBERIA+BOMBA CONDENSADO A51</t>
  </si>
  <si>
    <t>AMPM53</t>
  </si>
  <si>
    <t>MT EQUIPO EN FRIO A53</t>
  </si>
  <si>
    <t>MT AA+CF+BEERCAVE+MH</t>
  </si>
  <si>
    <t>AMPM56</t>
  </si>
  <si>
    <t>INSTA CERRADURA PUERTA A56</t>
  </si>
  <si>
    <t>INSTA LUMINARIA A58</t>
  </si>
  <si>
    <t>MT EQUIPO EN FRIO A58</t>
  </si>
  <si>
    <t>AA+CF+BEERCAVE+MH</t>
  </si>
  <si>
    <t>TRANSPORTE A58</t>
  </si>
  <si>
    <t>INST DE LUMINARIA A59</t>
  </si>
  <si>
    <t>AMPM61</t>
  </si>
  <si>
    <t>MT EQUIPO EN TIENDA A61</t>
  </si>
  <si>
    <t>AA+ SUMINISTRO TARJETA+FLETE</t>
  </si>
  <si>
    <t>MT EQUIPO EN FRIO A61</t>
  </si>
  <si>
    <t>REFRIGERANTE+FUGA CF</t>
  </si>
  <si>
    <t>RECARGA REFRIGERANTE CF A63</t>
  </si>
  <si>
    <t>MT EQUIPO EN FRIO A63</t>
  </si>
  <si>
    <t>AA+CF+BEERCAVE+MH A63</t>
  </si>
  <si>
    <t>ACTI DE AIRE ACONDICIONADO A67</t>
  </si>
  <si>
    <t>MT EQUIPO EN FRIO A67</t>
  </si>
  <si>
    <t>RECARGA RERIGERANTE CF</t>
  </si>
  <si>
    <t>MT REFRIGERANTE+FUGA MH</t>
  </si>
  <si>
    <t>AMPM68</t>
  </si>
  <si>
    <t>MT EQUIPO EN FRIO A68</t>
  </si>
  <si>
    <t>MT AA+CF+BEERCAVE+MH A68</t>
  </si>
  <si>
    <t>AMPM69</t>
  </si>
  <si>
    <t>MT EQUIPO EN TIENDA A69</t>
  </si>
  <si>
    <t>CAMBIO ACCESORIOS PVC A69</t>
  </si>
  <si>
    <t>MT EN TIENDA A73</t>
  </si>
  <si>
    <t>MT FOTOCELDA A73</t>
  </si>
  <si>
    <t>MT EN TIENDA A75</t>
  </si>
  <si>
    <t>MT TUBERIAS Y BOMBA A75</t>
  </si>
  <si>
    <t>MT EQUIPO EN FRIO A75</t>
  </si>
  <si>
    <t>AA+CF+BEERCAVE</t>
  </si>
  <si>
    <t>AMPM76</t>
  </si>
  <si>
    <t>MT EQUIPO CUARTO FRIO A76</t>
  </si>
  <si>
    <t>REFRIGERANTE CF A76</t>
  </si>
  <si>
    <t>MT EQUIPO EN TIENDA A80</t>
  </si>
  <si>
    <t>GUARDAMOTOR+MDO+FLETE</t>
  </si>
  <si>
    <t>AMPM81</t>
  </si>
  <si>
    <t>PROTECTOR DE VOLTAJE A81</t>
  </si>
  <si>
    <t>AMPM84</t>
  </si>
  <si>
    <t>MT EQUIPO EN FRIO A84</t>
  </si>
  <si>
    <t>MT AA+CF+BEERCAVE+ROLL SALCHIC</t>
  </si>
  <si>
    <t>INSTA DE TUBOS LED A84</t>
  </si>
  <si>
    <t>AMPM87</t>
  </si>
  <si>
    <t>CORRECCION LINEAS ALIMENTA A87</t>
  </si>
  <si>
    <t>MT EQUIPO EN FRIO A87</t>
  </si>
  <si>
    <t>AA+CF+ROLL SALCHICHA+MH</t>
  </si>
  <si>
    <t>MT EN TIENDA AMPM16</t>
  </si>
  <si>
    <t>INST ASIENTO INODORO+LUZ LED</t>
  </si>
  <si>
    <t>PMTRX00085261</t>
  </si>
  <si>
    <t>AMPM28</t>
  </si>
  <si>
    <t>MT MUEBLES EN FRIO A28</t>
  </si>
  <si>
    <t>MH+SISTEMA ELECTRICO,PARED GYP</t>
  </si>
  <si>
    <t>MT EQUIPOS EN PANADERIA</t>
  </si>
  <si>
    <t>MT HORNO+PLANCHA+BATIDORA</t>
  </si>
  <si>
    <t>PMTRX00085265</t>
  </si>
  <si>
    <t>GLTRX00965212</t>
  </si>
  <si>
    <t>MT OFICINA/ LIMPIEZA DRENAJE</t>
  </si>
  <si>
    <t>LIMPIEZA DRENAJE/MOTOR</t>
  </si>
  <si>
    <t>PMTRX00085253</t>
  </si>
  <si>
    <t>DISPENSADOR DE 3 SALSERA A89</t>
  </si>
  <si>
    <t>PMTRX00085264</t>
  </si>
  <si>
    <t>EQUIPOS FRIOS Y A.A.A03</t>
  </si>
  <si>
    <t>Compras</t>
  </si>
  <si>
    <t>PMTRX00085260</t>
  </si>
  <si>
    <t>SIST ELECTRICO MUEBLE A04</t>
  </si>
  <si>
    <t>PMTRX00085262</t>
  </si>
  <si>
    <t>AMPM07</t>
  </si>
  <si>
    <t>REPARACION DE DUCTOS.A07</t>
  </si>
  <si>
    <t>TOMA CORREINTE.A08</t>
  </si>
  <si>
    <t>AMPM09</t>
  </si>
  <si>
    <t>MT EQUIPO EN FRIO A09</t>
  </si>
  <si>
    <t>MT+AA+MH+AA GONDOLAS</t>
  </si>
  <si>
    <t>INSTLACION DE BUJAS.A09</t>
  </si>
  <si>
    <t>HABILITACION DE MH.A09</t>
  </si>
  <si>
    <t>AMPM10</t>
  </si>
  <si>
    <t>MT EQUIPO EN FRIO A10</t>
  </si>
  <si>
    <t>MT AA+CF DE BEBIDAS</t>
  </si>
  <si>
    <t>INSTA LUMINARIA A12</t>
  </si>
  <si>
    <t>INSTA LUMINARIA MUEBLE A12</t>
  </si>
  <si>
    <t>LIMPIEZA DE DRENAJE.A12</t>
  </si>
  <si>
    <t>FUGA REFRIGERANTE+MH</t>
  </si>
  <si>
    <t>PROTECTO VOLTAJE .A15</t>
  </si>
  <si>
    <t>EQUIPOS FRIOS Y A.A.A15</t>
  </si>
  <si>
    <t>REPARACION DE PLANTA A18</t>
  </si>
  <si>
    <t>SUMINSTRO E INSTALACION .A19</t>
  </si>
  <si>
    <t>SUMIINI DE FULL GATE.A19</t>
  </si>
  <si>
    <t>PROTECTOR WAGNER .A19</t>
  </si>
  <si>
    <t>INSPECCION AIRE A.A23</t>
  </si>
  <si>
    <t>SUMINSTRO LAMAP LED.A23</t>
  </si>
  <si>
    <t>MT DE  PLANTA A25</t>
  </si>
  <si>
    <t>MT DE PLANTA A25</t>
  </si>
  <si>
    <t>MT EQUIPO EN FRIO A31</t>
  </si>
  <si>
    <t>PMTRX00085231</t>
  </si>
  <si>
    <t>REV EQUIPO A34</t>
  </si>
  <si>
    <t>PMTRX00085254</t>
  </si>
  <si>
    <t>MT EQUIPOS EN FRIO A38</t>
  </si>
  <si>
    <t>MT AA+CF+MH+ROLL SALCHICHA</t>
  </si>
  <si>
    <t>AMPM40</t>
  </si>
  <si>
    <t>MT EQUIPO EN FRIO A40</t>
  </si>
  <si>
    <t>AA+CF+BEERCAVE+ROLL SALCHICHA</t>
  </si>
  <si>
    <t>MT EN TIENDA A41</t>
  </si>
  <si>
    <t>BOMBA CONDENSADO A41</t>
  </si>
  <si>
    <t>AMPM42</t>
  </si>
  <si>
    <t>LUMINARIA A42</t>
  </si>
  <si>
    <t>AMPM44</t>
  </si>
  <si>
    <t>MT EN TIENDA A44</t>
  </si>
  <si>
    <t>MANO OBRA PINTURA A44</t>
  </si>
  <si>
    <t>INST TAPA INODORO A44</t>
  </si>
  <si>
    <t>MT EQUIPO EN FRIO A44</t>
  </si>
  <si>
    <t>MT AA+CF+BEERCAVE</t>
  </si>
  <si>
    <t>MT EN TIENDA A45</t>
  </si>
  <si>
    <t>MT MOTOR FAN+MANO OBRA</t>
  </si>
  <si>
    <t>AMPM47</t>
  </si>
  <si>
    <t>MT EQUIPO EN FRIO A47</t>
  </si>
  <si>
    <t>MT AA+ROLL SALCHICHA+MH</t>
  </si>
  <si>
    <t>MT EQUIPO EN FRIO A48</t>
  </si>
  <si>
    <t>AA+MH+ROLL SALCHICHA</t>
  </si>
  <si>
    <t>REVI EQUIPO A55</t>
  </si>
  <si>
    <t>AMPM60</t>
  </si>
  <si>
    <t>MT EQUIPO EN FRIO A60</t>
  </si>
  <si>
    <t>RECARGA REFRIGERANTE A61</t>
  </si>
  <si>
    <t>PMTRX00085256</t>
  </si>
  <si>
    <t>AMPM62</t>
  </si>
  <si>
    <t>COMP MH A62</t>
  </si>
  <si>
    <t>INST LUMINARIA A62</t>
  </si>
  <si>
    <t>MT EQUIPO EN FRIO A62</t>
  </si>
  <si>
    <t>MT AA+BEERCAVE+MH+CF</t>
  </si>
  <si>
    <t>MT EQUIPO EN FRIO A65</t>
  </si>
  <si>
    <t>MT EQUIPO EN FRIO A66</t>
  </si>
  <si>
    <t>MT EQUIPO EN FRIO A69</t>
  </si>
  <si>
    <t>BOMBA HIDROENUMATI.A69</t>
  </si>
  <si>
    <t>MT EQUIPO EN FRIO A70</t>
  </si>
  <si>
    <t>AMPM74</t>
  </si>
  <si>
    <t>MT EQUIPO EN FRIO A74</t>
  </si>
  <si>
    <t>MT AA+CF+MH A74</t>
  </si>
  <si>
    <t>MT EQUIPO EN FRIO A76</t>
  </si>
  <si>
    <t>MT EQUIPO EN FRIO A79</t>
  </si>
  <si>
    <t>MT AA+MH</t>
  </si>
  <si>
    <t>MANTENIMIENTO BOMBA.A79</t>
  </si>
  <si>
    <t>PLANTA Y REP VARIAS A80</t>
  </si>
  <si>
    <t>AMPM86</t>
  </si>
  <si>
    <t>MT BOMBA HIDRONEUMATICA  A86</t>
  </si>
  <si>
    <t>PMTRX00085440</t>
  </si>
  <si>
    <t>AMPM89</t>
  </si>
  <si>
    <t>MT EQUIPO EN FRIO A89</t>
  </si>
  <si>
    <t>FORZA ACUMULADOR UPS/TIENDA</t>
  </si>
  <si>
    <t>FORZA ACUMULADOR DIGITAL</t>
  </si>
  <si>
    <t>PMTRX00085442</t>
  </si>
  <si>
    <t>MASTER TECNOLOGIES-DISCO D</t>
  </si>
  <si>
    <t>DISCO DURO MONITOREO</t>
  </si>
  <si>
    <t>GLTRX00965015</t>
  </si>
  <si>
    <t>BATERIA INTERNA/CRISTAL</t>
  </si>
  <si>
    <t>BATERIA INTERNA</t>
  </si>
  <si>
    <t>PMTRX00085437</t>
  </si>
  <si>
    <t>SEVASA /MAUSE-CRISTAL</t>
  </si>
  <si>
    <t>CARGADOR DELL A05</t>
  </si>
  <si>
    <t>CARGADOR DELL ORIGINAL A05</t>
  </si>
  <si>
    <t>GLOBAL SISTEMAS/ A05</t>
  </si>
  <si>
    <t>FAN PARA DELL/BISAGRA A05</t>
  </si>
  <si>
    <t>SINSA RADIAL/ A13</t>
  </si>
  <si>
    <t>CINTA DOBLE A13</t>
  </si>
  <si>
    <t>TAPA ELECTRICA A13</t>
  </si>
  <si>
    <t>4 CANALETAS A13</t>
  </si>
  <si>
    <t>SINSA RADIAL / TIENDAS</t>
  </si>
  <si>
    <t>TORNILLO GYPSUM A13</t>
  </si>
  <si>
    <t>MASTER TECNOLOGIES- A13</t>
  </si>
  <si>
    <t>MONITOR DELL A13 MB</t>
  </si>
  <si>
    <t>JACK+FACE PLATE A13-CAJA</t>
  </si>
  <si>
    <t>ACUMULADOR A29</t>
  </si>
  <si>
    <t>GEEK PLAY / MT EQUIPO</t>
  </si>
  <si>
    <t>SERV TECNICO HARDWARE A39</t>
  </si>
  <si>
    <t>GEEK PLAY/MT IMPRESORA A56</t>
  </si>
  <si>
    <t>MT IMPRESORA A56</t>
  </si>
  <si>
    <t>SERV TECNICO HARDWARE A65</t>
  </si>
  <si>
    <t>FORZA ACUMULADOR UPS A66</t>
  </si>
  <si>
    <t>AMPM90</t>
  </si>
  <si>
    <t>TIENDA-90</t>
  </si>
  <si>
    <t>CONICO/CAJA DE DINERO</t>
  </si>
  <si>
    <t>CONICO/CAJA DE DINERO A90</t>
  </si>
  <si>
    <t>AMPM91</t>
  </si>
  <si>
    <t>TIENDA-91</t>
  </si>
  <si>
    <t>CONICO/CAJA DE DINERO A91</t>
  </si>
  <si>
    <t>4 PLACAS MONTAJE A91</t>
  </si>
  <si>
    <t>5 CANALETAS A91</t>
  </si>
  <si>
    <t>4 CAJAS PLASTICA A91</t>
  </si>
  <si>
    <t>SINSA</t>
  </si>
  <si>
    <t>Silicon-Llave CEDI</t>
  </si>
  <si>
    <t>GLTRX00970892</t>
  </si>
  <si>
    <t>WALMART CARRETERA MASAYA</t>
  </si>
  <si>
    <t>Dipensador CEDI</t>
  </si>
  <si>
    <t>MAT DE CONST</t>
  </si>
  <si>
    <t>Llave lavamano CEDI</t>
  </si>
  <si>
    <t>PINTURA SUR</t>
  </si>
  <si>
    <t>Pintura punto de reuniones</t>
  </si>
  <si>
    <t>Entrada: Transacción Externa.</t>
  </si>
  <si>
    <t>Suministro mano obra SASA</t>
  </si>
  <si>
    <t>GLTRX00969870</t>
  </si>
  <si>
    <t>LA ALFORJA</t>
  </si>
  <si>
    <t>Apagador Sencillo PANADE</t>
  </si>
  <si>
    <t>Instalación de televA02</t>
  </si>
  <si>
    <t>GLTRX00970893</t>
  </si>
  <si>
    <t>SINSA/AMPM03</t>
  </si>
  <si>
    <t>LUMINARIA LED AMPM03</t>
  </si>
  <si>
    <t>GLTRX00968931</t>
  </si>
  <si>
    <t>MOBI EQUIIPOS</t>
  </si>
  <si>
    <t>Locker Metalico A05</t>
  </si>
  <si>
    <t>Luminaria Led A05</t>
  </si>
  <si>
    <t>Locker Metalico A06</t>
  </si>
  <si>
    <t>Tornillo-Espiche A06</t>
  </si>
  <si>
    <t>Movimiento de tuberiA06</t>
  </si>
  <si>
    <t>Cambio de laminas deA06</t>
  </si>
  <si>
    <t>Traslado de laminas A06</t>
  </si>
  <si>
    <t>INSTA PORCELANATO A06</t>
  </si>
  <si>
    <t>INSTA PISO+TAPA TANQUE INODORO</t>
  </si>
  <si>
    <t>PMTRX00085694</t>
  </si>
  <si>
    <t>Locker Metalico A08</t>
  </si>
  <si>
    <t>Pasador Recto A08</t>
  </si>
  <si>
    <t>MT EN TIENDA A09</t>
  </si>
  <si>
    <t>MT EN COLUMNA EXTERIOR</t>
  </si>
  <si>
    <t>PMTRX00085875</t>
  </si>
  <si>
    <t>Manguera-Llave A09</t>
  </si>
  <si>
    <t>Dispensador A12</t>
  </si>
  <si>
    <t>CUBAS ELECTRICAS</t>
  </si>
  <si>
    <t>Bombillos Led A18</t>
  </si>
  <si>
    <t>Bombillo Led A18</t>
  </si>
  <si>
    <t>PG MDO ROGER SALINAS</t>
  </si>
  <si>
    <t>React palnta elect A20</t>
  </si>
  <si>
    <t>GLTRX00970899</t>
  </si>
  <si>
    <t>CAMBIO DE ILUMINACIO-A20</t>
  </si>
  <si>
    <t>GLTRX00969851</t>
  </si>
  <si>
    <t>PG MDO FREDDY ESPINOZA</t>
  </si>
  <si>
    <t>DESTAQUEO Y SONDEO INODORO A20</t>
  </si>
  <si>
    <t>GLTRX00969845</t>
  </si>
  <si>
    <t>Locker Metalico A21</t>
  </si>
  <si>
    <t>SINSA/CRREDURA MANECILLA A23</t>
  </si>
  <si>
    <t>GLTRX00971008</t>
  </si>
  <si>
    <t>Luminaria-Breaker A25</t>
  </si>
  <si>
    <t>Revertir entrada de 3087541</t>
  </si>
  <si>
    <t>Suministro e instalaA27</t>
  </si>
  <si>
    <t>GLTRX00970994</t>
  </si>
  <si>
    <t>GLTRX00970894</t>
  </si>
  <si>
    <t>GLTRX00970776</t>
  </si>
  <si>
    <t>CARGO TRANS/A89 -27</t>
  </si>
  <si>
    <t>CARGO TRANS/A27</t>
  </si>
  <si>
    <t>Cierra Puerta A28</t>
  </si>
  <si>
    <t>Dispensador A29</t>
  </si>
  <si>
    <t>CARGOTRANS</t>
  </si>
  <si>
    <t>Envío de salseras A31</t>
  </si>
  <si>
    <t>Suministro e instala-A32</t>
  </si>
  <si>
    <t>Construcción de pare-A32</t>
  </si>
  <si>
    <t>SINSA LEON /AMPM32</t>
  </si>
  <si>
    <t>LUMINARIA LED A32</t>
  </si>
  <si>
    <t>Envío de salseras A33</t>
  </si>
  <si>
    <t>Traslado de granita A34</t>
  </si>
  <si>
    <t>CAMBIO DE ILUMNACION-A34</t>
  </si>
  <si>
    <t>Locker Metalico A40</t>
  </si>
  <si>
    <t>Locker Metalico A41</t>
  </si>
  <si>
    <t>SINSA MASAYA /AMPM41</t>
  </si>
  <si>
    <t>CINTA DE EMPAQUE A41</t>
  </si>
  <si>
    <t>Envío de salseras A42</t>
  </si>
  <si>
    <t>Envío de salseras A44</t>
  </si>
  <si>
    <t>Panel Led A49</t>
  </si>
  <si>
    <t>Gancho-Tornillo A49</t>
  </si>
  <si>
    <t>CAMBIO DE LAMPARAS I-A52</t>
  </si>
  <si>
    <t>CAM INST VISAGRA A52</t>
  </si>
  <si>
    <t>AMPM54</t>
  </si>
  <si>
    <t>Envío de salseras A54</t>
  </si>
  <si>
    <t>Chequeo paneles A55</t>
  </si>
  <si>
    <t>AMPM57</t>
  </si>
  <si>
    <t>DISTNICA</t>
  </si>
  <si>
    <t>Dispensador de Papel A57</t>
  </si>
  <si>
    <t>Reflector Led A57</t>
  </si>
  <si>
    <t>Luminaria Led A57</t>
  </si>
  <si>
    <t>Locker Metalico A60</t>
  </si>
  <si>
    <t>DESINTALACION DE CER-A61</t>
  </si>
  <si>
    <t>CAMB LLAVE LAVAMANOS A61</t>
  </si>
  <si>
    <t>Envío de salseras A62</t>
  </si>
  <si>
    <t>MT TIENDA A65</t>
  </si>
  <si>
    <t>MATERIALES +PINTURA EN PARED</t>
  </si>
  <si>
    <t>Traslado de granita A67</t>
  </si>
  <si>
    <t>SOFECONSA/ AMPM69</t>
  </si>
  <si>
    <t>ASIENTO PARA INODORO A69</t>
  </si>
  <si>
    <t>AMPM71</t>
  </si>
  <si>
    <t>SINSA LEON/ A71</t>
  </si>
  <si>
    <t>SINSA INTERUPTOR TAPE</t>
  </si>
  <si>
    <t>Soporte-Cerrojo A73</t>
  </si>
  <si>
    <t>Suministro e instala-A74</t>
  </si>
  <si>
    <t>FILTRACION DE AGUA/R-A75</t>
  </si>
  <si>
    <t>CAMB LAMP LED A75</t>
  </si>
  <si>
    <t>Envío de salseras A76</t>
  </si>
  <si>
    <t>Elaboración de pared-A77</t>
  </si>
  <si>
    <t>AMPM82</t>
  </si>
  <si>
    <t>SINSA LEON /AMPM82</t>
  </si>
  <si>
    <t>LUMINARIA LED A82</t>
  </si>
  <si>
    <t>AMPM83</t>
  </si>
  <si>
    <t>FERRETERIA EL REY/A83</t>
  </si>
  <si>
    <t>BROCHA DE 2 AMPM83</t>
  </si>
  <si>
    <t>LED SOLUTIONS</t>
  </si>
  <si>
    <t>Transformador Generico A84</t>
  </si>
  <si>
    <t>CAMBIO DE LAMPARA RE-A84</t>
  </si>
  <si>
    <t>Suministro e instala-A84</t>
  </si>
  <si>
    <t>AMPM88</t>
  </si>
  <si>
    <t>LEDSOLUTIONS/ A88</t>
  </si>
  <si>
    <t>TRANSFORMADOR DE INTERIOR A88</t>
  </si>
  <si>
    <t>GLTRX00968973</t>
  </si>
  <si>
    <t>Transformadores Genericos A89</t>
  </si>
  <si>
    <t>SONDEO DE BAÑOS,DESI-A89</t>
  </si>
  <si>
    <t>CARGO TRANS/A89</t>
  </si>
  <si>
    <t>GLTRX00968972</t>
  </si>
  <si>
    <t>MT MAQUINA HOTDOG A25</t>
  </si>
  <si>
    <t>CONTROL INFINITO MAQ HOTDOG</t>
  </si>
  <si>
    <t>MT MAQUNA HOTDOG A59</t>
  </si>
  <si>
    <t>COJINETE+CADENA ROLLER A59</t>
  </si>
  <si>
    <t>SICSA</t>
  </si>
  <si>
    <t>Mouse-ADMON</t>
  </si>
  <si>
    <t>GLTRX00969743</t>
  </si>
  <si>
    <t>UPS FORZA/ MILTON GAMONEDA</t>
  </si>
  <si>
    <t>PMTRX00085873</t>
  </si>
  <si>
    <t>SEVASA /CARTUCHO EPSON A13+RES</t>
  </si>
  <si>
    <t>SEVASA /CARTUCHO EPSON RESPALD</t>
  </si>
  <si>
    <t>GLTRX00969840</t>
  </si>
  <si>
    <t>MEGA IMAGE /CABLE VIDEO TIENDA</t>
  </si>
  <si>
    <t>MEGA IMAGE /CABLE VIDEO WARROM</t>
  </si>
  <si>
    <t>GLTRX00969753</t>
  </si>
  <si>
    <t>MEGA IMAGE/ TECLADO A12/13</t>
  </si>
  <si>
    <t>MEGA IMAGE/TECLA+MAUSE A12</t>
  </si>
  <si>
    <t>forza acumulador tiendas</t>
  </si>
  <si>
    <t>forza acumulador tiendas A13 C</t>
  </si>
  <si>
    <t>SEVASA /CARTUCHO EPSON A13</t>
  </si>
  <si>
    <t>SEVASA/JACK CAT A13</t>
  </si>
  <si>
    <t>SEVASA/CONECTOR A13-90-91-66</t>
  </si>
  <si>
    <t>SEVASA/CONECTOR A13</t>
  </si>
  <si>
    <t>MEGA IMAGE/TECLADO +MAUSE A13</t>
  </si>
  <si>
    <t>MEGA IMAGE /CABLE VIDEO A13</t>
  </si>
  <si>
    <t>INST CABLEADO-PROGRAMACION A19</t>
  </si>
  <si>
    <t>archivo01</t>
  </si>
  <si>
    <t>GLTRX00967958</t>
  </si>
  <si>
    <t>forza acumulador tiendas A55</t>
  </si>
  <si>
    <t>FORZA PROTECTOR A55</t>
  </si>
  <si>
    <t>MEGA IMAGE /CABLE VIDEO A55</t>
  </si>
  <si>
    <t>SEVASA/CARTUCHO A60-85-83</t>
  </si>
  <si>
    <t>SEVASA/CARTUCHO A60-</t>
  </si>
  <si>
    <t>SEVASA/CONECTOR A66</t>
  </si>
  <si>
    <t>MEGA IMAGE /CABLE VIDEO A70</t>
  </si>
  <si>
    <t>MT CAMARAS A70</t>
  </si>
  <si>
    <t>MT CAMARAS,FUENTE DE PODER</t>
  </si>
  <si>
    <t>PMTRX00085722</t>
  </si>
  <si>
    <t>MEGA IMAGE /CABLE VIDEO A71</t>
  </si>
  <si>
    <t>CARGADOR DELL A78</t>
  </si>
  <si>
    <t>SEVASA/CARTUCHO A-83</t>
  </si>
  <si>
    <t>SEVASA/CARTUCHO A85</t>
  </si>
  <si>
    <t>SEVASA/MONITOR SOPORTE A90+91</t>
  </si>
  <si>
    <t>SEVASA/2MONITOR SOPORTE A90</t>
  </si>
  <si>
    <t>SEVASA/CONECTOR A90</t>
  </si>
  <si>
    <t>UPS+SWITCH8 PUERTO A91</t>
  </si>
  <si>
    <t>SEVASA/MONITOR SOPORTE A91</t>
  </si>
  <si>
    <t>SEVASA/CONECTOR A91</t>
  </si>
  <si>
    <t>MASTER TECNOLV/TINAJITAS A91</t>
  </si>
  <si>
    <t>CABLE DE REDTINAJITAS A91</t>
  </si>
  <si>
    <t>CONICO/ RAUTER A91</t>
  </si>
  <si>
    <t>GLTRX00967963</t>
  </si>
  <si>
    <t>AJUSTE PUERTA  OFICINA</t>
  </si>
  <si>
    <t>PMTRX00085882</t>
  </si>
  <si>
    <t>INSTAL  LAMPARAS/MITRAB CELOXA</t>
  </si>
  <si>
    <t>PMTRX00085891</t>
  </si>
  <si>
    <t>FABRICACION DE EMPAQUES A04</t>
  </si>
  <si>
    <t>EMPAQUE PARA PUERTA CF+MANO OB</t>
  </si>
  <si>
    <t>PMTRX00085892</t>
  </si>
  <si>
    <t>MT CAJA FUERTE A04</t>
  </si>
  <si>
    <t>PMTRX00085885</t>
  </si>
  <si>
    <t>FABRICACION DE EMPAQUES A05</t>
  </si>
  <si>
    <t>EMPAQUE PARA PUERTA CF A05</t>
  </si>
  <si>
    <t>CAMBIO RIEL PUERTA A05</t>
  </si>
  <si>
    <t>PMTRX00085883</t>
  </si>
  <si>
    <t>AJUSTE DE PUERTA A05</t>
  </si>
  <si>
    <t>INSTA EMPAQUES A06</t>
  </si>
  <si>
    <t>EMPAQUE PUERTA CF A06</t>
  </si>
  <si>
    <t>AJUSTE PUERTA A06</t>
  </si>
  <si>
    <t>AJUSTE PUERTA A16</t>
  </si>
  <si>
    <t>MT CAJA FUERTE A20</t>
  </si>
  <si>
    <t>PMTRX00085886</t>
  </si>
  <si>
    <t>AJUSTE 2 PUERTA A32</t>
  </si>
  <si>
    <t>AJUSTE PUERTA A34</t>
  </si>
  <si>
    <t>INST VIDRIO PUERTA A37</t>
  </si>
  <si>
    <t>ENTREGA SILLA MITRAB</t>
  </si>
  <si>
    <t>CAMBIO LUZ LED A44</t>
  </si>
  <si>
    <t>AMPM50</t>
  </si>
  <si>
    <t>KIT DE REPARACION SALSERA</t>
  </si>
  <si>
    <t>KIT DE REPARACION SALSERA A50</t>
  </si>
  <si>
    <t>AJUSTE PUERTA A53</t>
  </si>
  <si>
    <t>MT CAJA FUERTE A60</t>
  </si>
  <si>
    <t>PMTRX00085884</t>
  </si>
  <si>
    <t>AJUSTE DE PUERTAS A60</t>
  </si>
  <si>
    <t>INST CERRADURA A61</t>
  </si>
  <si>
    <t>KIT DE REPARACION SALSERA A65</t>
  </si>
  <si>
    <t>CAMBIO FOTO CELDA A67</t>
  </si>
  <si>
    <t>ROS DE INODORO A67</t>
  </si>
  <si>
    <t>CAMBIO DE 3 VIDRIOS 67</t>
  </si>
  <si>
    <t>INSTA CERRADURA VITRINA A69</t>
  </si>
  <si>
    <t>AJUSTE PUERTA A74</t>
  </si>
  <si>
    <t>AJUSTE PUERTA A78</t>
  </si>
  <si>
    <t>AJUSTE HERRAJE PUERTA A79</t>
  </si>
  <si>
    <t>MT CAJA FUERTE LLAVE A84</t>
  </si>
  <si>
    <t>MANT  HIDROSANITARIO ADMON</t>
  </si>
  <si>
    <t>MANTENIMIENTO HIDROSANITARIO</t>
  </si>
  <si>
    <t>INSPECCION DE EQUIPOS A02</t>
  </si>
  <si>
    <t>CF+MH+CAMBIO COMPRESOR A2</t>
  </si>
  <si>
    <t>PMTRX00085881</t>
  </si>
  <si>
    <t>EQUIPOS FRIOS Y A.A A35</t>
  </si>
  <si>
    <t>PMTRX00085880</t>
  </si>
  <si>
    <t>EQUIPOS FRIOS Y A.A A81</t>
  </si>
  <si>
    <t xml:space="preserve"> Materiales ferreteros</t>
  </si>
  <si>
    <t>mvasquez</t>
  </si>
  <si>
    <t>GLTRX00977427</t>
  </si>
  <si>
    <t>Candado A25</t>
  </si>
  <si>
    <t>GLTRX00977430</t>
  </si>
  <si>
    <t>Revertir entrada de diario 308</t>
  </si>
  <si>
    <t>GLTRX00976510</t>
  </si>
  <si>
    <t>Compra de materiales ferretero</t>
  </si>
  <si>
    <t>GLTRX00977426</t>
  </si>
  <si>
    <t>Compra de lampara ojo de buey</t>
  </si>
  <si>
    <t>GLTRX00977432</t>
  </si>
  <si>
    <t>Pago de cambio lamparas de pas</t>
  </si>
  <si>
    <t>ANTICIPO DE ACTIVOS</t>
  </si>
  <si>
    <t>Construcción pared Smarcas-A32</t>
  </si>
  <si>
    <t>mgaitan</t>
  </si>
  <si>
    <t>GLTRX00977308</t>
  </si>
  <si>
    <t>compra de bridas</t>
  </si>
  <si>
    <t>Cinta antiderrapante</t>
  </si>
  <si>
    <t xml:space="preserve"> Compra de cinta antideslizant</t>
  </si>
  <si>
    <t>GLTRX00977429</t>
  </si>
  <si>
    <t xml:space="preserve"> Instalacion y suministro de l</t>
  </si>
  <si>
    <t>Compra de kit para inodoro</t>
  </si>
  <si>
    <t>GLTRX00977434</t>
  </si>
  <si>
    <t>Instalacion de bomba nueva par</t>
  </si>
  <si>
    <t xml:space="preserve"> Compra de llave de chorro</t>
  </si>
  <si>
    <t xml:space="preserve"> MO Reparacion de lavandero</t>
  </si>
  <si>
    <t>compra de dos candado</t>
  </si>
  <si>
    <t>Compra de candados</t>
  </si>
  <si>
    <t>Reparacion llave de lavandero</t>
  </si>
  <si>
    <t>compra de pasta trasnparente p</t>
  </si>
  <si>
    <t>Compra de accesorio tanque ino</t>
  </si>
  <si>
    <t>Reparacion cambio de valvula e</t>
  </si>
  <si>
    <t>Compra de dispensador de alcoh</t>
  </si>
  <si>
    <t>compra de llave de tuberia</t>
  </si>
  <si>
    <t>Cambio de vidrio de puerta pri</t>
  </si>
  <si>
    <t>reparacion de llave de pila de</t>
  </si>
  <si>
    <t>Compra de pintura Blanca</t>
  </si>
  <si>
    <t>Pago de instalacion de cerradu</t>
  </si>
  <si>
    <t>Compra de cerradura para puert</t>
  </si>
  <si>
    <t>Haladera Baño</t>
  </si>
  <si>
    <t>pasador para puerta caja</t>
  </si>
  <si>
    <t>Tapa de inodoro</t>
  </si>
  <si>
    <t>Compra de herramienta</t>
  </si>
  <si>
    <t>Reparacion de fuga en lavamano</t>
  </si>
  <si>
    <t>Tubo para lavandero</t>
  </si>
  <si>
    <t>SMARTCASH  A66</t>
  </si>
  <si>
    <t xml:space="preserve"> MO reparacion de muro perimet</t>
  </si>
  <si>
    <t>SOFECONSA</t>
  </si>
  <si>
    <t>Panel led ojo de buey , tape n</t>
  </si>
  <si>
    <t>SUMINISTRO INTA A74</t>
  </si>
  <si>
    <t>GLTRX00976553</t>
  </si>
  <si>
    <t>Reparacion Fuga Agua medidor</t>
  </si>
  <si>
    <t>ELABORACION DE PARED A77 SMART</t>
  </si>
  <si>
    <t>FERRETERIA EL REY</t>
  </si>
  <si>
    <t>ESPATULA</t>
  </si>
  <si>
    <t>MANT PREVENTIVO IMPRESORA</t>
  </si>
  <si>
    <t>MANT PREVENTIVO IMPRESORA 18</t>
  </si>
  <si>
    <t>GLTRX00976559</t>
  </si>
  <si>
    <t>MANT PREVENTIVO IMPRESORA 25</t>
  </si>
  <si>
    <t>FERRETERIA JENNY/ADMON</t>
  </si>
  <si>
    <t>GLTRX00976526</t>
  </si>
  <si>
    <t>Equipos Computo</t>
  </si>
  <si>
    <t>GLTRX00977428</t>
  </si>
  <si>
    <t>GLTRX00977305</t>
  </si>
  <si>
    <t>Micro SD 32GB A25</t>
  </si>
  <si>
    <t>Memoria USB A25</t>
  </si>
  <si>
    <t>AMPM43</t>
  </si>
  <si>
    <t>Reparacion de tablet peya</t>
  </si>
  <si>
    <t>Compra de cargador coorporativ</t>
  </si>
  <si>
    <t>AMPM01</t>
  </si>
  <si>
    <t>AMPM64</t>
  </si>
  <si>
    <t>Envío de salseras A44, MANO OBRA PINTURA A44, INST TAPA INODORO A44, MT AA+CF+BEERCAVE</t>
  </si>
  <si>
    <t>MT PANA DE DRENAJE A48, AA+MH+ROLL SALCHICHA</t>
  </si>
  <si>
    <t>PARED GYPSUM+PINTURA+PUERTA, MT AA+CF+BEERCAVE, MEGA IMAGE /CABLE VIDEO A70, MT CAMARAS,FUENTE DE PODER</t>
  </si>
  <si>
    <t>REFRIGERANTE CF A76, Envío de salseras A76, AA+CF+BEERCAVE+ROLL SALCHICHA</t>
  </si>
  <si>
    <t>CAMIO VIDRIO PUERTA A80, GUARDAMOTOR+MDO+FLETE, PLANTA Y REP VARIAS 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</si>
</sst>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</borders>
  <cellStyleXfs count="22972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6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6" fillId="0" borderId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0" fontId="2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0" fontId="6" fillId="0" borderId="0"/>
    <xf numFmtId="0" fontId="29" fillId="0" borderId="0" applyAlignment="0"/>
    <xf numFmtId="0" fontId="6" fillId="0" borderId="0"/>
    <xf numFmtId="43" fontId="9" fillId="0" borderId="0" applyFont="0" applyFill="0" applyBorder="0" applyAlignment="0" applyProtection="0"/>
    <xf numFmtId="0" fontId="29" fillId="0" borderId="0" applyAlignment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9" fillId="0" borderId="0" applyAlignment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0" fontId="27" fillId="0" borderId="0"/>
    <xf numFmtId="0" fontId="29" fillId="0" borderId="0" applyAlignment="0"/>
    <xf numFmtId="0" fontId="6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29" fillId="0" borderId="0" applyAlignment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0" fontId="27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0" fontId="9" fillId="0" borderId="0">
      <alignment vertical="center"/>
    </xf>
    <xf numFmtId="0" fontId="29" fillId="0" borderId="0" applyAlignment="0"/>
    <xf numFmtId="0" fontId="2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9" fillId="0" borderId="0">
      <alignment vertical="center"/>
    </xf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0" fontId="26" fillId="0" borderId="0"/>
    <xf numFmtId="43" fontId="26" fillId="0" borderId="0" applyFont="0" applyFill="0" applyBorder="0" applyAlignment="0" applyProtection="0"/>
    <xf numFmtId="0" fontId="9" fillId="0" borderId="0">
      <alignment vertical="center"/>
    </xf>
    <xf numFmtId="0" fontId="27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29" fillId="0" borderId="0" applyAlignment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0" borderId="0"/>
    <xf numFmtId="0" fontId="2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166" fontId="12" fillId="0" borderId="0" xfId="1" applyNumberFormat="1" applyFont="1" applyBorder="1"/>
    <xf numFmtId="0" fontId="0" fillId="0" borderId="13" xfId="0" applyBorder="1"/>
    <xf numFmtId="166" fontId="12" fillId="0" borderId="13" xfId="1" applyNumberFormat="1" applyFont="1" applyBorder="1"/>
    <xf numFmtId="166" fontId="5" fillId="0" borderId="13" xfId="0" applyNumberFormat="1" applyFont="1" applyBorder="1"/>
    <xf numFmtId="166" fontId="4" fillId="0" borderId="13" xfId="0" applyNumberFormat="1" applyFont="1" applyBorder="1"/>
    <xf numFmtId="43" fontId="0" fillId="0" borderId="0" xfId="0" applyNumberFormat="1"/>
    <xf numFmtId="0" fontId="31" fillId="0" borderId="0" xfId="0" applyFont="1"/>
    <xf numFmtId="166" fontId="33" fillId="2" borderId="0" xfId="1" applyNumberFormat="1" applyFont="1" applyFill="1" applyBorder="1" applyAlignment="1">
      <alignment wrapText="1"/>
    </xf>
    <xf numFmtId="166" fontId="31" fillId="0" borderId="0" xfId="1" applyNumberFormat="1" applyFont="1" applyBorder="1"/>
    <xf numFmtId="166" fontId="32" fillId="0" borderId="0" xfId="1" applyNumberFormat="1" applyFont="1" applyBorder="1"/>
    <xf numFmtId="166" fontId="31" fillId="0" borderId="0" xfId="1" applyNumberFormat="1" applyFont="1" applyBorder="1" applyAlignment="1">
      <alignment horizontal="left"/>
    </xf>
    <xf numFmtId="166" fontId="34" fillId="0" borderId="0" xfId="1" applyNumberFormat="1" applyFont="1" applyFill="1" applyBorder="1"/>
    <xf numFmtId="166" fontId="32" fillId="0" borderId="0" xfId="1" applyNumberFormat="1" applyFont="1" applyFill="1" applyBorder="1"/>
    <xf numFmtId="166" fontId="31" fillId="0" borderId="0" xfId="1" applyNumberFormat="1" applyFont="1" applyFill="1" applyBorder="1" applyAlignment="1">
      <alignment horizontal="left"/>
    </xf>
    <xf numFmtId="166" fontId="35" fillId="0" borderId="0" xfId="1" applyNumberFormat="1" applyFont="1" applyFill="1" applyBorder="1"/>
    <xf numFmtId="166" fontId="31" fillId="0" borderId="0" xfId="1" applyNumberFormat="1" applyFont="1"/>
    <xf numFmtId="166" fontId="31" fillId="0" borderId="0" xfId="1" applyNumberFormat="1" applyFont="1" applyAlignment="1">
      <alignment vertical="center"/>
    </xf>
    <xf numFmtId="166" fontId="33" fillId="2" borderId="0" xfId="1" applyNumberFormat="1" applyFont="1" applyFill="1"/>
    <xf numFmtId="0" fontId="0" fillId="34" borderId="14" xfId="0" applyFill="1" applyBorder="1"/>
    <xf numFmtId="0" fontId="0" fillId="0" borderId="14" xfId="0" applyBorder="1"/>
    <xf numFmtId="0" fontId="0" fillId="34" borderId="15" xfId="0" applyFill="1" applyBorder="1"/>
    <xf numFmtId="0" fontId="0" fillId="0" borderId="15" xfId="0" applyBorder="1"/>
    <xf numFmtId="0" fontId="36" fillId="37" borderId="14" xfId="0" applyFont="1" applyFill="1" applyBorder="1"/>
    <xf numFmtId="0" fontId="36" fillId="37" borderId="15" xfId="0" applyFont="1" applyFill="1" applyBorder="1"/>
    <xf numFmtId="0" fontId="36" fillId="37" borderId="16" xfId="0" applyFont="1" applyFill="1" applyBorder="1"/>
    <xf numFmtId="0" fontId="0" fillId="34" borderId="16" xfId="0" applyFill="1" applyBorder="1"/>
    <xf numFmtId="0" fontId="0" fillId="0" borderId="16" xfId="0" applyBorder="1"/>
    <xf numFmtId="43" fontId="36" fillId="37" borderId="15" xfId="1" applyFont="1" applyFill="1" applyBorder="1"/>
    <xf numFmtId="0" fontId="0" fillId="36" borderId="14" xfId="0" applyFill="1" applyBorder="1"/>
    <xf numFmtId="14" fontId="0" fillId="34" borderId="15" xfId="0" applyNumberFormat="1" applyFill="1" applyBorder="1"/>
    <xf numFmtId="43" fontId="0" fillId="34" borderId="15" xfId="1" applyFont="1" applyFill="1" applyBorder="1"/>
    <xf numFmtId="43" fontId="0" fillId="35" borderId="15" xfId="1" applyFont="1" applyFill="1" applyBorder="1"/>
    <xf numFmtId="14" fontId="0" fillId="0" borderId="15" xfId="0" applyNumberFormat="1" applyBorder="1"/>
    <xf numFmtId="43" fontId="0" fillId="0" borderId="15" xfId="1" applyFont="1" applyBorder="1"/>
    <xf numFmtId="0" fontId="0" fillId="35" borderId="15" xfId="0" applyFill="1" applyBorder="1"/>
    <xf numFmtId="0" fontId="0" fillId="35" borderId="14" xfId="0" applyFill="1" applyBorder="1"/>
    <xf numFmtId="0" fontId="0" fillId="38" borderId="15" xfId="0" applyFill="1" applyBorder="1"/>
    <xf numFmtId="0" fontId="0" fillId="39" borderId="15" xfId="0" applyFill="1" applyBorder="1"/>
    <xf numFmtId="43" fontId="0" fillId="38" borderId="15" xfId="1" applyFont="1" applyFill="1" applyBorder="1"/>
    <xf numFmtId="0" fontId="0" fillId="40" borderId="15" xfId="0" applyFill="1" applyBorder="1"/>
    <xf numFmtId="166" fontId="31" fillId="0" borderId="0" xfId="0" applyNumberFormat="1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31" fillId="0" borderId="0" xfId="1" applyFont="1"/>
    <xf numFmtId="14" fontId="0" fillId="0" borderId="0" xfId="0" applyNumberFormat="1"/>
    <xf numFmtId="166" fontId="31" fillId="0" borderId="0" xfId="1" applyNumberFormat="1" applyFont="1" applyFill="1"/>
    <xf numFmtId="166" fontId="33" fillId="2" borderId="0" xfId="1" applyNumberFormat="1" applyFont="1" applyFill="1" applyBorder="1" applyAlignment="1">
      <alignment horizontal="center" vertical="center" wrapText="1"/>
    </xf>
    <xf numFmtId="166" fontId="32" fillId="0" borderId="17" xfId="1" applyNumberFormat="1" applyFont="1" applyBorder="1"/>
    <xf numFmtId="166" fontId="32" fillId="41" borderId="0" xfId="1" applyNumberFormat="1" applyFont="1" applyFill="1" applyBorder="1"/>
    <xf numFmtId="166" fontId="31" fillId="0" borderId="0" xfId="0" pivotButton="1" applyNumberFormat="1" applyFont="1"/>
    <xf numFmtId="166" fontId="31" fillId="0" borderId="0" xfId="0" applyNumberFormat="1" applyFont="1" applyAlignment="1">
      <alignment horizontal="left"/>
    </xf>
    <xf numFmtId="166" fontId="31" fillId="0" borderId="0" xfId="0" applyNumberFormat="1" applyFont="1" applyFill="1"/>
    <xf numFmtId="166" fontId="0" fillId="0" borderId="0" xfId="0" applyNumberFormat="1"/>
  </cellXfs>
  <cellStyles count="22972">
    <cellStyle name="20% - Énfasis1 10" xfId="33" xr:uid="{00000000-0005-0000-0000-000000000000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3" xfId="4425" xr:uid="{00000000-0005-0000-0000-000007000000}"/>
    <cellStyle name="20% - Énfasis1 2 2 2 3" xfId="1073" xr:uid="{00000000-0005-0000-0000-000008000000}"/>
    <cellStyle name="20% - Énfasis1 2 2 2 3 2" xfId="3110" xr:uid="{00000000-0005-0000-0000-000009000000}"/>
    <cellStyle name="20% - Énfasis1 2 2 2 3 3" xfId="4831" xr:uid="{00000000-0005-0000-0000-00000A000000}"/>
    <cellStyle name="20% - Énfasis1 2 2 2 4" xfId="2501" xr:uid="{00000000-0005-0000-0000-00000B000000}"/>
    <cellStyle name="20% - Énfasis1 2 2 2 4 2" xfId="3730" xr:uid="{00000000-0005-0000-0000-00000C000000}"/>
    <cellStyle name="20% - Énfasis1 2 2 2 5" xfId="2893" xr:uid="{00000000-0005-0000-0000-00000D000000}"/>
    <cellStyle name="20% - Énfasis1 2 2 2 6" xfId="4075" xr:uid="{00000000-0005-0000-0000-00000E000000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3" xfId="4253" xr:uid="{00000000-0005-0000-0000-000012000000}"/>
    <cellStyle name="20% - Énfasis1 2 2 4" xfId="900" xr:uid="{00000000-0005-0000-0000-000013000000}"/>
    <cellStyle name="20% - Énfasis1 2 2 4 2" xfId="3109" xr:uid="{00000000-0005-0000-0000-000014000000}"/>
    <cellStyle name="20% - Énfasis1 2 2 4 3" xfId="4658" xr:uid="{00000000-0005-0000-0000-000015000000}"/>
    <cellStyle name="20% - Énfasis1 2 2 5" xfId="2330" xr:uid="{00000000-0005-0000-0000-000016000000}"/>
    <cellStyle name="20% - Énfasis1 2 2 5 2" xfId="3558" xr:uid="{00000000-0005-0000-0000-000017000000}"/>
    <cellStyle name="20% - Énfasis1 2 2 6" xfId="2722" xr:uid="{00000000-0005-0000-0000-000018000000}"/>
    <cellStyle name="20% - Énfasis1 2 2 7" xfId="3903" xr:uid="{00000000-0005-0000-0000-000019000000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3" xfId="4340" xr:uid="{00000000-0005-0000-0000-00001E000000}"/>
    <cellStyle name="20% - Énfasis1 2 3 3" xfId="988" xr:uid="{00000000-0005-0000-0000-00001F000000}"/>
    <cellStyle name="20% - Énfasis1 2 3 3 2" xfId="3111" xr:uid="{00000000-0005-0000-0000-000020000000}"/>
    <cellStyle name="20% - Énfasis1 2 3 3 3" xfId="4746" xr:uid="{00000000-0005-0000-0000-000021000000}"/>
    <cellStyle name="20% - Énfasis1 2 3 4" xfId="2416" xr:uid="{00000000-0005-0000-0000-000022000000}"/>
    <cellStyle name="20% - Énfasis1 2 3 4 2" xfId="3645" xr:uid="{00000000-0005-0000-0000-000023000000}"/>
    <cellStyle name="20% - Énfasis1 2 3 5" xfId="2808" xr:uid="{00000000-0005-0000-0000-000024000000}"/>
    <cellStyle name="20% - Énfasis1 2 3 6" xfId="3990" xr:uid="{00000000-0005-0000-0000-000025000000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3" xfId="4168" xr:uid="{00000000-0005-0000-0000-000029000000}"/>
    <cellStyle name="20% - Énfasis1 2 5" xfId="814" xr:uid="{00000000-0005-0000-0000-00002A000000}"/>
    <cellStyle name="20% - Énfasis1 2 5 2" xfId="3108" xr:uid="{00000000-0005-0000-0000-00002B000000}"/>
    <cellStyle name="20% - Énfasis1 2 5 3" xfId="4572" xr:uid="{00000000-0005-0000-0000-00002C000000}"/>
    <cellStyle name="20% - Énfasis1 2 6" xfId="2245" xr:uid="{00000000-0005-0000-0000-00002D000000}"/>
    <cellStyle name="20% - Énfasis1 2 6 2" xfId="3473" xr:uid="{00000000-0005-0000-0000-00002E000000}"/>
    <cellStyle name="20% - Énfasis1 2 7" xfId="2636" xr:uid="{00000000-0005-0000-0000-00002F000000}"/>
    <cellStyle name="20% - Énfasis1 2 8" xfId="3818" xr:uid="{00000000-0005-0000-0000-000030000000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3" xfId="4383" xr:uid="{00000000-0005-0000-0000-000036000000}"/>
    <cellStyle name="20% - Énfasis1 3 2 3" xfId="1031" xr:uid="{00000000-0005-0000-0000-000037000000}"/>
    <cellStyle name="20% - Énfasis1 3 2 3 2" xfId="3113" xr:uid="{00000000-0005-0000-0000-000038000000}"/>
    <cellStyle name="20% - Énfasis1 3 2 3 3" xfId="4789" xr:uid="{00000000-0005-0000-0000-000039000000}"/>
    <cellStyle name="20% - Énfasis1 3 2 4" xfId="2459" xr:uid="{00000000-0005-0000-0000-00003A000000}"/>
    <cellStyle name="20% - Énfasis1 3 2 4 2" xfId="3688" xr:uid="{00000000-0005-0000-0000-00003B000000}"/>
    <cellStyle name="20% - Énfasis1 3 2 5" xfId="2851" xr:uid="{00000000-0005-0000-0000-00003C000000}"/>
    <cellStyle name="20% - Énfasis1 3 2 6" xfId="4033" xr:uid="{00000000-0005-0000-0000-00003D000000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3" xfId="4211" xr:uid="{00000000-0005-0000-0000-000041000000}"/>
    <cellStyle name="20% - Énfasis1 3 4" xfId="857" xr:uid="{00000000-0005-0000-0000-000042000000}"/>
    <cellStyle name="20% - Énfasis1 3 4 2" xfId="3112" xr:uid="{00000000-0005-0000-0000-000043000000}"/>
    <cellStyle name="20% - Énfasis1 3 4 3" xfId="4615" xr:uid="{00000000-0005-0000-0000-000044000000}"/>
    <cellStyle name="20% - Énfasis1 3 5" xfId="2288" xr:uid="{00000000-0005-0000-0000-000045000000}"/>
    <cellStyle name="20% - Énfasis1 3 5 2" xfId="3516" xr:uid="{00000000-0005-0000-0000-000046000000}"/>
    <cellStyle name="20% - Énfasis1 3 6" xfId="2679" xr:uid="{00000000-0005-0000-0000-000047000000}"/>
    <cellStyle name="20% - Énfasis1 3 7" xfId="3861" xr:uid="{00000000-0005-0000-0000-000048000000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3" xfId="4298" xr:uid="{00000000-0005-0000-0000-00004D000000}"/>
    <cellStyle name="20% - Énfasis1 4 3" xfId="945" xr:uid="{00000000-0005-0000-0000-00004E000000}"/>
    <cellStyle name="20% - Énfasis1 4 3 2" xfId="3114" xr:uid="{00000000-0005-0000-0000-00004F000000}"/>
    <cellStyle name="20% - Énfasis1 4 3 3" xfId="4703" xr:uid="{00000000-0005-0000-0000-000050000000}"/>
    <cellStyle name="20% - Énfasis1 4 4" xfId="2374" xr:uid="{00000000-0005-0000-0000-000051000000}"/>
    <cellStyle name="20% - Énfasis1 4 4 2" xfId="3603" xr:uid="{00000000-0005-0000-0000-000052000000}"/>
    <cellStyle name="20% - Énfasis1 4 5" xfId="2596" xr:uid="{00000000-0005-0000-0000-000053000000}"/>
    <cellStyle name="20% - Énfasis1 4 6" xfId="3948" xr:uid="{00000000-0005-0000-0000-000054000000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3" xfId="4879" xr:uid="{00000000-0005-0000-0000-000058000000}"/>
    <cellStyle name="20% - Énfasis1 5 3" xfId="2768" xr:uid="{00000000-0005-0000-0000-000059000000}"/>
    <cellStyle name="20% - Énfasis1 5 4" xfId="4123" xr:uid="{00000000-0005-0000-0000-00005A000000}"/>
    <cellStyle name="20% - Énfasis1 6" xfId="774" xr:uid="{00000000-0005-0000-0000-00005B000000}"/>
    <cellStyle name="20% - Énfasis1 6 2" xfId="2939" xr:uid="{00000000-0005-0000-0000-00005C000000}"/>
    <cellStyle name="20% - Énfasis1 6 3" xfId="4532" xr:uid="{00000000-0005-0000-0000-00005D000000}"/>
    <cellStyle name="20% - Énfasis1 7" xfId="1500" xr:uid="{00000000-0005-0000-0000-00005E000000}"/>
    <cellStyle name="20% - Énfasis1 7 2" xfId="3433" xr:uid="{00000000-0005-0000-0000-00005F000000}"/>
    <cellStyle name="20% - Énfasis1 8" xfId="2549" xr:uid="{00000000-0005-0000-0000-000060000000}"/>
    <cellStyle name="20% - Énfasis1 9" xfId="3778" xr:uid="{00000000-0005-0000-0000-000061000000}"/>
    <cellStyle name="20% - Énfasis2 10" xfId="37" xr:uid="{00000000-0005-0000-0000-000062000000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3" xfId="4428" xr:uid="{00000000-0005-0000-0000-000069000000}"/>
    <cellStyle name="20% - Énfasis2 2 2 2 3" xfId="1076" xr:uid="{00000000-0005-0000-0000-00006A000000}"/>
    <cellStyle name="20% - Énfasis2 2 2 2 3 2" xfId="3117" xr:uid="{00000000-0005-0000-0000-00006B000000}"/>
    <cellStyle name="20% - Énfasis2 2 2 2 3 3" xfId="4834" xr:uid="{00000000-0005-0000-0000-00006C000000}"/>
    <cellStyle name="20% - Énfasis2 2 2 2 4" xfId="2504" xr:uid="{00000000-0005-0000-0000-00006D000000}"/>
    <cellStyle name="20% - Énfasis2 2 2 2 4 2" xfId="3733" xr:uid="{00000000-0005-0000-0000-00006E000000}"/>
    <cellStyle name="20% - Énfasis2 2 2 2 5" xfId="2896" xr:uid="{00000000-0005-0000-0000-00006F000000}"/>
    <cellStyle name="20% - Énfasis2 2 2 2 6" xfId="4078" xr:uid="{00000000-0005-0000-0000-000070000000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3" xfId="4256" xr:uid="{00000000-0005-0000-0000-000074000000}"/>
    <cellStyle name="20% - Énfasis2 2 2 4" xfId="903" xr:uid="{00000000-0005-0000-0000-000075000000}"/>
    <cellStyle name="20% - Énfasis2 2 2 4 2" xfId="3116" xr:uid="{00000000-0005-0000-0000-000076000000}"/>
    <cellStyle name="20% - Énfasis2 2 2 4 3" xfId="4661" xr:uid="{00000000-0005-0000-0000-000077000000}"/>
    <cellStyle name="20% - Énfasis2 2 2 5" xfId="2333" xr:uid="{00000000-0005-0000-0000-000078000000}"/>
    <cellStyle name="20% - Énfasis2 2 2 5 2" xfId="3561" xr:uid="{00000000-0005-0000-0000-000079000000}"/>
    <cellStyle name="20% - Énfasis2 2 2 6" xfId="2725" xr:uid="{00000000-0005-0000-0000-00007A000000}"/>
    <cellStyle name="20% - Énfasis2 2 2 7" xfId="3906" xr:uid="{00000000-0005-0000-0000-00007B000000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3" xfId="4343" xr:uid="{00000000-0005-0000-0000-000080000000}"/>
    <cellStyle name="20% - Énfasis2 2 3 3" xfId="991" xr:uid="{00000000-0005-0000-0000-000081000000}"/>
    <cellStyle name="20% - Énfasis2 2 3 3 2" xfId="3118" xr:uid="{00000000-0005-0000-0000-000082000000}"/>
    <cellStyle name="20% - Énfasis2 2 3 3 3" xfId="4749" xr:uid="{00000000-0005-0000-0000-000083000000}"/>
    <cellStyle name="20% - Énfasis2 2 3 4" xfId="2419" xr:uid="{00000000-0005-0000-0000-000084000000}"/>
    <cellStyle name="20% - Énfasis2 2 3 4 2" xfId="3648" xr:uid="{00000000-0005-0000-0000-000085000000}"/>
    <cellStyle name="20% - Énfasis2 2 3 5" xfId="2811" xr:uid="{00000000-0005-0000-0000-000086000000}"/>
    <cellStyle name="20% - Énfasis2 2 3 6" xfId="3993" xr:uid="{00000000-0005-0000-0000-000087000000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3" xfId="4171" xr:uid="{00000000-0005-0000-0000-00008B000000}"/>
    <cellStyle name="20% - Énfasis2 2 5" xfId="817" xr:uid="{00000000-0005-0000-0000-00008C000000}"/>
    <cellStyle name="20% - Énfasis2 2 5 2" xfId="3115" xr:uid="{00000000-0005-0000-0000-00008D000000}"/>
    <cellStyle name="20% - Énfasis2 2 5 3" xfId="4575" xr:uid="{00000000-0005-0000-0000-00008E000000}"/>
    <cellStyle name="20% - Énfasis2 2 6" xfId="2248" xr:uid="{00000000-0005-0000-0000-00008F000000}"/>
    <cellStyle name="20% - Énfasis2 2 6 2" xfId="3476" xr:uid="{00000000-0005-0000-0000-000090000000}"/>
    <cellStyle name="20% - Énfasis2 2 7" xfId="2639" xr:uid="{00000000-0005-0000-0000-000091000000}"/>
    <cellStyle name="20% - Énfasis2 2 8" xfId="3821" xr:uid="{00000000-0005-0000-0000-000092000000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3" xfId="4385" xr:uid="{00000000-0005-0000-0000-000098000000}"/>
    <cellStyle name="20% - Énfasis2 3 2 3" xfId="1033" xr:uid="{00000000-0005-0000-0000-000099000000}"/>
    <cellStyle name="20% - Énfasis2 3 2 3 2" xfId="3120" xr:uid="{00000000-0005-0000-0000-00009A000000}"/>
    <cellStyle name="20% - Énfasis2 3 2 3 3" xfId="4791" xr:uid="{00000000-0005-0000-0000-00009B000000}"/>
    <cellStyle name="20% - Énfasis2 3 2 4" xfId="2461" xr:uid="{00000000-0005-0000-0000-00009C000000}"/>
    <cellStyle name="20% - Énfasis2 3 2 4 2" xfId="3690" xr:uid="{00000000-0005-0000-0000-00009D000000}"/>
    <cellStyle name="20% - Énfasis2 3 2 5" xfId="2853" xr:uid="{00000000-0005-0000-0000-00009E000000}"/>
    <cellStyle name="20% - Énfasis2 3 2 6" xfId="4035" xr:uid="{00000000-0005-0000-0000-00009F000000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3" xfId="4213" xr:uid="{00000000-0005-0000-0000-0000A3000000}"/>
    <cellStyle name="20% - Énfasis2 3 4" xfId="859" xr:uid="{00000000-0005-0000-0000-0000A4000000}"/>
    <cellStyle name="20% - Énfasis2 3 4 2" xfId="3119" xr:uid="{00000000-0005-0000-0000-0000A5000000}"/>
    <cellStyle name="20% - Énfasis2 3 4 3" xfId="4617" xr:uid="{00000000-0005-0000-0000-0000A6000000}"/>
    <cellStyle name="20% - Énfasis2 3 5" xfId="2290" xr:uid="{00000000-0005-0000-0000-0000A7000000}"/>
    <cellStyle name="20% - Énfasis2 3 5 2" xfId="3518" xr:uid="{00000000-0005-0000-0000-0000A8000000}"/>
    <cellStyle name="20% - Énfasis2 3 6" xfId="2681" xr:uid="{00000000-0005-0000-0000-0000A9000000}"/>
    <cellStyle name="20% - Énfasis2 3 7" xfId="3863" xr:uid="{00000000-0005-0000-0000-0000AA000000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3" xfId="4300" xr:uid="{00000000-0005-0000-0000-0000AF000000}"/>
    <cellStyle name="20% - Énfasis2 4 3" xfId="947" xr:uid="{00000000-0005-0000-0000-0000B0000000}"/>
    <cellStyle name="20% - Énfasis2 4 3 2" xfId="3121" xr:uid="{00000000-0005-0000-0000-0000B1000000}"/>
    <cellStyle name="20% - Énfasis2 4 3 3" xfId="4705" xr:uid="{00000000-0005-0000-0000-0000B2000000}"/>
    <cellStyle name="20% - Énfasis2 4 4" xfId="2376" xr:uid="{00000000-0005-0000-0000-0000B3000000}"/>
    <cellStyle name="20% - Énfasis2 4 4 2" xfId="3605" xr:uid="{00000000-0005-0000-0000-0000B4000000}"/>
    <cellStyle name="20% - Énfasis2 4 5" xfId="2599" xr:uid="{00000000-0005-0000-0000-0000B5000000}"/>
    <cellStyle name="20% - Énfasis2 4 6" xfId="3950" xr:uid="{00000000-0005-0000-0000-0000B6000000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3" xfId="4881" xr:uid="{00000000-0005-0000-0000-0000BA000000}"/>
    <cellStyle name="20% - Énfasis2 5 3" xfId="2771" xr:uid="{00000000-0005-0000-0000-0000BB000000}"/>
    <cellStyle name="20% - Énfasis2 5 4" xfId="4125" xr:uid="{00000000-0005-0000-0000-0000BC000000}"/>
    <cellStyle name="20% - Énfasis2 6" xfId="777" xr:uid="{00000000-0005-0000-0000-0000BD000000}"/>
    <cellStyle name="20% - Énfasis2 6 2" xfId="2942" xr:uid="{00000000-0005-0000-0000-0000BE000000}"/>
    <cellStyle name="20% - Énfasis2 6 3" xfId="4535" xr:uid="{00000000-0005-0000-0000-0000BF000000}"/>
    <cellStyle name="20% - Énfasis2 7" xfId="1503" xr:uid="{00000000-0005-0000-0000-0000C0000000}"/>
    <cellStyle name="20% - Énfasis2 7 2" xfId="3436" xr:uid="{00000000-0005-0000-0000-0000C1000000}"/>
    <cellStyle name="20% - Énfasis2 8" xfId="2552" xr:uid="{00000000-0005-0000-0000-0000C2000000}"/>
    <cellStyle name="20% - Énfasis2 9" xfId="3781" xr:uid="{00000000-0005-0000-0000-0000C3000000}"/>
    <cellStyle name="20% - Énfasis3 10" xfId="41" xr:uid="{00000000-0005-0000-0000-0000C4000000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3" xfId="4431" xr:uid="{00000000-0005-0000-0000-0000CB000000}"/>
    <cellStyle name="20% - Énfasis3 2 2 2 3" xfId="1079" xr:uid="{00000000-0005-0000-0000-0000CC000000}"/>
    <cellStyle name="20% - Énfasis3 2 2 2 3 2" xfId="3124" xr:uid="{00000000-0005-0000-0000-0000CD000000}"/>
    <cellStyle name="20% - Énfasis3 2 2 2 3 3" xfId="4837" xr:uid="{00000000-0005-0000-0000-0000CE000000}"/>
    <cellStyle name="20% - Énfasis3 2 2 2 4" xfId="2507" xr:uid="{00000000-0005-0000-0000-0000CF000000}"/>
    <cellStyle name="20% - Énfasis3 2 2 2 4 2" xfId="3736" xr:uid="{00000000-0005-0000-0000-0000D0000000}"/>
    <cellStyle name="20% - Énfasis3 2 2 2 5" xfId="2899" xr:uid="{00000000-0005-0000-0000-0000D1000000}"/>
    <cellStyle name="20% - Énfasis3 2 2 2 6" xfId="4081" xr:uid="{00000000-0005-0000-0000-0000D2000000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3" xfId="4259" xr:uid="{00000000-0005-0000-0000-0000D6000000}"/>
    <cellStyle name="20% - Énfasis3 2 2 4" xfId="906" xr:uid="{00000000-0005-0000-0000-0000D7000000}"/>
    <cellStyle name="20% - Énfasis3 2 2 4 2" xfId="3123" xr:uid="{00000000-0005-0000-0000-0000D8000000}"/>
    <cellStyle name="20% - Énfasis3 2 2 4 3" xfId="4664" xr:uid="{00000000-0005-0000-0000-0000D9000000}"/>
    <cellStyle name="20% - Énfasis3 2 2 5" xfId="2336" xr:uid="{00000000-0005-0000-0000-0000DA000000}"/>
    <cellStyle name="20% - Énfasis3 2 2 5 2" xfId="3564" xr:uid="{00000000-0005-0000-0000-0000DB000000}"/>
    <cellStyle name="20% - Énfasis3 2 2 6" xfId="2728" xr:uid="{00000000-0005-0000-0000-0000DC000000}"/>
    <cellStyle name="20% - Énfasis3 2 2 7" xfId="3909" xr:uid="{00000000-0005-0000-0000-0000DD000000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3" xfId="4346" xr:uid="{00000000-0005-0000-0000-0000E2000000}"/>
    <cellStyle name="20% - Énfasis3 2 3 3" xfId="994" xr:uid="{00000000-0005-0000-0000-0000E3000000}"/>
    <cellStyle name="20% - Énfasis3 2 3 3 2" xfId="3125" xr:uid="{00000000-0005-0000-0000-0000E4000000}"/>
    <cellStyle name="20% - Énfasis3 2 3 3 3" xfId="4752" xr:uid="{00000000-0005-0000-0000-0000E5000000}"/>
    <cellStyle name="20% - Énfasis3 2 3 4" xfId="2422" xr:uid="{00000000-0005-0000-0000-0000E6000000}"/>
    <cellStyle name="20% - Énfasis3 2 3 4 2" xfId="3651" xr:uid="{00000000-0005-0000-0000-0000E7000000}"/>
    <cellStyle name="20% - Énfasis3 2 3 5" xfId="2814" xr:uid="{00000000-0005-0000-0000-0000E8000000}"/>
    <cellStyle name="20% - Énfasis3 2 3 6" xfId="3996" xr:uid="{00000000-0005-0000-0000-0000E9000000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3" xfId="4174" xr:uid="{00000000-0005-0000-0000-0000ED000000}"/>
    <cellStyle name="20% - Énfasis3 2 5" xfId="820" xr:uid="{00000000-0005-0000-0000-0000EE000000}"/>
    <cellStyle name="20% - Énfasis3 2 5 2" xfId="3122" xr:uid="{00000000-0005-0000-0000-0000EF000000}"/>
    <cellStyle name="20% - Énfasis3 2 5 3" xfId="4578" xr:uid="{00000000-0005-0000-0000-0000F0000000}"/>
    <cellStyle name="20% - Énfasis3 2 6" xfId="2251" xr:uid="{00000000-0005-0000-0000-0000F1000000}"/>
    <cellStyle name="20% - Énfasis3 2 6 2" xfId="3479" xr:uid="{00000000-0005-0000-0000-0000F2000000}"/>
    <cellStyle name="20% - Énfasis3 2 7" xfId="2642" xr:uid="{00000000-0005-0000-0000-0000F3000000}"/>
    <cellStyle name="20% - Énfasis3 2 8" xfId="3824" xr:uid="{00000000-0005-0000-0000-0000F4000000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3" xfId="4387" xr:uid="{00000000-0005-0000-0000-0000FA000000}"/>
    <cellStyle name="20% - Énfasis3 3 2 3" xfId="1035" xr:uid="{00000000-0005-0000-0000-0000FB000000}"/>
    <cellStyle name="20% - Énfasis3 3 2 3 2" xfId="3127" xr:uid="{00000000-0005-0000-0000-0000FC000000}"/>
    <cellStyle name="20% - Énfasis3 3 2 3 3" xfId="4793" xr:uid="{00000000-0005-0000-0000-0000FD000000}"/>
    <cellStyle name="20% - Énfasis3 3 2 4" xfId="2463" xr:uid="{00000000-0005-0000-0000-0000FE000000}"/>
    <cellStyle name="20% - Énfasis3 3 2 4 2" xfId="3692" xr:uid="{00000000-0005-0000-0000-0000FF000000}"/>
    <cellStyle name="20% - Énfasis3 3 2 5" xfId="2855" xr:uid="{00000000-0005-0000-0000-000000010000}"/>
    <cellStyle name="20% - Énfasis3 3 2 6" xfId="4037" xr:uid="{00000000-0005-0000-0000-000001010000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3" xfId="4215" xr:uid="{00000000-0005-0000-0000-000005010000}"/>
    <cellStyle name="20% - Énfasis3 3 4" xfId="861" xr:uid="{00000000-0005-0000-0000-000006010000}"/>
    <cellStyle name="20% - Énfasis3 3 4 2" xfId="3126" xr:uid="{00000000-0005-0000-0000-000007010000}"/>
    <cellStyle name="20% - Énfasis3 3 4 3" xfId="4619" xr:uid="{00000000-0005-0000-0000-000008010000}"/>
    <cellStyle name="20% - Énfasis3 3 5" xfId="2292" xr:uid="{00000000-0005-0000-0000-000009010000}"/>
    <cellStyle name="20% - Énfasis3 3 5 2" xfId="3520" xr:uid="{00000000-0005-0000-0000-00000A010000}"/>
    <cellStyle name="20% - Énfasis3 3 6" xfId="2683" xr:uid="{00000000-0005-0000-0000-00000B010000}"/>
    <cellStyle name="20% - Énfasis3 3 7" xfId="3865" xr:uid="{00000000-0005-0000-0000-00000C010000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3" xfId="4302" xr:uid="{00000000-0005-0000-0000-000011010000}"/>
    <cellStyle name="20% - Énfasis3 4 3" xfId="949" xr:uid="{00000000-0005-0000-0000-000012010000}"/>
    <cellStyle name="20% - Énfasis3 4 3 2" xfId="3128" xr:uid="{00000000-0005-0000-0000-000013010000}"/>
    <cellStyle name="20% - Énfasis3 4 3 3" xfId="4707" xr:uid="{00000000-0005-0000-0000-000014010000}"/>
    <cellStyle name="20% - Énfasis3 4 4" xfId="2378" xr:uid="{00000000-0005-0000-0000-000015010000}"/>
    <cellStyle name="20% - Énfasis3 4 4 2" xfId="3607" xr:uid="{00000000-0005-0000-0000-000016010000}"/>
    <cellStyle name="20% - Énfasis3 4 5" xfId="2602" xr:uid="{00000000-0005-0000-0000-000017010000}"/>
    <cellStyle name="20% - Énfasis3 4 6" xfId="3952" xr:uid="{00000000-0005-0000-0000-000018010000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3" xfId="4883" xr:uid="{00000000-0005-0000-0000-00001C010000}"/>
    <cellStyle name="20% - Énfasis3 5 3" xfId="2774" xr:uid="{00000000-0005-0000-0000-00001D010000}"/>
    <cellStyle name="20% - Énfasis3 5 4" xfId="4127" xr:uid="{00000000-0005-0000-0000-00001E010000}"/>
    <cellStyle name="20% - Énfasis3 6" xfId="780" xr:uid="{00000000-0005-0000-0000-00001F010000}"/>
    <cellStyle name="20% - Énfasis3 6 2" xfId="2945" xr:uid="{00000000-0005-0000-0000-000020010000}"/>
    <cellStyle name="20% - Énfasis3 6 3" xfId="4538" xr:uid="{00000000-0005-0000-0000-000021010000}"/>
    <cellStyle name="20% - Énfasis3 7" xfId="1506" xr:uid="{00000000-0005-0000-0000-000022010000}"/>
    <cellStyle name="20% - Énfasis3 7 2" xfId="3439" xr:uid="{00000000-0005-0000-0000-000023010000}"/>
    <cellStyle name="20% - Énfasis3 8" xfId="2555" xr:uid="{00000000-0005-0000-0000-000024010000}"/>
    <cellStyle name="20% - Énfasis3 9" xfId="3784" xr:uid="{00000000-0005-0000-0000-000025010000}"/>
    <cellStyle name="20% - Énfasis4 10" xfId="45" xr:uid="{00000000-0005-0000-0000-000026010000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3" xfId="4434" xr:uid="{00000000-0005-0000-0000-00002D010000}"/>
    <cellStyle name="20% - Énfasis4 2 2 2 3" xfId="1082" xr:uid="{00000000-0005-0000-0000-00002E010000}"/>
    <cellStyle name="20% - Énfasis4 2 2 2 3 2" xfId="3131" xr:uid="{00000000-0005-0000-0000-00002F010000}"/>
    <cellStyle name="20% - Énfasis4 2 2 2 3 3" xfId="4840" xr:uid="{00000000-0005-0000-0000-000030010000}"/>
    <cellStyle name="20% - Énfasis4 2 2 2 4" xfId="2510" xr:uid="{00000000-0005-0000-0000-000031010000}"/>
    <cellStyle name="20% - Énfasis4 2 2 2 4 2" xfId="3739" xr:uid="{00000000-0005-0000-0000-000032010000}"/>
    <cellStyle name="20% - Énfasis4 2 2 2 5" xfId="2902" xr:uid="{00000000-0005-0000-0000-000033010000}"/>
    <cellStyle name="20% - Énfasis4 2 2 2 6" xfId="4084" xr:uid="{00000000-0005-0000-0000-000034010000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3" xfId="4262" xr:uid="{00000000-0005-0000-0000-000038010000}"/>
    <cellStyle name="20% - Énfasis4 2 2 4" xfId="909" xr:uid="{00000000-0005-0000-0000-000039010000}"/>
    <cellStyle name="20% - Énfasis4 2 2 4 2" xfId="3130" xr:uid="{00000000-0005-0000-0000-00003A010000}"/>
    <cellStyle name="20% - Énfasis4 2 2 4 3" xfId="4667" xr:uid="{00000000-0005-0000-0000-00003B010000}"/>
    <cellStyle name="20% - Énfasis4 2 2 5" xfId="2339" xr:uid="{00000000-0005-0000-0000-00003C010000}"/>
    <cellStyle name="20% - Énfasis4 2 2 5 2" xfId="3567" xr:uid="{00000000-0005-0000-0000-00003D010000}"/>
    <cellStyle name="20% - Énfasis4 2 2 6" xfId="2731" xr:uid="{00000000-0005-0000-0000-00003E010000}"/>
    <cellStyle name="20% - Énfasis4 2 2 7" xfId="3912" xr:uid="{00000000-0005-0000-0000-00003F010000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3" xfId="4349" xr:uid="{00000000-0005-0000-0000-000044010000}"/>
    <cellStyle name="20% - Énfasis4 2 3 3" xfId="997" xr:uid="{00000000-0005-0000-0000-000045010000}"/>
    <cellStyle name="20% - Énfasis4 2 3 3 2" xfId="3132" xr:uid="{00000000-0005-0000-0000-000046010000}"/>
    <cellStyle name="20% - Énfasis4 2 3 3 3" xfId="4755" xr:uid="{00000000-0005-0000-0000-000047010000}"/>
    <cellStyle name="20% - Énfasis4 2 3 4" xfId="2425" xr:uid="{00000000-0005-0000-0000-000048010000}"/>
    <cellStyle name="20% - Énfasis4 2 3 4 2" xfId="3654" xr:uid="{00000000-0005-0000-0000-000049010000}"/>
    <cellStyle name="20% - Énfasis4 2 3 5" xfId="2817" xr:uid="{00000000-0005-0000-0000-00004A010000}"/>
    <cellStyle name="20% - Énfasis4 2 3 6" xfId="3999" xr:uid="{00000000-0005-0000-0000-00004B010000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3" xfId="4177" xr:uid="{00000000-0005-0000-0000-00004F010000}"/>
    <cellStyle name="20% - Énfasis4 2 5" xfId="823" xr:uid="{00000000-0005-0000-0000-000050010000}"/>
    <cellStyle name="20% - Énfasis4 2 5 2" xfId="3129" xr:uid="{00000000-0005-0000-0000-000051010000}"/>
    <cellStyle name="20% - Énfasis4 2 5 3" xfId="4581" xr:uid="{00000000-0005-0000-0000-000052010000}"/>
    <cellStyle name="20% - Énfasis4 2 6" xfId="2254" xr:uid="{00000000-0005-0000-0000-000053010000}"/>
    <cellStyle name="20% - Énfasis4 2 6 2" xfId="3482" xr:uid="{00000000-0005-0000-0000-000054010000}"/>
    <cellStyle name="20% - Énfasis4 2 7" xfId="2645" xr:uid="{00000000-0005-0000-0000-000055010000}"/>
    <cellStyle name="20% - Énfasis4 2 8" xfId="3827" xr:uid="{00000000-0005-0000-0000-000056010000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3" xfId="4389" xr:uid="{00000000-0005-0000-0000-00005C010000}"/>
    <cellStyle name="20% - Énfasis4 3 2 3" xfId="1037" xr:uid="{00000000-0005-0000-0000-00005D010000}"/>
    <cellStyle name="20% - Énfasis4 3 2 3 2" xfId="3134" xr:uid="{00000000-0005-0000-0000-00005E010000}"/>
    <cellStyle name="20% - Énfasis4 3 2 3 3" xfId="4795" xr:uid="{00000000-0005-0000-0000-00005F010000}"/>
    <cellStyle name="20% - Énfasis4 3 2 4" xfId="2465" xr:uid="{00000000-0005-0000-0000-000060010000}"/>
    <cellStyle name="20% - Énfasis4 3 2 4 2" xfId="3694" xr:uid="{00000000-0005-0000-0000-000061010000}"/>
    <cellStyle name="20% - Énfasis4 3 2 5" xfId="2857" xr:uid="{00000000-0005-0000-0000-000062010000}"/>
    <cellStyle name="20% - Énfasis4 3 2 6" xfId="4039" xr:uid="{00000000-0005-0000-0000-00006301000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3" xfId="4217" xr:uid="{00000000-0005-0000-0000-000067010000}"/>
    <cellStyle name="20% - Énfasis4 3 4" xfId="863" xr:uid="{00000000-0005-0000-0000-000068010000}"/>
    <cellStyle name="20% - Énfasis4 3 4 2" xfId="3133" xr:uid="{00000000-0005-0000-0000-000069010000}"/>
    <cellStyle name="20% - Énfasis4 3 4 3" xfId="4621" xr:uid="{00000000-0005-0000-0000-00006A010000}"/>
    <cellStyle name="20% - Énfasis4 3 5" xfId="2294" xr:uid="{00000000-0005-0000-0000-00006B010000}"/>
    <cellStyle name="20% - Énfasis4 3 5 2" xfId="3522" xr:uid="{00000000-0005-0000-0000-00006C010000}"/>
    <cellStyle name="20% - Énfasis4 3 6" xfId="2685" xr:uid="{00000000-0005-0000-0000-00006D010000}"/>
    <cellStyle name="20% - Énfasis4 3 7" xfId="3867" xr:uid="{00000000-0005-0000-0000-00006E010000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3" xfId="4304" xr:uid="{00000000-0005-0000-0000-000073010000}"/>
    <cellStyle name="20% - Énfasis4 4 3" xfId="951" xr:uid="{00000000-0005-0000-0000-000074010000}"/>
    <cellStyle name="20% - Énfasis4 4 3 2" xfId="3135" xr:uid="{00000000-0005-0000-0000-000075010000}"/>
    <cellStyle name="20% - Énfasis4 4 3 3" xfId="4709" xr:uid="{00000000-0005-0000-0000-000076010000}"/>
    <cellStyle name="20% - Énfasis4 4 4" xfId="2380" xr:uid="{00000000-0005-0000-0000-000077010000}"/>
    <cellStyle name="20% - Énfasis4 4 4 2" xfId="3609" xr:uid="{00000000-0005-0000-0000-000078010000}"/>
    <cellStyle name="20% - Énfasis4 4 5" xfId="2605" xr:uid="{00000000-0005-0000-0000-000079010000}"/>
    <cellStyle name="20% - Énfasis4 4 6" xfId="3954" xr:uid="{00000000-0005-0000-0000-00007A010000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3" xfId="4885" xr:uid="{00000000-0005-0000-0000-00007E010000}"/>
    <cellStyle name="20% - Énfasis4 5 3" xfId="2777" xr:uid="{00000000-0005-0000-0000-00007F010000}"/>
    <cellStyle name="20% - Énfasis4 5 4" xfId="4129" xr:uid="{00000000-0005-0000-0000-000080010000}"/>
    <cellStyle name="20% - Énfasis4 6" xfId="783" xr:uid="{00000000-0005-0000-0000-000081010000}"/>
    <cellStyle name="20% - Énfasis4 6 2" xfId="2948" xr:uid="{00000000-0005-0000-0000-000082010000}"/>
    <cellStyle name="20% - Énfasis4 6 3" xfId="4541" xr:uid="{00000000-0005-0000-0000-000083010000}"/>
    <cellStyle name="20% - Énfasis4 7" xfId="1509" xr:uid="{00000000-0005-0000-0000-000084010000}"/>
    <cellStyle name="20% - Énfasis4 7 2" xfId="3442" xr:uid="{00000000-0005-0000-0000-000085010000}"/>
    <cellStyle name="20% - Énfasis4 8" xfId="2558" xr:uid="{00000000-0005-0000-0000-000086010000}"/>
    <cellStyle name="20% - Énfasis4 9" xfId="3787" xr:uid="{00000000-0005-0000-0000-000087010000}"/>
    <cellStyle name="20% - Énfasis5 10" xfId="49" xr:uid="{00000000-0005-0000-0000-000088010000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3" xfId="4437" xr:uid="{00000000-0005-0000-0000-00008F010000}"/>
    <cellStyle name="20% - Énfasis5 2 2 2 3" xfId="1085" xr:uid="{00000000-0005-0000-0000-000090010000}"/>
    <cellStyle name="20% - Énfasis5 2 2 2 3 2" xfId="3138" xr:uid="{00000000-0005-0000-0000-000091010000}"/>
    <cellStyle name="20% - Énfasis5 2 2 2 3 3" xfId="4843" xr:uid="{00000000-0005-0000-0000-000092010000}"/>
    <cellStyle name="20% - Énfasis5 2 2 2 4" xfId="2513" xr:uid="{00000000-0005-0000-0000-000093010000}"/>
    <cellStyle name="20% - Énfasis5 2 2 2 4 2" xfId="3742" xr:uid="{00000000-0005-0000-0000-000094010000}"/>
    <cellStyle name="20% - Énfasis5 2 2 2 5" xfId="2905" xr:uid="{00000000-0005-0000-0000-000095010000}"/>
    <cellStyle name="20% - Énfasis5 2 2 2 6" xfId="4087" xr:uid="{00000000-0005-0000-0000-000096010000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3" xfId="4265" xr:uid="{00000000-0005-0000-0000-00009A010000}"/>
    <cellStyle name="20% - Énfasis5 2 2 4" xfId="912" xr:uid="{00000000-0005-0000-0000-00009B010000}"/>
    <cellStyle name="20% - Énfasis5 2 2 4 2" xfId="3137" xr:uid="{00000000-0005-0000-0000-00009C010000}"/>
    <cellStyle name="20% - Énfasis5 2 2 4 3" xfId="4670" xr:uid="{00000000-0005-0000-0000-00009D010000}"/>
    <cellStyle name="20% - Énfasis5 2 2 5" xfId="2342" xr:uid="{00000000-0005-0000-0000-00009E010000}"/>
    <cellStyle name="20% - Énfasis5 2 2 5 2" xfId="3570" xr:uid="{00000000-0005-0000-0000-00009F010000}"/>
    <cellStyle name="20% - Énfasis5 2 2 6" xfId="2734" xr:uid="{00000000-0005-0000-0000-0000A0010000}"/>
    <cellStyle name="20% - Énfasis5 2 2 7" xfId="3915" xr:uid="{00000000-0005-0000-0000-0000A1010000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3" xfId="4352" xr:uid="{00000000-0005-0000-0000-0000A6010000}"/>
    <cellStyle name="20% - Énfasis5 2 3 3" xfId="1000" xr:uid="{00000000-0005-0000-0000-0000A7010000}"/>
    <cellStyle name="20% - Énfasis5 2 3 3 2" xfId="3139" xr:uid="{00000000-0005-0000-0000-0000A8010000}"/>
    <cellStyle name="20% - Énfasis5 2 3 3 3" xfId="4758" xr:uid="{00000000-0005-0000-0000-0000A9010000}"/>
    <cellStyle name="20% - Énfasis5 2 3 4" xfId="2428" xr:uid="{00000000-0005-0000-0000-0000AA010000}"/>
    <cellStyle name="20% - Énfasis5 2 3 4 2" xfId="3657" xr:uid="{00000000-0005-0000-0000-0000AB010000}"/>
    <cellStyle name="20% - Énfasis5 2 3 5" xfId="2820" xr:uid="{00000000-0005-0000-0000-0000AC010000}"/>
    <cellStyle name="20% - Énfasis5 2 3 6" xfId="4002" xr:uid="{00000000-0005-0000-0000-0000AD010000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3" xfId="4180" xr:uid="{00000000-0005-0000-0000-0000B1010000}"/>
    <cellStyle name="20% - Énfasis5 2 5" xfId="826" xr:uid="{00000000-0005-0000-0000-0000B2010000}"/>
    <cellStyle name="20% - Énfasis5 2 5 2" xfId="3136" xr:uid="{00000000-0005-0000-0000-0000B3010000}"/>
    <cellStyle name="20% - Énfasis5 2 5 3" xfId="4584" xr:uid="{00000000-0005-0000-0000-0000B4010000}"/>
    <cellStyle name="20% - Énfasis5 2 6" xfId="2257" xr:uid="{00000000-0005-0000-0000-0000B5010000}"/>
    <cellStyle name="20% - Énfasis5 2 6 2" xfId="3485" xr:uid="{00000000-0005-0000-0000-0000B6010000}"/>
    <cellStyle name="20% - Énfasis5 2 7" xfId="2648" xr:uid="{00000000-0005-0000-0000-0000B7010000}"/>
    <cellStyle name="20% - Énfasis5 2 8" xfId="3830" xr:uid="{00000000-0005-0000-0000-0000B8010000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3" xfId="4391" xr:uid="{00000000-0005-0000-0000-0000BE010000}"/>
    <cellStyle name="20% - Énfasis5 3 2 3" xfId="1039" xr:uid="{00000000-0005-0000-0000-0000BF010000}"/>
    <cellStyle name="20% - Énfasis5 3 2 3 2" xfId="3141" xr:uid="{00000000-0005-0000-0000-0000C0010000}"/>
    <cellStyle name="20% - Énfasis5 3 2 3 3" xfId="4797" xr:uid="{00000000-0005-0000-0000-0000C1010000}"/>
    <cellStyle name="20% - Énfasis5 3 2 4" xfId="2467" xr:uid="{00000000-0005-0000-0000-0000C2010000}"/>
    <cellStyle name="20% - Énfasis5 3 2 4 2" xfId="3696" xr:uid="{00000000-0005-0000-0000-0000C3010000}"/>
    <cellStyle name="20% - Énfasis5 3 2 5" xfId="2859" xr:uid="{00000000-0005-0000-0000-0000C4010000}"/>
    <cellStyle name="20% - Énfasis5 3 2 6" xfId="4041" xr:uid="{00000000-0005-0000-0000-0000C5010000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3" xfId="4219" xr:uid="{00000000-0005-0000-0000-0000C9010000}"/>
    <cellStyle name="20% - Énfasis5 3 4" xfId="865" xr:uid="{00000000-0005-0000-0000-0000CA010000}"/>
    <cellStyle name="20% - Énfasis5 3 4 2" xfId="3140" xr:uid="{00000000-0005-0000-0000-0000CB010000}"/>
    <cellStyle name="20% - Énfasis5 3 4 3" xfId="4623" xr:uid="{00000000-0005-0000-0000-0000CC010000}"/>
    <cellStyle name="20% - Énfasis5 3 5" xfId="2296" xr:uid="{00000000-0005-0000-0000-0000CD010000}"/>
    <cellStyle name="20% - Énfasis5 3 5 2" xfId="3524" xr:uid="{00000000-0005-0000-0000-0000CE010000}"/>
    <cellStyle name="20% - Énfasis5 3 6" xfId="2687" xr:uid="{00000000-0005-0000-0000-0000CF010000}"/>
    <cellStyle name="20% - Énfasis5 3 7" xfId="3869" xr:uid="{00000000-0005-0000-0000-0000D0010000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3" xfId="4306" xr:uid="{00000000-0005-0000-0000-0000D5010000}"/>
    <cellStyle name="20% - Énfasis5 4 3" xfId="953" xr:uid="{00000000-0005-0000-0000-0000D6010000}"/>
    <cellStyle name="20% - Énfasis5 4 3 2" xfId="3142" xr:uid="{00000000-0005-0000-0000-0000D7010000}"/>
    <cellStyle name="20% - Énfasis5 4 3 3" xfId="4711" xr:uid="{00000000-0005-0000-0000-0000D8010000}"/>
    <cellStyle name="20% - Énfasis5 4 4" xfId="2382" xr:uid="{00000000-0005-0000-0000-0000D9010000}"/>
    <cellStyle name="20% - Énfasis5 4 4 2" xfId="3611" xr:uid="{00000000-0005-0000-0000-0000DA010000}"/>
    <cellStyle name="20% - Énfasis5 4 5" xfId="2608" xr:uid="{00000000-0005-0000-0000-0000DB010000}"/>
    <cellStyle name="20% - Énfasis5 4 6" xfId="3956" xr:uid="{00000000-0005-0000-0000-0000DC010000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3" xfId="4887" xr:uid="{00000000-0005-0000-0000-0000E0010000}"/>
    <cellStyle name="20% - Énfasis5 5 3" xfId="2780" xr:uid="{00000000-0005-0000-0000-0000E1010000}"/>
    <cellStyle name="20% - Énfasis5 5 4" xfId="4131" xr:uid="{00000000-0005-0000-0000-0000E2010000}"/>
    <cellStyle name="20% - Énfasis5 6" xfId="786" xr:uid="{00000000-0005-0000-0000-0000E3010000}"/>
    <cellStyle name="20% - Énfasis5 6 2" xfId="2951" xr:uid="{00000000-0005-0000-0000-0000E4010000}"/>
    <cellStyle name="20% - Énfasis5 6 3" xfId="4544" xr:uid="{00000000-0005-0000-0000-0000E5010000}"/>
    <cellStyle name="20% - Énfasis5 7" xfId="1512" xr:uid="{00000000-0005-0000-0000-0000E6010000}"/>
    <cellStyle name="20% - Énfasis5 7 2" xfId="3445" xr:uid="{00000000-0005-0000-0000-0000E7010000}"/>
    <cellStyle name="20% - Énfasis5 8" xfId="2561" xr:uid="{00000000-0005-0000-0000-0000E8010000}"/>
    <cellStyle name="20% - Énfasis5 9" xfId="3790" xr:uid="{00000000-0005-0000-0000-0000E9010000}"/>
    <cellStyle name="20% - Énfasis6 10" xfId="53" xr:uid="{00000000-0005-0000-0000-0000EA010000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3" xfId="4440" xr:uid="{00000000-0005-0000-0000-0000F1010000}"/>
    <cellStyle name="20% - Énfasis6 2 2 2 3" xfId="1088" xr:uid="{00000000-0005-0000-0000-0000F2010000}"/>
    <cellStyle name="20% - Énfasis6 2 2 2 3 2" xfId="3145" xr:uid="{00000000-0005-0000-0000-0000F3010000}"/>
    <cellStyle name="20% - Énfasis6 2 2 2 3 3" xfId="4846" xr:uid="{00000000-0005-0000-0000-0000F4010000}"/>
    <cellStyle name="20% - Énfasis6 2 2 2 4" xfId="2516" xr:uid="{00000000-0005-0000-0000-0000F5010000}"/>
    <cellStyle name="20% - Énfasis6 2 2 2 4 2" xfId="3745" xr:uid="{00000000-0005-0000-0000-0000F6010000}"/>
    <cellStyle name="20% - Énfasis6 2 2 2 5" xfId="2908" xr:uid="{00000000-0005-0000-0000-0000F7010000}"/>
    <cellStyle name="20% - Énfasis6 2 2 2 6" xfId="4090" xr:uid="{00000000-0005-0000-0000-0000F8010000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3" xfId="4268" xr:uid="{00000000-0005-0000-0000-0000FC010000}"/>
    <cellStyle name="20% - Énfasis6 2 2 4" xfId="915" xr:uid="{00000000-0005-0000-0000-0000FD010000}"/>
    <cellStyle name="20% - Énfasis6 2 2 4 2" xfId="3144" xr:uid="{00000000-0005-0000-0000-0000FE010000}"/>
    <cellStyle name="20% - Énfasis6 2 2 4 3" xfId="4673" xr:uid="{00000000-0005-0000-0000-0000FF010000}"/>
    <cellStyle name="20% - Énfasis6 2 2 5" xfId="2345" xr:uid="{00000000-0005-0000-0000-000000020000}"/>
    <cellStyle name="20% - Énfasis6 2 2 5 2" xfId="3573" xr:uid="{00000000-0005-0000-0000-000001020000}"/>
    <cellStyle name="20% - Énfasis6 2 2 6" xfId="2737" xr:uid="{00000000-0005-0000-0000-000002020000}"/>
    <cellStyle name="20% - Énfasis6 2 2 7" xfId="3918" xr:uid="{00000000-0005-0000-0000-00000302000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3" xfId="4355" xr:uid="{00000000-0005-0000-0000-000008020000}"/>
    <cellStyle name="20% - Énfasis6 2 3 3" xfId="1003" xr:uid="{00000000-0005-0000-0000-000009020000}"/>
    <cellStyle name="20% - Énfasis6 2 3 3 2" xfId="3146" xr:uid="{00000000-0005-0000-0000-00000A020000}"/>
    <cellStyle name="20% - Énfasis6 2 3 3 3" xfId="4761" xr:uid="{00000000-0005-0000-0000-00000B020000}"/>
    <cellStyle name="20% - Énfasis6 2 3 4" xfId="2431" xr:uid="{00000000-0005-0000-0000-00000C020000}"/>
    <cellStyle name="20% - Énfasis6 2 3 4 2" xfId="3660" xr:uid="{00000000-0005-0000-0000-00000D020000}"/>
    <cellStyle name="20% - Énfasis6 2 3 5" xfId="2823" xr:uid="{00000000-0005-0000-0000-00000E020000}"/>
    <cellStyle name="20% - Énfasis6 2 3 6" xfId="4005" xr:uid="{00000000-0005-0000-0000-00000F020000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3" xfId="4183" xr:uid="{00000000-0005-0000-0000-000013020000}"/>
    <cellStyle name="20% - Énfasis6 2 5" xfId="829" xr:uid="{00000000-0005-0000-0000-000014020000}"/>
    <cellStyle name="20% - Énfasis6 2 5 2" xfId="3143" xr:uid="{00000000-0005-0000-0000-000015020000}"/>
    <cellStyle name="20% - Énfasis6 2 5 3" xfId="4587" xr:uid="{00000000-0005-0000-0000-000016020000}"/>
    <cellStyle name="20% - Énfasis6 2 6" xfId="2260" xr:uid="{00000000-0005-0000-0000-000017020000}"/>
    <cellStyle name="20% - Énfasis6 2 6 2" xfId="3488" xr:uid="{00000000-0005-0000-0000-000018020000}"/>
    <cellStyle name="20% - Énfasis6 2 7" xfId="2651" xr:uid="{00000000-0005-0000-0000-000019020000}"/>
    <cellStyle name="20% - Énfasis6 2 8" xfId="3833" xr:uid="{00000000-0005-0000-0000-00001A020000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3" xfId="4393" xr:uid="{00000000-0005-0000-0000-000020020000}"/>
    <cellStyle name="20% - Énfasis6 3 2 3" xfId="1041" xr:uid="{00000000-0005-0000-0000-000021020000}"/>
    <cellStyle name="20% - Énfasis6 3 2 3 2" xfId="3148" xr:uid="{00000000-0005-0000-0000-000022020000}"/>
    <cellStyle name="20% - Énfasis6 3 2 3 3" xfId="4799" xr:uid="{00000000-0005-0000-0000-000023020000}"/>
    <cellStyle name="20% - Énfasis6 3 2 4" xfId="2469" xr:uid="{00000000-0005-0000-0000-000024020000}"/>
    <cellStyle name="20% - Énfasis6 3 2 4 2" xfId="3698" xr:uid="{00000000-0005-0000-0000-000025020000}"/>
    <cellStyle name="20% - Énfasis6 3 2 5" xfId="2861" xr:uid="{00000000-0005-0000-0000-000026020000}"/>
    <cellStyle name="20% - Énfasis6 3 2 6" xfId="4043" xr:uid="{00000000-0005-0000-0000-000027020000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3" xfId="4221" xr:uid="{00000000-0005-0000-0000-00002B020000}"/>
    <cellStyle name="20% - Énfasis6 3 4" xfId="867" xr:uid="{00000000-0005-0000-0000-00002C020000}"/>
    <cellStyle name="20% - Énfasis6 3 4 2" xfId="3147" xr:uid="{00000000-0005-0000-0000-00002D020000}"/>
    <cellStyle name="20% - Énfasis6 3 4 3" xfId="4625" xr:uid="{00000000-0005-0000-0000-00002E020000}"/>
    <cellStyle name="20% - Énfasis6 3 5" xfId="2298" xr:uid="{00000000-0005-0000-0000-00002F020000}"/>
    <cellStyle name="20% - Énfasis6 3 5 2" xfId="3526" xr:uid="{00000000-0005-0000-0000-000030020000}"/>
    <cellStyle name="20% - Énfasis6 3 6" xfId="2689" xr:uid="{00000000-0005-0000-0000-000031020000}"/>
    <cellStyle name="20% - Énfasis6 3 7" xfId="3871" xr:uid="{00000000-0005-0000-0000-000032020000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3" xfId="4308" xr:uid="{00000000-0005-0000-0000-000037020000}"/>
    <cellStyle name="20% - Énfasis6 4 3" xfId="955" xr:uid="{00000000-0005-0000-0000-000038020000}"/>
    <cellStyle name="20% - Énfasis6 4 3 2" xfId="3149" xr:uid="{00000000-0005-0000-0000-000039020000}"/>
    <cellStyle name="20% - Énfasis6 4 3 3" xfId="4713" xr:uid="{00000000-0005-0000-0000-00003A020000}"/>
    <cellStyle name="20% - Énfasis6 4 4" xfId="2384" xr:uid="{00000000-0005-0000-0000-00003B020000}"/>
    <cellStyle name="20% - Énfasis6 4 4 2" xfId="3613" xr:uid="{00000000-0005-0000-0000-00003C020000}"/>
    <cellStyle name="20% - Énfasis6 4 5" xfId="2611" xr:uid="{00000000-0005-0000-0000-00003D020000}"/>
    <cellStyle name="20% - Énfasis6 4 6" xfId="3958" xr:uid="{00000000-0005-0000-0000-00003E020000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3" xfId="4889" xr:uid="{00000000-0005-0000-0000-000042020000}"/>
    <cellStyle name="20% - Énfasis6 5 3" xfId="2783" xr:uid="{00000000-0005-0000-0000-000043020000}"/>
    <cellStyle name="20% - Énfasis6 5 4" xfId="4133" xr:uid="{00000000-0005-0000-0000-000044020000}"/>
    <cellStyle name="20% - Énfasis6 6" xfId="789" xr:uid="{00000000-0005-0000-0000-000045020000}"/>
    <cellStyle name="20% - Énfasis6 6 2" xfId="2954" xr:uid="{00000000-0005-0000-0000-000046020000}"/>
    <cellStyle name="20% - Énfasis6 6 3" xfId="4547" xr:uid="{00000000-0005-0000-0000-000047020000}"/>
    <cellStyle name="20% - Énfasis6 7" xfId="1515" xr:uid="{00000000-0005-0000-0000-000048020000}"/>
    <cellStyle name="20% - Énfasis6 7 2" xfId="3448" xr:uid="{00000000-0005-0000-0000-000049020000}"/>
    <cellStyle name="20% - Énfasis6 8" xfId="2564" xr:uid="{00000000-0005-0000-0000-00004A020000}"/>
    <cellStyle name="20% - Énfasis6 9" xfId="3793" xr:uid="{00000000-0005-0000-0000-00004B020000}"/>
    <cellStyle name="40% - Énfasis1 10" xfId="34" xr:uid="{00000000-0005-0000-0000-00004C020000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3" xfId="4426" xr:uid="{00000000-0005-0000-0000-000053020000}"/>
    <cellStyle name="40% - Énfasis1 2 2 2 3" xfId="1074" xr:uid="{00000000-0005-0000-0000-000054020000}"/>
    <cellStyle name="40% - Énfasis1 2 2 2 3 2" xfId="3152" xr:uid="{00000000-0005-0000-0000-000055020000}"/>
    <cellStyle name="40% - Énfasis1 2 2 2 3 3" xfId="4832" xr:uid="{00000000-0005-0000-0000-000056020000}"/>
    <cellStyle name="40% - Énfasis1 2 2 2 4" xfId="2502" xr:uid="{00000000-0005-0000-0000-000057020000}"/>
    <cellStyle name="40% - Énfasis1 2 2 2 4 2" xfId="3731" xr:uid="{00000000-0005-0000-0000-000058020000}"/>
    <cellStyle name="40% - Énfasis1 2 2 2 5" xfId="2894" xr:uid="{00000000-0005-0000-0000-000059020000}"/>
    <cellStyle name="40% - Énfasis1 2 2 2 6" xfId="4076" xr:uid="{00000000-0005-0000-0000-00005A020000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3" xfId="4254" xr:uid="{00000000-0005-0000-0000-00005E020000}"/>
    <cellStyle name="40% - Énfasis1 2 2 4" xfId="901" xr:uid="{00000000-0005-0000-0000-00005F020000}"/>
    <cellStyle name="40% - Énfasis1 2 2 4 2" xfId="3151" xr:uid="{00000000-0005-0000-0000-000060020000}"/>
    <cellStyle name="40% - Énfasis1 2 2 4 3" xfId="4659" xr:uid="{00000000-0005-0000-0000-000061020000}"/>
    <cellStyle name="40% - Énfasis1 2 2 5" xfId="2331" xr:uid="{00000000-0005-0000-0000-000062020000}"/>
    <cellStyle name="40% - Énfasis1 2 2 5 2" xfId="3559" xr:uid="{00000000-0005-0000-0000-000063020000}"/>
    <cellStyle name="40% - Énfasis1 2 2 6" xfId="2723" xr:uid="{00000000-0005-0000-0000-000064020000}"/>
    <cellStyle name="40% - Énfasis1 2 2 7" xfId="3904" xr:uid="{00000000-0005-0000-0000-000065020000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3" xfId="4341" xr:uid="{00000000-0005-0000-0000-00006A020000}"/>
    <cellStyle name="40% - Énfasis1 2 3 3" xfId="989" xr:uid="{00000000-0005-0000-0000-00006B020000}"/>
    <cellStyle name="40% - Énfasis1 2 3 3 2" xfId="3153" xr:uid="{00000000-0005-0000-0000-00006C020000}"/>
    <cellStyle name="40% - Énfasis1 2 3 3 3" xfId="4747" xr:uid="{00000000-0005-0000-0000-00006D020000}"/>
    <cellStyle name="40% - Énfasis1 2 3 4" xfId="2417" xr:uid="{00000000-0005-0000-0000-00006E020000}"/>
    <cellStyle name="40% - Énfasis1 2 3 4 2" xfId="3646" xr:uid="{00000000-0005-0000-0000-00006F020000}"/>
    <cellStyle name="40% - Énfasis1 2 3 5" xfId="2809" xr:uid="{00000000-0005-0000-0000-000070020000}"/>
    <cellStyle name="40% - Énfasis1 2 3 6" xfId="3991" xr:uid="{00000000-0005-0000-0000-000071020000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3" xfId="4169" xr:uid="{00000000-0005-0000-0000-000075020000}"/>
    <cellStyle name="40% - Énfasis1 2 5" xfId="815" xr:uid="{00000000-0005-0000-0000-000076020000}"/>
    <cellStyle name="40% - Énfasis1 2 5 2" xfId="3150" xr:uid="{00000000-0005-0000-0000-000077020000}"/>
    <cellStyle name="40% - Énfasis1 2 5 3" xfId="4573" xr:uid="{00000000-0005-0000-0000-000078020000}"/>
    <cellStyle name="40% - Énfasis1 2 6" xfId="2246" xr:uid="{00000000-0005-0000-0000-000079020000}"/>
    <cellStyle name="40% - Énfasis1 2 6 2" xfId="3474" xr:uid="{00000000-0005-0000-0000-00007A020000}"/>
    <cellStyle name="40% - Énfasis1 2 7" xfId="2637" xr:uid="{00000000-0005-0000-0000-00007B020000}"/>
    <cellStyle name="40% - Énfasis1 2 8" xfId="3819" xr:uid="{00000000-0005-0000-0000-00007C020000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3" xfId="4384" xr:uid="{00000000-0005-0000-0000-000082020000}"/>
    <cellStyle name="40% - Énfasis1 3 2 3" xfId="1032" xr:uid="{00000000-0005-0000-0000-000083020000}"/>
    <cellStyle name="40% - Énfasis1 3 2 3 2" xfId="3155" xr:uid="{00000000-0005-0000-0000-000084020000}"/>
    <cellStyle name="40% - Énfasis1 3 2 3 3" xfId="4790" xr:uid="{00000000-0005-0000-0000-000085020000}"/>
    <cellStyle name="40% - Énfasis1 3 2 4" xfId="2460" xr:uid="{00000000-0005-0000-0000-000086020000}"/>
    <cellStyle name="40% - Énfasis1 3 2 4 2" xfId="3689" xr:uid="{00000000-0005-0000-0000-000087020000}"/>
    <cellStyle name="40% - Énfasis1 3 2 5" xfId="2852" xr:uid="{00000000-0005-0000-0000-000088020000}"/>
    <cellStyle name="40% - Énfasis1 3 2 6" xfId="4034" xr:uid="{00000000-0005-0000-0000-000089020000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3" xfId="4212" xr:uid="{00000000-0005-0000-0000-00008D020000}"/>
    <cellStyle name="40% - Énfasis1 3 4" xfId="858" xr:uid="{00000000-0005-0000-0000-00008E020000}"/>
    <cellStyle name="40% - Énfasis1 3 4 2" xfId="3154" xr:uid="{00000000-0005-0000-0000-00008F020000}"/>
    <cellStyle name="40% - Énfasis1 3 4 3" xfId="4616" xr:uid="{00000000-0005-0000-0000-000090020000}"/>
    <cellStyle name="40% - Énfasis1 3 5" xfId="2289" xr:uid="{00000000-0005-0000-0000-000091020000}"/>
    <cellStyle name="40% - Énfasis1 3 5 2" xfId="3517" xr:uid="{00000000-0005-0000-0000-000092020000}"/>
    <cellStyle name="40% - Énfasis1 3 6" xfId="2680" xr:uid="{00000000-0005-0000-0000-000093020000}"/>
    <cellStyle name="40% - Énfasis1 3 7" xfId="3862" xr:uid="{00000000-0005-0000-0000-000094020000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3" xfId="4299" xr:uid="{00000000-0005-0000-0000-000099020000}"/>
    <cellStyle name="40% - Énfasis1 4 3" xfId="946" xr:uid="{00000000-0005-0000-0000-00009A020000}"/>
    <cellStyle name="40% - Énfasis1 4 3 2" xfId="3156" xr:uid="{00000000-0005-0000-0000-00009B020000}"/>
    <cellStyle name="40% - Énfasis1 4 3 3" xfId="4704" xr:uid="{00000000-0005-0000-0000-00009C020000}"/>
    <cellStyle name="40% - Énfasis1 4 4" xfId="2375" xr:uid="{00000000-0005-0000-0000-00009D020000}"/>
    <cellStyle name="40% - Énfasis1 4 4 2" xfId="3604" xr:uid="{00000000-0005-0000-0000-00009E020000}"/>
    <cellStyle name="40% - Énfasis1 4 5" xfId="2597" xr:uid="{00000000-0005-0000-0000-00009F020000}"/>
    <cellStyle name="40% - Énfasis1 4 6" xfId="3949" xr:uid="{00000000-0005-0000-0000-0000A0020000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3" xfId="4880" xr:uid="{00000000-0005-0000-0000-0000A4020000}"/>
    <cellStyle name="40% - Énfasis1 5 3" xfId="2769" xr:uid="{00000000-0005-0000-0000-0000A5020000}"/>
    <cellStyle name="40% - Énfasis1 5 4" xfId="4124" xr:uid="{00000000-0005-0000-0000-0000A6020000}"/>
    <cellStyle name="40% - Énfasis1 6" xfId="775" xr:uid="{00000000-0005-0000-0000-0000A7020000}"/>
    <cellStyle name="40% - Énfasis1 6 2" xfId="2940" xr:uid="{00000000-0005-0000-0000-0000A8020000}"/>
    <cellStyle name="40% - Énfasis1 6 3" xfId="4533" xr:uid="{00000000-0005-0000-0000-0000A9020000}"/>
    <cellStyle name="40% - Énfasis1 7" xfId="1501" xr:uid="{00000000-0005-0000-0000-0000AA020000}"/>
    <cellStyle name="40% - Énfasis1 7 2" xfId="3434" xr:uid="{00000000-0005-0000-0000-0000AB020000}"/>
    <cellStyle name="40% - Énfasis1 8" xfId="2550" xr:uid="{00000000-0005-0000-0000-0000AC020000}"/>
    <cellStyle name="40% - Énfasis1 9" xfId="3779" xr:uid="{00000000-0005-0000-0000-0000AD020000}"/>
    <cellStyle name="40% - Énfasis2 10" xfId="38" xr:uid="{00000000-0005-0000-0000-0000AE020000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3" xfId="4429" xr:uid="{00000000-0005-0000-0000-0000B5020000}"/>
    <cellStyle name="40% - Énfasis2 2 2 2 3" xfId="1077" xr:uid="{00000000-0005-0000-0000-0000B6020000}"/>
    <cellStyle name="40% - Énfasis2 2 2 2 3 2" xfId="3159" xr:uid="{00000000-0005-0000-0000-0000B7020000}"/>
    <cellStyle name="40% - Énfasis2 2 2 2 3 3" xfId="4835" xr:uid="{00000000-0005-0000-0000-0000B8020000}"/>
    <cellStyle name="40% - Énfasis2 2 2 2 4" xfId="2505" xr:uid="{00000000-0005-0000-0000-0000B9020000}"/>
    <cellStyle name="40% - Énfasis2 2 2 2 4 2" xfId="3734" xr:uid="{00000000-0005-0000-0000-0000BA020000}"/>
    <cellStyle name="40% - Énfasis2 2 2 2 5" xfId="2897" xr:uid="{00000000-0005-0000-0000-0000BB020000}"/>
    <cellStyle name="40% - Énfasis2 2 2 2 6" xfId="4079" xr:uid="{00000000-0005-0000-0000-0000BC020000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3" xfId="4257" xr:uid="{00000000-0005-0000-0000-0000C0020000}"/>
    <cellStyle name="40% - Énfasis2 2 2 4" xfId="904" xr:uid="{00000000-0005-0000-0000-0000C1020000}"/>
    <cellStyle name="40% - Énfasis2 2 2 4 2" xfId="3158" xr:uid="{00000000-0005-0000-0000-0000C2020000}"/>
    <cellStyle name="40% - Énfasis2 2 2 4 3" xfId="4662" xr:uid="{00000000-0005-0000-0000-0000C3020000}"/>
    <cellStyle name="40% - Énfasis2 2 2 5" xfId="2334" xr:uid="{00000000-0005-0000-0000-0000C4020000}"/>
    <cellStyle name="40% - Énfasis2 2 2 5 2" xfId="3562" xr:uid="{00000000-0005-0000-0000-0000C5020000}"/>
    <cellStyle name="40% - Énfasis2 2 2 6" xfId="2726" xr:uid="{00000000-0005-0000-0000-0000C6020000}"/>
    <cellStyle name="40% - Énfasis2 2 2 7" xfId="3907" xr:uid="{00000000-0005-0000-0000-0000C7020000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3" xfId="4344" xr:uid="{00000000-0005-0000-0000-0000CC020000}"/>
    <cellStyle name="40% - Énfasis2 2 3 3" xfId="992" xr:uid="{00000000-0005-0000-0000-0000CD020000}"/>
    <cellStyle name="40% - Énfasis2 2 3 3 2" xfId="3160" xr:uid="{00000000-0005-0000-0000-0000CE020000}"/>
    <cellStyle name="40% - Énfasis2 2 3 3 3" xfId="4750" xr:uid="{00000000-0005-0000-0000-0000CF020000}"/>
    <cellStyle name="40% - Énfasis2 2 3 4" xfId="2420" xr:uid="{00000000-0005-0000-0000-0000D0020000}"/>
    <cellStyle name="40% - Énfasis2 2 3 4 2" xfId="3649" xr:uid="{00000000-0005-0000-0000-0000D1020000}"/>
    <cellStyle name="40% - Énfasis2 2 3 5" xfId="2812" xr:uid="{00000000-0005-0000-0000-0000D2020000}"/>
    <cellStyle name="40% - Énfasis2 2 3 6" xfId="3994" xr:uid="{00000000-0005-0000-0000-0000D3020000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3" xfId="4172" xr:uid="{00000000-0005-0000-0000-0000D7020000}"/>
    <cellStyle name="40% - Énfasis2 2 5" xfId="818" xr:uid="{00000000-0005-0000-0000-0000D8020000}"/>
    <cellStyle name="40% - Énfasis2 2 5 2" xfId="3157" xr:uid="{00000000-0005-0000-0000-0000D9020000}"/>
    <cellStyle name="40% - Énfasis2 2 5 3" xfId="4576" xr:uid="{00000000-0005-0000-0000-0000DA020000}"/>
    <cellStyle name="40% - Énfasis2 2 6" xfId="2249" xr:uid="{00000000-0005-0000-0000-0000DB020000}"/>
    <cellStyle name="40% - Énfasis2 2 6 2" xfId="3477" xr:uid="{00000000-0005-0000-0000-0000DC020000}"/>
    <cellStyle name="40% - Énfasis2 2 7" xfId="2640" xr:uid="{00000000-0005-0000-0000-0000DD020000}"/>
    <cellStyle name="40% - Énfasis2 2 8" xfId="3822" xr:uid="{00000000-0005-0000-0000-0000DE020000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3" xfId="4386" xr:uid="{00000000-0005-0000-0000-0000E4020000}"/>
    <cellStyle name="40% - Énfasis2 3 2 3" xfId="1034" xr:uid="{00000000-0005-0000-0000-0000E5020000}"/>
    <cellStyle name="40% - Énfasis2 3 2 3 2" xfId="3162" xr:uid="{00000000-0005-0000-0000-0000E6020000}"/>
    <cellStyle name="40% - Énfasis2 3 2 3 3" xfId="4792" xr:uid="{00000000-0005-0000-0000-0000E7020000}"/>
    <cellStyle name="40% - Énfasis2 3 2 4" xfId="2462" xr:uid="{00000000-0005-0000-0000-0000E8020000}"/>
    <cellStyle name="40% - Énfasis2 3 2 4 2" xfId="3691" xr:uid="{00000000-0005-0000-0000-0000E9020000}"/>
    <cellStyle name="40% - Énfasis2 3 2 5" xfId="2854" xr:uid="{00000000-0005-0000-0000-0000EA020000}"/>
    <cellStyle name="40% - Énfasis2 3 2 6" xfId="4036" xr:uid="{00000000-0005-0000-0000-0000EB020000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3" xfId="4214" xr:uid="{00000000-0005-0000-0000-0000EF020000}"/>
    <cellStyle name="40% - Énfasis2 3 4" xfId="860" xr:uid="{00000000-0005-0000-0000-0000F0020000}"/>
    <cellStyle name="40% - Énfasis2 3 4 2" xfId="3161" xr:uid="{00000000-0005-0000-0000-0000F1020000}"/>
    <cellStyle name="40% - Énfasis2 3 4 3" xfId="4618" xr:uid="{00000000-0005-0000-0000-0000F2020000}"/>
    <cellStyle name="40% - Énfasis2 3 5" xfId="2291" xr:uid="{00000000-0005-0000-0000-0000F3020000}"/>
    <cellStyle name="40% - Énfasis2 3 5 2" xfId="3519" xr:uid="{00000000-0005-0000-0000-0000F4020000}"/>
    <cellStyle name="40% - Énfasis2 3 6" xfId="2682" xr:uid="{00000000-0005-0000-0000-0000F5020000}"/>
    <cellStyle name="40% - Énfasis2 3 7" xfId="3864" xr:uid="{00000000-0005-0000-0000-0000F6020000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3" xfId="4301" xr:uid="{00000000-0005-0000-0000-0000FB020000}"/>
    <cellStyle name="40% - Énfasis2 4 3" xfId="948" xr:uid="{00000000-0005-0000-0000-0000FC020000}"/>
    <cellStyle name="40% - Énfasis2 4 3 2" xfId="3163" xr:uid="{00000000-0005-0000-0000-0000FD020000}"/>
    <cellStyle name="40% - Énfasis2 4 3 3" xfId="4706" xr:uid="{00000000-0005-0000-0000-0000FE020000}"/>
    <cellStyle name="40% - Énfasis2 4 4" xfId="2377" xr:uid="{00000000-0005-0000-0000-0000FF020000}"/>
    <cellStyle name="40% - Énfasis2 4 4 2" xfId="3606" xr:uid="{00000000-0005-0000-0000-000000030000}"/>
    <cellStyle name="40% - Énfasis2 4 5" xfId="2600" xr:uid="{00000000-0005-0000-0000-000001030000}"/>
    <cellStyle name="40% - Énfasis2 4 6" xfId="3951" xr:uid="{00000000-0005-0000-0000-00000203000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3" xfId="4882" xr:uid="{00000000-0005-0000-0000-000006030000}"/>
    <cellStyle name="40% - Énfasis2 5 3" xfId="2772" xr:uid="{00000000-0005-0000-0000-000007030000}"/>
    <cellStyle name="40% - Énfasis2 5 4" xfId="4126" xr:uid="{00000000-0005-0000-0000-000008030000}"/>
    <cellStyle name="40% - Énfasis2 6" xfId="778" xr:uid="{00000000-0005-0000-0000-000009030000}"/>
    <cellStyle name="40% - Énfasis2 6 2" xfId="2943" xr:uid="{00000000-0005-0000-0000-00000A030000}"/>
    <cellStyle name="40% - Énfasis2 6 3" xfId="4536" xr:uid="{00000000-0005-0000-0000-00000B030000}"/>
    <cellStyle name="40% - Énfasis2 7" xfId="1504" xr:uid="{00000000-0005-0000-0000-00000C030000}"/>
    <cellStyle name="40% - Énfasis2 7 2" xfId="3437" xr:uid="{00000000-0005-0000-0000-00000D030000}"/>
    <cellStyle name="40% - Énfasis2 8" xfId="2553" xr:uid="{00000000-0005-0000-0000-00000E030000}"/>
    <cellStyle name="40% - Énfasis2 9" xfId="3782" xr:uid="{00000000-0005-0000-0000-00000F030000}"/>
    <cellStyle name="40% - Énfasis3 10" xfId="42" xr:uid="{00000000-0005-0000-0000-00001003000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3" xfId="4432" xr:uid="{00000000-0005-0000-0000-000017030000}"/>
    <cellStyle name="40% - Énfasis3 2 2 2 3" xfId="1080" xr:uid="{00000000-0005-0000-0000-000018030000}"/>
    <cellStyle name="40% - Énfasis3 2 2 2 3 2" xfId="3166" xr:uid="{00000000-0005-0000-0000-000019030000}"/>
    <cellStyle name="40% - Énfasis3 2 2 2 3 3" xfId="4838" xr:uid="{00000000-0005-0000-0000-00001A030000}"/>
    <cellStyle name="40% - Énfasis3 2 2 2 4" xfId="2508" xr:uid="{00000000-0005-0000-0000-00001B030000}"/>
    <cellStyle name="40% - Énfasis3 2 2 2 4 2" xfId="3737" xr:uid="{00000000-0005-0000-0000-00001C030000}"/>
    <cellStyle name="40% - Énfasis3 2 2 2 5" xfId="2900" xr:uid="{00000000-0005-0000-0000-00001D030000}"/>
    <cellStyle name="40% - Énfasis3 2 2 2 6" xfId="4082" xr:uid="{00000000-0005-0000-0000-00001E030000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3" xfId="4260" xr:uid="{00000000-0005-0000-0000-000022030000}"/>
    <cellStyle name="40% - Énfasis3 2 2 4" xfId="907" xr:uid="{00000000-0005-0000-0000-000023030000}"/>
    <cellStyle name="40% - Énfasis3 2 2 4 2" xfId="3165" xr:uid="{00000000-0005-0000-0000-000024030000}"/>
    <cellStyle name="40% - Énfasis3 2 2 4 3" xfId="4665" xr:uid="{00000000-0005-0000-0000-000025030000}"/>
    <cellStyle name="40% - Énfasis3 2 2 5" xfId="2337" xr:uid="{00000000-0005-0000-0000-000026030000}"/>
    <cellStyle name="40% - Énfasis3 2 2 5 2" xfId="3565" xr:uid="{00000000-0005-0000-0000-000027030000}"/>
    <cellStyle name="40% - Énfasis3 2 2 6" xfId="2729" xr:uid="{00000000-0005-0000-0000-000028030000}"/>
    <cellStyle name="40% - Énfasis3 2 2 7" xfId="3910" xr:uid="{00000000-0005-0000-0000-000029030000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3" xfId="4347" xr:uid="{00000000-0005-0000-0000-00002E030000}"/>
    <cellStyle name="40% - Énfasis3 2 3 3" xfId="995" xr:uid="{00000000-0005-0000-0000-00002F030000}"/>
    <cellStyle name="40% - Énfasis3 2 3 3 2" xfId="3167" xr:uid="{00000000-0005-0000-0000-000030030000}"/>
    <cellStyle name="40% - Énfasis3 2 3 3 3" xfId="4753" xr:uid="{00000000-0005-0000-0000-000031030000}"/>
    <cellStyle name="40% - Énfasis3 2 3 4" xfId="2423" xr:uid="{00000000-0005-0000-0000-000032030000}"/>
    <cellStyle name="40% - Énfasis3 2 3 4 2" xfId="3652" xr:uid="{00000000-0005-0000-0000-000033030000}"/>
    <cellStyle name="40% - Énfasis3 2 3 5" xfId="2815" xr:uid="{00000000-0005-0000-0000-000034030000}"/>
    <cellStyle name="40% - Énfasis3 2 3 6" xfId="3997" xr:uid="{00000000-0005-0000-0000-000035030000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3" xfId="4175" xr:uid="{00000000-0005-0000-0000-000039030000}"/>
    <cellStyle name="40% - Énfasis3 2 5" xfId="821" xr:uid="{00000000-0005-0000-0000-00003A030000}"/>
    <cellStyle name="40% - Énfasis3 2 5 2" xfId="3164" xr:uid="{00000000-0005-0000-0000-00003B030000}"/>
    <cellStyle name="40% - Énfasis3 2 5 3" xfId="4579" xr:uid="{00000000-0005-0000-0000-00003C030000}"/>
    <cellStyle name="40% - Énfasis3 2 6" xfId="2252" xr:uid="{00000000-0005-0000-0000-00003D030000}"/>
    <cellStyle name="40% - Énfasis3 2 6 2" xfId="3480" xr:uid="{00000000-0005-0000-0000-00003E030000}"/>
    <cellStyle name="40% - Énfasis3 2 7" xfId="2643" xr:uid="{00000000-0005-0000-0000-00003F030000}"/>
    <cellStyle name="40% - Énfasis3 2 8" xfId="3825" xr:uid="{00000000-0005-0000-0000-000040030000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3" xfId="4388" xr:uid="{00000000-0005-0000-0000-000046030000}"/>
    <cellStyle name="40% - Énfasis3 3 2 3" xfId="1036" xr:uid="{00000000-0005-0000-0000-000047030000}"/>
    <cellStyle name="40% - Énfasis3 3 2 3 2" xfId="3169" xr:uid="{00000000-0005-0000-0000-000048030000}"/>
    <cellStyle name="40% - Énfasis3 3 2 3 3" xfId="4794" xr:uid="{00000000-0005-0000-0000-000049030000}"/>
    <cellStyle name="40% - Énfasis3 3 2 4" xfId="2464" xr:uid="{00000000-0005-0000-0000-00004A030000}"/>
    <cellStyle name="40% - Énfasis3 3 2 4 2" xfId="3693" xr:uid="{00000000-0005-0000-0000-00004B030000}"/>
    <cellStyle name="40% - Énfasis3 3 2 5" xfId="2856" xr:uid="{00000000-0005-0000-0000-00004C030000}"/>
    <cellStyle name="40% - Énfasis3 3 2 6" xfId="4038" xr:uid="{00000000-0005-0000-0000-00004D030000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3" xfId="4216" xr:uid="{00000000-0005-0000-0000-000051030000}"/>
    <cellStyle name="40% - Énfasis3 3 4" xfId="862" xr:uid="{00000000-0005-0000-0000-000052030000}"/>
    <cellStyle name="40% - Énfasis3 3 4 2" xfId="3168" xr:uid="{00000000-0005-0000-0000-000053030000}"/>
    <cellStyle name="40% - Énfasis3 3 4 3" xfId="4620" xr:uid="{00000000-0005-0000-0000-000054030000}"/>
    <cellStyle name="40% - Énfasis3 3 5" xfId="2293" xr:uid="{00000000-0005-0000-0000-000055030000}"/>
    <cellStyle name="40% - Énfasis3 3 5 2" xfId="3521" xr:uid="{00000000-0005-0000-0000-000056030000}"/>
    <cellStyle name="40% - Énfasis3 3 6" xfId="2684" xr:uid="{00000000-0005-0000-0000-000057030000}"/>
    <cellStyle name="40% - Énfasis3 3 7" xfId="3866" xr:uid="{00000000-0005-0000-0000-000058030000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3" xfId="4303" xr:uid="{00000000-0005-0000-0000-00005D030000}"/>
    <cellStyle name="40% - Énfasis3 4 3" xfId="950" xr:uid="{00000000-0005-0000-0000-00005E030000}"/>
    <cellStyle name="40% - Énfasis3 4 3 2" xfId="3170" xr:uid="{00000000-0005-0000-0000-00005F030000}"/>
    <cellStyle name="40% - Énfasis3 4 3 3" xfId="4708" xr:uid="{00000000-0005-0000-0000-000060030000}"/>
    <cellStyle name="40% - Énfasis3 4 4" xfId="2379" xr:uid="{00000000-0005-0000-0000-000061030000}"/>
    <cellStyle name="40% - Énfasis3 4 4 2" xfId="3608" xr:uid="{00000000-0005-0000-0000-000062030000}"/>
    <cellStyle name="40% - Énfasis3 4 5" xfId="2603" xr:uid="{00000000-0005-0000-0000-000063030000}"/>
    <cellStyle name="40% - Énfasis3 4 6" xfId="3953" xr:uid="{00000000-0005-0000-0000-000064030000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3" xfId="4884" xr:uid="{00000000-0005-0000-0000-000068030000}"/>
    <cellStyle name="40% - Énfasis3 5 3" xfId="2775" xr:uid="{00000000-0005-0000-0000-000069030000}"/>
    <cellStyle name="40% - Énfasis3 5 4" xfId="4128" xr:uid="{00000000-0005-0000-0000-00006A030000}"/>
    <cellStyle name="40% - Énfasis3 6" xfId="781" xr:uid="{00000000-0005-0000-0000-00006B030000}"/>
    <cellStyle name="40% - Énfasis3 6 2" xfId="2946" xr:uid="{00000000-0005-0000-0000-00006C030000}"/>
    <cellStyle name="40% - Énfasis3 6 3" xfId="4539" xr:uid="{00000000-0005-0000-0000-00006D030000}"/>
    <cellStyle name="40% - Énfasis3 7" xfId="1507" xr:uid="{00000000-0005-0000-0000-00006E030000}"/>
    <cellStyle name="40% - Énfasis3 7 2" xfId="3440" xr:uid="{00000000-0005-0000-0000-00006F030000}"/>
    <cellStyle name="40% - Énfasis3 8" xfId="2556" xr:uid="{00000000-0005-0000-0000-000070030000}"/>
    <cellStyle name="40% - Énfasis3 9" xfId="3785" xr:uid="{00000000-0005-0000-0000-000071030000}"/>
    <cellStyle name="40% - Énfasis4 10" xfId="46" xr:uid="{00000000-0005-0000-0000-000072030000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3" xfId="4435" xr:uid="{00000000-0005-0000-0000-000079030000}"/>
    <cellStyle name="40% - Énfasis4 2 2 2 3" xfId="1083" xr:uid="{00000000-0005-0000-0000-00007A030000}"/>
    <cellStyle name="40% - Énfasis4 2 2 2 3 2" xfId="3173" xr:uid="{00000000-0005-0000-0000-00007B030000}"/>
    <cellStyle name="40% - Énfasis4 2 2 2 3 3" xfId="4841" xr:uid="{00000000-0005-0000-0000-00007C030000}"/>
    <cellStyle name="40% - Énfasis4 2 2 2 4" xfId="2511" xr:uid="{00000000-0005-0000-0000-00007D030000}"/>
    <cellStyle name="40% - Énfasis4 2 2 2 4 2" xfId="3740" xr:uid="{00000000-0005-0000-0000-00007E030000}"/>
    <cellStyle name="40% - Énfasis4 2 2 2 5" xfId="2903" xr:uid="{00000000-0005-0000-0000-00007F030000}"/>
    <cellStyle name="40% - Énfasis4 2 2 2 6" xfId="4085" xr:uid="{00000000-0005-0000-0000-000080030000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3" xfId="4263" xr:uid="{00000000-0005-0000-0000-000084030000}"/>
    <cellStyle name="40% - Énfasis4 2 2 4" xfId="910" xr:uid="{00000000-0005-0000-0000-000085030000}"/>
    <cellStyle name="40% - Énfasis4 2 2 4 2" xfId="3172" xr:uid="{00000000-0005-0000-0000-000086030000}"/>
    <cellStyle name="40% - Énfasis4 2 2 4 3" xfId="4668" xr:uid="{00000000-0005-0000-0000-000087030000}"/>
    <cellStyle name="40% - Énfasis4 2 2 5" xfId="2340" xr:uid="{00000000-0005-0000-0000-000088030000}"/>
    <cellStyle name="40% - Énfasis4 2 2 5 2" xfId="3568" xr:uid="{00000000-0005-0000-0000-000089030000}"/>
    <cellStyle name="40% - Énfasis4 2 2 6" xfId="2732" xr:uid="{00000000-0005-0000-0000-00008A030000}"/>
    <cellStyle name="40% - Énfasis4 2 2 7" xfId="3913" xr:uid="{00000000-0005-0000-0000-00008B030000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3" xfId="4350" xr:uid="{00000000-0005-0000-0000-000090030000}"/>
    <cellStyle name="40% - Énfasis4 2 3 3" xfId="998" xr:uid="{00000000-0005-0000-0000-000091030000}"/>
    <cellStyle name="40% - Énfasis4 2 3 3 2" xfId="3174" xr:uid="{00000000-0005-0000-0000-000092030000}"/>
    <cellStyle name="40% - Énfasis4 2 3 3 3" xfId="4756" xr:uid="{00000000-0005-0000-0000-000093030000}"/>
    <cellStyle name="40% - Énfasis4 2 3 4" xfId="2426" xr:uid="{00000000-0005-0000-0000-000094030000}"/>
    <cellStyle name="40% - Énfasis4 2 3 4 2" xfId="3655" xr:uid="{00000000-0005-0000-0000-000095030000}"/>
    <cellStyle name="40% - Énfasis4 2 3 5" xfId="2818" xr:uid="{00000000-0005-0000-0000-000096030000}"/>
    <cellStyle name="40% - Énfasis4 2 3 6" xfId="4000" xr:uid="{00000000-0005-0000-0000-000097030000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3" xfId="4178" xr:uid="{00000000-0005-0000-0000-00009B030000}"/>
    <cellStyle name="40% - Énfasis4 2 5" xfId="824" xr:uid="{00000000-0005-0000-0000-00009C030000}"/>
    <cellStyle name="40% - Énfasis4 2 5 2" xfId="3171" xr:uid="{00000000-0005-0000-0000-00009D030000}"/>
    <cellStyle name="40% - Énfasis4 2 5 3" xfId="4582" xr:uid="{00000000-0005-0000-0000-00009E030000}"/>
    <cellStyle name="40% - Énfasis4 2 6" xfId="2255" xr:uid="{00000000-0005-0000-0000-00009F030000}"/>
    <cellStyle name="40% - Énfasis4 2 6 2" xfId="3483" xr:uid="{00000000-0005-0000-0000-0000A0030000}"/>
    <cellStyle name="40% - Énfasis4 2 7" xfId="2646" xr:uid="{00000000-0005-0000-0000-0000A1030000}"/>
    <cellStyle name="40% - Énfasis4 2 8" xfId="3828" xr:uid="{00000000-0005-0000-0000-0000A2030000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3" xfId="4390" xr:uid="{00000000-0005-0000-0000-0000A8030000}"/>
    <cellStyle name="40% - Énfasis4 3 2 3" xfId="1038" xr:uid="{00000000-0005-0000-0000-0000A9030000}"/>
    <cellStyle name="40% - Énfasis4 3 2 3 2" xfId="3176" xr:uid="{00000000-0005-0000-0000-0000AA030000}"/>
    <cellStyle name="40% - Énfasis4 3 2 3 3" xfId="4796" xr:uid="{00000000-0005-0000-0000-0000AB030000}"/>
    <cellStyle name="40% - Énfasis4 3 2 4" xfId="2466" xr:uid="{00000000-0005-0000-0000-0000AC030000}"/>
    <cellStyle name="40% - Énfasis4 3 2 4 2" xfId="3695" xr:uid="{00000000-0005-0000-0000-0000AD030000}"/>
    <cellStyle name="40% - Énfasis4 3 2 5" xfId="2858" xr:uid="{00000000-0005-0000-0000-0000AE030000}"/>
    <cellStyle name="40% - Énfasis4 3 2 6" xfId="4040" xr:uid="{00000000-0005-0000-0000-0000AF030000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3" xfId="4218" xr:uid="{00000000-0005-0000-0000-0000B3030000}"/>
    <cellStyle name="40% - Énfasis4 3 4" xfId="864" xr:uid="{00000000-0005-0000-0000-0000B4030000}"/>
    <cellStyle name="40% - Énfasis4 3 4 2" xfId="3175" xr:uid="{00000000-0005-0000-0000-0000B5030000}"/>
    <cellStyle name="40% - Énfasis4 3 4 3" xfId="4622" xr:uid="{00000000-0005-0000-0000-0000B6030000}"/>
    <cellStyle name="40% - Énfasis4 3 5" xfId="2295" xr:uid="{00000000-0005-0000-0000-0000B7030000}"/>
    <cellStyle name="40% - Énfasis4 3 5 2" xfId="3523" xr:uid="{00000000-0005-0000-0000-0000B8030000}"/>
    <cellStyle name="40% - Énfasis4 3 6" xfId="2686" xr:uid="{00000000-0005-0000-0000-0000B9030000}"/>
    <cellStyle name="40% - Énfasis4 3 7" xfId="3868" xr:uid="{00000000-0005-0000-0000-0000BA030000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3" xfId="4305" xr:uid="{00000000-0005-0000-0000-0000BF030000}"/>
    <cellStyle name="40% - Énfasis4 4 3" xfId="952" xr:uid="{00000000-0005-0000-0000-0000C0030000}"/>
    <cellStyle name="40% - Énfasis4 4 3 2" xfId="3177" xr:uid="{00000000-0005-0000-0000-0000C1030000}"/>
    <cellStyle name="40% - Énfasis4 4 3 3" xfId="4710" xr:uid="{00000000-0005-0000-0000-0000C2030000}"/>
    <cellStyle name="40% - Énfasis4 4 4" xfId="2381" xr:uid="{00000000-0005-0000-0000-0000C3030000}"/>
    <cellStyle name="40% - Énfasis4 4 4 2" xfId="3610" xr:uid="{00000000-0005-0000-0000-0000C4030000}"/>
    <cellStyle name="40% - Énfasis4 4 5" xfId="2606" xr:uid="{00000000-0005-0000-0000-0000C5030000}"/>
    <cellStyle name="40% - Énfasis4 4 6" xfId="3955" xr:uid="{00000000-0005-0000-0000-0000C6030000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3" xfId="4886" xr:uid="{00000000-0005-0000-0000-0000CA030000}"/>
    <cellStyle name="40% - Énfasis4 5 3" xfId="2778" xr:uid="{00000000-0005-0000-0000-0000CB030000}"/>
    <cellStyle name="40% - Énfasis4 5 4" xfId="4130" xr:uid="{00000000-0005-0000-0000-0000CC030000}"/>
    <cellStyle name="40% - Énfasis4 6" xfId="784" xr:uid="{00000000-0005-0000-0000-0000CD030000}"/>
    <cellStyle name="40% - Énfasis4 6 2" xfId="2949" xr:uid="{00000000-0005-0000-0000-0000CE030000}"/>
    <cellStyle name="40% - Énfasis4 6 3" xfId="4542" xr:uid="{00000000-0005-0000-0000-0000CF030000}"/>
    <cellStyle name="40% - Énfasis4 7" xfId="1510" xr:uid="{00000000-0005-0000-0000-0000D0030000}"/>
    <cellStyle name="40% - Énfasis4 7 2" xfId="3443" xr:uid="{00000000-0005-0000-0000-0000D1030000}"/>
    <cellStyle name="40% - Énfasis4 8" xfId="2559" xr:uid="{00000000-0005-0000-0000-0000D2030000}"/>
    <cellStyle name="40% - Énfasis4 9" xfId="3788" xr:uid="{00000000-0005-0000-0000-0000D3030000}"/>
    <cellStyle name="40% - Énfasis5 10" xfId="50" xr:uid="{00000000-0005-0000-0000-0000D4030000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3" xfId="4438" xr:uid="{00000000-0005-0000-0000-0000DB030000}"/>
    <cellStyle name="40% - Énfasis5 2 2 2 3" xfId="1086" xr:uid="{00000000-0005-0000-0000-0000DC030000}"/>
    <cellStyle name="40% - Énfasis5 2 2 2 3 2" xfId="3180" xr:uid="{00000000-0005-0000-0000-0000DD030000}"/>
    <cellStyle name="40% - Énfasis5 2 2 2 3 3" xfId="4844" xr:uid="{00000000-0005-0000-0000-0000DE030000}"/>
    <cellStyle name="40% - Énfasis5 2 2 2 4" xfId="2514" xr:uid="{00000000-0005-0000-0000-0000DF030000}"/>
    <cellStyle name="40% - Énfasis5 2 2 2 4 2" xfId="3743" xr:uid="{00000000-0005-0000-0000-0000E0030000}"/>
    <cellStyle name="40% - Énfasis5 2 2 2 5" xfId="2906" xr:uid="{00000000-0005-0000-0000-0000E1030000}"/>
    <cellStyle name="40% - Énfasis5 2 2 2 6" xfId="4088" xr:uid="{00000000-0005-0000-0000-0000E203000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3" xfId="4266" xr:uid="{00000000-0005-0000-0000-0000E6030000}"/>
    <cellStyle name="40% - Énfasis5 2 2 4" xfId="913" xr:uid="{00000000-0005-0000-0000-0000E7030000}"/>
    <cellStyle name="40% - Énfasis5 2 2 4 2" xfId="3179" xr:uid="{00000000-0005-0000-0000-0000E8030000}"/>
    <cellStyle name="40% - Énfasis5 2 2 4 3" xfId="4671" xr:uid="{00000000-0005-0000-0000-0000E9030000}"/>
    <cellStyle name="40% - Énfasis5 2 2 5" xfId="2343" xr:uid="{00000000-0005-0000-0000-0000EA030000}"/>
    <cellStyle name="40% - Énfasis5 2 2 5 2" xfId="3571" xr:uid="{00000000-0005-0000-0000-0000EB030000}"/>
    <cellStyle name="40% - Énfasis5 2 2 6" xfId="2735" xr:uid="{00000000-0005-0000-0000-0000EC030000}"/>
    <cellStyle name="40% - Énfasis5 2 2 7" xfId="3916" xr:uid="{00000000-0005-0000-0000-0000ED030000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3" xfId="4353" xr:uid="{00000000-0005-0000-0000-0000F2030000}"/>
    <cellStyle name="40% - Énfasis5 2 3 3" xfId="1001" xr:uid="{00000000-0005-0000-0000-0000F3030000}"/>
    <cellStyle name="40% - Énfasis5 2 3 3 2" xfId="3181" xr:uid="{00000000-0005-0000-0000-0000F4030000}"/>
    <cellStyle name="40% - Énfasis5 2 3 3 3" xfId="4759" xr:uid="{00000000-0005-0000-0000-0000F5030000}"/>
    <cellStyle name="40% - Énfasis5 2 3 4" xfId="2429" xr:uid="{00000000-0005-0000-0000-0000F6030000}"/>
    <cellStyle name="40% - Énfasis5 2 3 4 2" xfId="3658" xr:uid="{00000000-0005-0000-0000-0000F7030000}"/>
    <cellStyle name="40% - Énfasis5 2 3 5" xfId="2821" xr:uid="{00000000-0005-0000-0000-0000F8030000}"/>
    <cellStyle name="40% - Énfasis5 2 3 6" xfId="4003" xr:uid="{00000000-0005-0000-0000-0000F9030000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3" xfId="4181" xr:uid="{00000000-0005-0000-0000-0000FD030000}"/>
    <cellStyle name="40% - Énfasis5 2 5" xfId="827" xr:uid="{00000000-0005-0000-0000-0000FE030000}"/>
    <cellStyle name="40% - Énfasis5 2 5 2" xfId="3178" xr:uid="{00000000-0005-0000-0000-0000FF030000}"/>
    <cellStyle name="40% - Énfasis5 2 5 3" xfId="4585" xr:uid="{00000000-0005-0000-0000-000000040000}"/>
    <cellStyle name="40% - Énfasis5 2 6" xfId="2258" xr:uid="{00000000-0005-0000-0000-000001040000}"/>
    <cellStyle name="40% - Énfasis5 2 6 2" xfId="3486" xr:uid="{00000000-0005-0000-0000-000002040000}"/>
    <cellStyle name="40% - Énfasis5 2 7" xfId="2649" xr:uid="{00000000-0005-0000-0000-000003040000}"/>
    <cellStyle name="40% - Énfasis5 2 8" xfId="3831" xr:uid="{00000000-0005-0000-0000-000004040000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3" xfId="4392" xr:uid="{00000000-0005-0000-0000-00000A040000}"/>
    <cellStyle name="40% - Énfasis5 3 2 3" xfId="1040" xr:uid="{00000000-0005-0000-0000-00000B040000}"/>
    <cellStyle name="40% - Énfasis5 3 2 3 2" xfId="3183" xr:uid="{00000000-0005-0000-0000-00000C040000}"/>
    <cellStyle name="40% - Énfasis5 3 2 3 3" xfId="4798" xr:uid="{00000000-0005-0000-0000-00000D040000}"/>
    <cellStyle name="40% - Énfasis5 3 2 4" xfId="2468" xr:uid="{00000000-0005-0000-0000-00000E040000}"/>
    <cellStyle name="40% - Énfasis5 3 2 4 2" xfId="3697" xr:uid="{00000000-0005-0000-0000-00000F040000}"/>
    <cellStyle name="40% - Énfasis5 3 2 5" xfId="2860" xr:uid="{00000000-0005-0000-0000-000010040000}"/>
    <cellStyle name="40% - Énfasis5 3 2 6" xfId="4042" xr:uid="{00000000-0005-0000-0000-000011040000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3" xfId="4220" xr:uid="{00000000-0005-0000-0000-000015040000}"/>
    <cellStyle name="40% - Énfasis5 3 4" xfId="866" xr:uid="{00000000-0005-0000-0000-000016040000}"/>
    <cellStyle name="40% - Énfasis5 3 4 2" xfId="3182" xr:uid="{00000000-0005-0000-0000-000017040000}"/>
    <cellStyle name="40% - Énfasis5 3 4 3" xfId="4624" xr:uid="{00000000-0005-0000-0000-000018040000}"/>
    <cellStyle name="40% - Énfasis5 3 5" xfId="2297" xr:uid="{00000000-0005-0000-0000-000019040000}"/>
    <cellStyle name="40% - Énfasis5 3 5 2" xfId="3525" xr:uid="{00000000-0005-0000-0000-00001A040000}"/>
    <cellStyle name="40% - Énfasis5 3 6" xfId="2688" xr:uid="{00000000-0005-0000-0000-00001B040000}"/>
    <cellStyle name="40% - Énfasis5 3 7" xfId="3870" xr:uid="{00000000-0005-0000-0000-00001C040000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3" xfId="4307" xr:uid="{00000000-0005-0000-0000-000021040000}"/>
    <cellStyle name="40% - Énfasis5 4 3" xfId="954" xr:uid="{00000000-0005-0000-0000-000022040000}"/>
    <cellStyle name="40% - Énfasis5 4 3 2" xfId="3184" xr:uid="{00000000-0005-0000-0000-000023040000}"/>
    <cellStyle name="40% - Énfasis5 4 3 3" xfId="4712" xr:uid="{00000000-0005-0000-0000-000024040000}"/>
    <cellStyle name="40% - Énfasis5 4 4" xfId="2383" xr:uid="{00000000-0005-0000-0000-000025040000}"/>
    <cellStyle name="40% - Énfasis5 4 4 2" xfId="3612" xr:uid="{00000000-0005-0000-0000-000026040000}"/>
    <cellStyle name="40% - Énfasis5 4 5" xfId="2609" xr:uid="{00000000-0005-0000-0000-000027040000}"/>
    <cellStyle name="40% - Énfasis5 4 6" xfId="3957" xr:uid="{00000000-0005-0000-0000-000028040000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3" xfId="4888" xr:uid="{00000000-0005-0000-0000-00002C040000}"/>
    <cellStyle name="40% - Énfasis5 5 3" xfId="2781" xr:uid="{00000000-0005-0000-0000-00002D040000}"/>
    <cellStyle name="40% - Énfasis5 5 4" xfId="4132" xr:uid="{00000000-0005-0000-0000-00002E040000}"/>
    <cellStyle name="40% - Énfasis5 6" xfId="787" xr:uid="{00000000-0005-0000-0000-00002F040000}"/>
    <cellStyle name="40% - Énfasis5 6 2" xfId="2952" xr:uid="{00000000-0005-0000-0000-000030040000}"/>
    <cellStyle name="40% - Énfasis5 6 3" xfId="4545" xr:uid="{00000000-0005-0000-0000-000031040000}"/>
    <cellStyle name="40% - Énfasis5 7" xfId="1513" xr:uid="{00000000-0005-0000-0000-000032040000}"/>
    <cellStyle name="40% - Énfasis5 7 2" xfId="3446" xr:uid="{00000000-0005-0000-0000-000033040000}"/>
    <cellStyle name="40% - Énfasis5 8" xfId="2562" xr:uid="{00000000-0005-0000-0000-000034040000}"/>
    <cellStyle name="40% - Énfasis5 9" xfId="3791" xr:uid="{00000000-0005-0000-0000-000035040000}"/>
    <cellStyle name="40% - Énfasis6 10" xfId="54" xr:uid="{00000000-0005-0000-0000-000036040000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3" xfId="4441" xr:uid="{00000000-0005-0000-0000-00003D040000}"/>
    <cellStyle name="40% - Énfasis6 2 2 2 3" xfId="1089" xr:uid="{00000000-0005-0000-0000-00003E040000}"/>
    <cellStyle name="40% - Énfasis6 2 2 2 3 2" xfId="3187" xr:uid="{00000000-0005-0000-0000-00003F040000}"/>
    <cellStyle name="40% - Énfasis6 2 2 2 3 3" xfId="4847" xr:uid="{00000000-0005-0000-0000-000040040000}"/>
    <cellStyle name="40% - Énfasis6 2 2 2 4" xfId="2517" xr:uid="{00000000-0005-0000-0000-000041040000}"/>
    <cellStyle name="40% - Énfasis6 2 2 2 4 2" xfId="3746" xr:uid="{00000000-0005-0000-0000-000042040000}"/>
    <cellStyle name="40% - Énfasis6 2 2 2 5" xfId="2909" xr:uid="{00000000-0005-0000-0000-000043040000}"/>
    <cellStyle name="40% - Énfasis6 2 2 2 6" xfId="4091" xr:uid="{00000000-0005-0000-0000-000044040000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3" xfId="4269" xr:uid="{00000000-0005-0000-0000-000048040000}"/>
    <cellStyle name="40% - Énfasis6 2 2 4" xfId="916" xr:uid="{00000000-0005-0000-0000-000049040000}"/>
    <cellStyle name="40% - Énfasis6 2 2 4 2" xfId="3186" xr:uid="{00000000-0005-0000-0000-00004A040000}"/>
    <cellStyle name="40% - Énfasis6 2 2 4 3" xfId="4674" xr:uid="{00000000-0005-0000-0000-00004B040000}"/>
    <cellStyle name="40% - Énfasis6 2 2 5" xfId="2346" xr:uid="{00000000-0005-0000-0000-00004C040000}"/>
    <cellStyle name="40% - Énfasis6 2 2 5 2" xfId="3574" xr:uid="{00000000-0005-0000-0000-00004D040000}"/>
    <cellStyle name="40% - Énfasis6 2 2 6" xfId="2738" xr:uid="{00000000-0005-0000-0000-00004E040000}"/>
    <cellStyle name="40% - Énfasis6 2 2 7" xfId="3919" xr:uid="{00000000-0005-0000-0000-00004F040000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3" xfId="4356" xr:uid="{00000000-0005-0000-0000-000054040000}"/>
    <cellStyle name="40% - Énfasis6 2 3 3" xfId="1004" xr:uid="{00000000-0005-0000-0000-000055040000}"/>
    <cellStyle name="40% - Énfasis6 2 3 3 2" xfId="3188" xr:uid="{00000000-0005-0000-0000-000056040000}"/>
    <cellStyle name="40% - Énfasis6 2 3 3 3" xfId="4762" xr:uid="{00000000-0005-0000-0000-000057040000}"/>
    <cellStyle name="40% - Énfasis6 2 3 4" xfId="2432" xr:uid="{00000000-0005-0000-0000-000058040000}"/>
    <cellStyle name="40% - Énfasis6 2 3 4 2" xfId="3661" xr:uid="{00000000-0005-0000-0000-000059040000}"/>
    <cellStyle name="40% - Énfasis6 2 3 5" xfId="2824" xr:uid="{00000000-0005-0000-0000-00005A040000}"/>
    <cellStyle name="40% - Énfasis6 2 3 6" xfId="4006" xr:uid="{00000000-0005-0000-0000-00005B040000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3" xfId="4184" xr:uid="{00000000-0005-0000-0000-00005F040000}"/>
    <cellStyle name="40% - Énfasis6 2 5" xfId="830" xr:uid="{00000000-0005-0000-0000-000060040000}"/>
    <cellStyle name="40% - Énfasis6 2 5 2" xfId="3185" xr:uid="{00000000-0005-0000-0000-000061040000}"/>
    <cellStyle name="40% - Énfasis6 2 5 3" xfId="4588" xr:uid="{00000000-0005-0000-0000-000062040000}"/>
    <cellStyle name="40% - Énfasis6 2 6" xfId="2261" xr:uid="{00000000-0005-0000-0000-000063040000}"/>
    <cellStyle name="40% - Énfasis6 2 6 2" xfId="3489" xr:uid="{00000000-0005-0000-0000-000064040000}"/>
    <cellStyle name="40% - Énfasis6 2 7" xfId="2652" xr:uid="{00000000-0005-0000-0000-000065040000}"/>
    <cellStyle name="40% - Énfasis6 2 8" xfId="3834" xr:uid="{00000000-0005-0000-0000-000066040000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3" xfId="4394" xr:uid="{00000000-0005-0000-0000-00006C040000}"/>
    <cellStyle name="40% - Énfasis6 3 2 3" xfId="1042" xr:uid="{00000000-0005-0000-0000-00006D040000}"/>
    <cellStyle name="40% - Énfasis6 3 2 3 2" xfId="3190" xr:uid="{00000000-0005-0000-0000-00006E040000}"/>
    <cellStyle name="40% - Énfasis6 3 2 3 3" xfId="4800" xr:uid="{00000000-0005-0000-0000-00006F040000}"/>
    <cellStyle name="40% - Énfasis6 3 2 4" xfId="2470" xr:uid="{00000000-0005-0000-0000-000070040000}"/>
    <cellStyle name="40% - Énfasis6 3 2 4 2" xfId="3699" xr:uid="{00000000-0005-0000-0000-000071040000}"/>
    <cellStyle name="40% - Énfasis6 3 2 5" xfId="2862" xr:uid="{00000000-0005-0000-0000-000072040000}"/>
    <cellStyle name="40% - Énfasis6 3 2 6" xfId="4044" xr:uid="{00000000-0005-0000-0000-000073040000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3" xfId="4222" xr:uid="{00000000-0005-0000-0000-000077040000}"/>
    <cellStyle name="40% - Énfasis6 3 4" xfId="868" xr:uid="{00000000-0005-0000-0000-000078040000}"/>
    <cellStyle name="40% - Énfasis6 3 4 2" xfId="3189" xr:uid="{00000000-0005-0000-0000-000079040000}"/>
    <cellStyle name="40% - Énfasis6 3 4 3" xfId="4626" xr:uid="{00000000-0005-0000-0000-00007A040000}"/>
    <cellStyle name="40% - Énfasis6 3 5" xfId="2299" xr:uid="{00000000-0005-0000-0000-00007B040000}"/>
    <cellStyle name="40% - Énfasis6 3 5 2" xfId="3527" xr:uid="{00000000-0005-0000-0000-00007C040000}"/>
    <cellStyle name="40% - Énfasis6 3 6" xfId="2690" xr:uid="{00000000-0005-0000-0000-00007D040000}"/>
    <cellStyle name="40% - Énfasis6 3 7" xfId="3872" xr:uid="{00000000-0005-0000-0000-00007E040000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3" xfId="4309" xr:uid="{00000000-0005-0000-0000-000083040000}"/>
    <cellStyle name="40% - Énfasis6 4 3" xfId="956" xr:uid="{00000000-0005-0000-0000-000084040000}"/>
    <cellStyle name="40% - Énfasis6 4 3 2" xfId="3191" xr:uid="{00000000-0005-0000-0000-000085040000}"/>
    <cellStyle name="40% - Énfasis6 4 3 3" xfId="4714" xr:uid="{00000000-0005-0000-0000-000086040000}"/>
    <cellStyle name="40% - Énfasis6 4 4" xfId="2385" xr:uid="{00000000-0005-0000-0000-000087040000}"/>
    <cellStyle name="40% - Énfasis6 4 4 2" xfId="3614" xr:uid="{00000000-0005-0000-0000-000088040000}"/>
    <cellStyle name="40% - Énfasis6 4 5" xfId="2612" xr:uid="{00000000-0005-0000-0000-000089040000}"/>
    <cellStyle name="40% - Énfasis6 4 6" xfId="3959" xr:uid="{00000000-0005-0000-0000-00008A040000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3" xfId="4890" xr:uid="{00000000-0005-0000-0000-00008E040000}"/>
    <cellStyle name="40% - Énfasis6 5 3" xfId="2784" xr:uid="{00000000-0005-0000-0000-00008F040000}"/>
    <cellStyle name="40% - Énfasis6 5 4" xfId="4134" xr:uid="{00000000-0005-0000-0000-000090040000}"/>
    <cellStyle name="40% - Énfasis6 6" xfId="790" xr:uid="{00000000-0005-0000-0000-000091040000}"/>
    <cellStyle name="40% - Énfasis6 6 2" xfId="2955" xr:uid="{00000000-0005-0000-0000-000092040000}"/>
    <cellStyle name="40% - Énfasis6 6 3" xfId="4548" xr:uid="{00000000-0005-0000-0000-000093040000}"/>
    <cellStyle name="40% - Énfasis6 7" xfId="1516" xr:uid="{00000000-0005-0000-0000-000094040000}"/>
    <cellStyle name="40% - Énfasis6 7 2" xfId="3449" xr:uid="{00000000-0005-0000-0000-000095040000}"/>
    <cellStyle name="40% - Énfasis6 8" xfId="2565" xr:uid="{00000000-0005-0000-0000-000096040000}"/>
    <cellStyle name="40% - Énfasis6 9" xfId="3794" xr:uid="{00000000-0005-0000-0000-000097040000}"/>
    <cellStyle name="60% - Énfasis1 10" xfId="35" xr:uid="{00000000-0005-0000-0000-000098040000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3" xfId="4427" xr:uid="{00000000-0005-0000-0000-00009F040000}"/>
    <cellStyle name="60% - Énfasis1 2 2 2 3" xfId="1075" xr:uid="{00000000-0005-0000-0000-0000A0040000}"/>
    <cellStyle name="60% - Énfasis1 2 2 2 3 2" xfId="3194" xr:uid="{00000000-0005-0000-0000-0000A1040000}"/>
    <cellStyle name="60% - Énfasis1 2 2 2 3 3" xfId="4833" xr:uid="{00000000-0005-0000-0000-0000A2040000}"/>
    <cellStyle name="60% - Énfasis1 2 2 2 4" xfId="2503" xr:uid="{00000000-0005-0000-0000-0000A3040000}"/>
    <cellStyle name="60% - Énfasis1 2 2 2 4 2" xfId="3732" xr:uid="{00000000-0005-0000-0000-0000A4040000}"/>
    <cellStyle name="60% - Énfasis1 2 2 2 5" xfId="2895" xr:uid="{00000000-0005-0000-0000-0000A5040000}"/>
    <cellStyle name="60% - Énfasis1 2 2 2 6" xfId="4077" xr:uid="{00000000-0005-0000-0000-0000A6040000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3" xfId="4255" xr:uid="{00000000-0005-0000-0000-0000AA040000}"/>
    <cellStyle name="60% - Énfasis1 2 2 4" xfId="902" xr:uid="{00000000-0005-0000-0000-0000AB040000}"/>
    <cellStyle name="60% - Énfasis1 2 2 4 2" xfId="3193" xr:uid="{00000000-0005-0000-0000-0000AC040000}"/>
    <cellStyle name="60% - Énfasis1 2 2 4 3" xfId="4660" xr:uid="{00000000-0005-0000-0000-0000AD040000}"/>
    <cellStyle name="60% - Énfasis1 2 2 5" xfId="2332" xr:uid="{00000000-0005-0000-0000-0000AE040000}"/>
    <cellStyle name="60% - Énfasis1 2 2 5 2" xfId="3560" xr:uid="{00000000-0005-0000-0000-0000AF040000}"/>
    <cellStyle name="60% - Énfasis1 2 2 6" xfId="2724" xr:uid="{00000000-0005-0000-0000-0000B0040000}"/>
    <cellStyle name="60% - Énfasis1 2 2 7" xfId="3905" xr:uid="{00000000-0005-0000-0000-0000B1040000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3" xfId="4342" xr:uid="{00000000-0005-0000-0000-0000B6040000}"/>
    <cellStyle name="60% - Énfasis1 2 3 3" xfId="990" xr:uid="{00000000-0005-0000-0000-0000B7040000}"/>
    <cellStyle name="60% - Énfasis1 2 3 3 2" xfId="3195" xr:uid="{00000000-0005-0000-0000-0000B8040000}"/>
    <cellStyle name="60% - Énfasis1 2 3 3 3" xfId="4748" xr:uid="{00000000-0005-0000-0000-0000B9040000}"/>
    <cellStyle name="60% - Énfasis1 2 3 4" xfId="2418" xr:uid="{00000000-0005-0000-0000-0000BA040000}"/>
    <cellStyle name="60% - Énfasis1 2 3 4 2" xfId="3647" xr:uid="{00000000-0005-0000-0000-0000BB040000}"/>
    <cellStyle name="60% - Énfasis1 2 3 5" xfId="2810" xr:uid="{00000000-0005-0000-0000-0000BC040000}"/>
    <cellStyle name="60% - Énfasis1 2 3 6" xfId="3992" xr:uid="{00000000-0005-0000-0000-0000BD040000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3" xfId="4170" xr:uid="{00000000-0005-0000-0000-0000C1040000}"/>
    <cellStyle name="60% - Énfasis1 2 5" xfId="816" xr:uid="{00000000-0005-0000-0000-0000C2040000}"/>
    <cellStyle name="60% - Énfasis1 2 5 2" xfId="3192" xr:uid="{00000000-0005-0000-0000-0000C3040000}"/>
    <cellStyle name="60% - Énfasis1 2 5 3" xfId="4574" xr:uid="{00000000-0005-0000-0000-0000C4040000}"/>
    <cellStyle name="60% - Énfasis1 2 6" xfId="2247" xr:uid="{00000000-0005-0000-0000-0000C5040000}"/>
    <cellStyle name="60% - Énfasis1 2 6 2" xfId="3475" xr:uid="{00000000-0005-0000-0000-0000C6040000}"/>
    <cellStyle name="60% - Énfasis1 2 7" xfId="2638" xr:uid="{00000000-0005-0000-0000-0000C7040000}"/>
    <cellStyle name="60% - Énfasis1 2 8" xfId="3820" xr:uid="{00000000-0005-0000-0000-0000C8040000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3" xfId="4397" xr:uid="{00000000-0005-0000-0000-0000CE040000}"/>
    <cellStyle name="60% - Énfasis1 3 2 3" xfId="1045" xr:uid="{00000000-0005-0000-0000-0000CF040000}"/>
    <cellStyle name="60% - Énfasis1 3 2 3 2" xfId="3197" xr:uid="{00000000-0005-0000-0000-0000D0040000}"/>
    <cellStyle name="60% - Énfasis1 3 2 3 3" xfId="4803" xr:uid="{00000000-0005-0000-0000-0000D1040000}"/>
    <cellStyle name="60% - Énfasis1 3 2 4" xfId="2473" xr:uid="{00000000-0005-0000-0000-0000D2040000}"/>
    <cellStyle name="60% - Énfasis1 3 2 4 2" xfId="3702" xr:uid="{00000000-0005-0000-0000-0000D3040000}"/>
    <cellStyle name="60% - Énfasis1 3 2 5" xfId="2865" xr:uid="{00000000-0005-0000-0000-0000D4040000}"/>
    <cellStyle name="60% - Énfasis1 3 2 6" xfId="4047" xr:uid="{00000000-0005-0000-0000-0000D5040000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3" xfId="4225" xr:uid="{00000000-0005-0000-0000-0000D9040000}"/>
    <cellStyle name="60% - Énfasis1 3 4" xfId="872" xr:uid="{00000000-0005-0000-0000-0000DA040000}"/>
    <cellStyle name="60% - Énfasis1 3 4 2" xfId="3196" xr:uid="{00000000-0005-0000-0000-0000DB040000}"/>
    <cellStyle name="60% - Énfasis1 3 4 3" xfId="4630" xr:uid="{00000000-0005-0000-0000-0000DC040000}"/>
    <cellStyle name="60% - Énfasis1 3 5" xfId="2302" xr:uid="{00000000-0005-0000-0000-0000DD040000}"/>
    <cellStyle name="60% - Énfasis1 3 5 2" xfId="3530" xr:uid="{00000000-0005-0000-0000-0000DE040000}"/>
    <cellStyle name="60% - Énfasis1 3 6" xfId="2694" xr:uid="{00000000-0005-0000-0000-0000DF040000}"/>
    <cellStyle name="60% - Énfasis1 3 7" xfId="3875" xr:uid="{00000000-0005-0000-0000-0000E0040000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3" xfId="4312" xr:uid="{00000000-0005-0000-0000-0000E5040000}"/>
    <cellStyle name="60% - Énfasis1 4 3" xfId="960" xr:uid="{00000000-0005-0000-0000-0000E6040000}"/>
    <cellStyle name="60% - Énfasis1 4 3 2" xfId="3198" xr:uid="{00000000-0005-0000-0000-0000E7040000}"/>
    <cellStyle name="60% - Énfasis1 4 3 3" xfId="4718" xr:uid="{00000000-0005-0000-0000-0000E8040000}"/>
    <cellStyle name="60% - Énfasis1 4 4" xfId="2388" xr:uid="{00000000-0005-0000-0000-0000E9040000}"/>
    <cellStyle name="60% - Énfasis1 4 4 2" xfId="3617" xr:uid="{00000000-0005-0000-0000-0000EA040000}"/>
    <cellStyle name="60% - Énfasis1 4 5" xfId="2598" xr:uid="{00000000-0005-0000-0000-0000EB040000}"/>
    <cellStyle name="60% - Énfasis1 4 6" xfId="3962" xr:uid="{00000000-0005-0000-0000-0000EC040000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3" xfId="4894" xr:uid="{00000000-0005-0000-0000-0000F0040000}"/>
    <cellStyle name="60% - Énfasis1 5 3" xfId="2770" xr:uid="{00000000-0005-0000-0000-0000F1040000}"/>
    <cellStyle name="60% - Énfasis1 5 4" xfId="4140" xr:uid="{00000000-0005-0000-0000-0000F2040000}"/>
    <cellStyle name="60% - Énfasis1 6" xfId="776" xr:uid="{00000000-0005-0000-0000-0000F3040000}"/>
    <cellStyle name="60% - Énfasis1 6 2" xfId="2941" xr:uid="{00000000-0005-0000-0000-0000F4040000}"/>
    <cellStyle name="60% - Énfasis1 6 3" xfId="4534" xr:uid="{00000000-0005-0000-0000-0000F5040000}"/>
    <cellStyle name="60% - Énfasis1 7" xfId="1519" xr:uid="{00000000-0005-0000-0000-0000F6040000}"/>
    <cellStyle name="60% - Énfasis1 7 2" xfId="3435" xr:uid="{00000000-0005-0000-0000-0000F7040000}"/>
    <cellStyle name="60% - Énfasis1 8" xfId="2551" xr:uid="{00000000-0005-0000-0000-0000F8040000}"/>
    <cellStyle name="60% - Énfasis1 9" xfId="3780" xr:uid="{00000000-0005-0000-0000-0000F9040000}"/>
    <cellStyle name="60% - Énfasis2 10" xfId="39" xr:uid="{00000000-0005-0000-0000-0000FA040000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3" xfId="4430" xr:uid="{00000000-0005-0000-0000-000001050000}"/>
    <cellStyle name="60% - Énfasis2 2 2 2 3" xfId="1078" xr:uid="{00000000-0005-0000-0000-000002050000}"/>
    <cellStyle name="60% - Énfasis2 2 2 2 3 2" xfId="3201" xr:uid="{00000000-0005-0000-0000-000003050000}"/>
    <cellStyle name="60% - Énfasis2 2 2 2 3 3" xfId="4836" xr:uid="{00000000-0005-0000-0000-000004050000}"/>
    <cellStyle name="60% - Énfasis2 2 2 2 4" xfId="2506" xr:uid="{00000000-0005-0000-0000-000005050000}"/>
    <cellStyle name="60% - Énfasis2 2 2 2 4 2" xfId="3735" xr:uid="{00000000-0005-0000-0000-000006050000}"/>
    <cellStyle name="60% - Énfasis2 2 2 2 5" xfId="2898" xr:uid="{00000000-0005-0000-0000-000007050000}"/>
    <cellStyle name="60% - Énfasis2 2 2 2 6" xfId="4080" xr:uid="{00000000-0005-0000-0000-000008050000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3" xfId="4258" xr:uid="{00000000-0005-0000-0000-00000C050000}"/>
    <cellStyle name="60% - Énfasis2 2 2 4" xfId="905" xr:uid="{00000000-0005-0000-0000-00000D050000}"/>
    <cellStyle name="60% - Énfasis2 2 2 4 2" xfId="3200" xr:uid="{00000000-0005-0000-0000-00000E050000}"/>
    <cellStyle name="60% - Énfasis2 2 2 4 3" xfId="4663" xr:uid="{00000000-0005-0000-0000-00000F050000}"/>
    <cellStyle name="60% - Énfasis2 2 2 5" xfId="2335" xr:uid="{00000000-0005-0000-0000-000010050000}"/>
    <cellStyle name="60% - Énfasis2 2 2 5 2" xfId="3563" xr:uid="{00000000-0005-0000-0000-000011050000}"/>
    <cellStyle name="60% - Énfasis2 2 2 6" xfId="2727" xr:uid="{00000000-0005-0000-0000-000012050000}"/>
    <cellStyle name="60% - Énfasis2 2 2 7" xfId="3908" xr:uid="{00000000-0005-0000-0000-000013050000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3" xfId="4345" xr:uid="{00000000-0005-0000-0000-000018050000}"/>
    <cellStyle name="60% - Énfasis2 2 3 3" xfId="993" xr:uid="{00000000-0005-0000-0000-000019050000}"/>
    <cellStyle name="60% - Énfasis2 2 3 3 2" xfId="3202" xr:uid="{00000000-0005-0000-0000-00001A050000}"/>
    <cellStyle name="60% - Énfasis2 2 3 3 3" xfId="4751" xr:uid="{00000000-0005-0000-0000-00001B050000}"/>
    <cellStyle name="60% - Énfasis2 2 3 4" xfId="2421" xr:uid="{00000000-0005-0000-0000-00001C050000}"/>
    <cellStyle name="60% - Énfasis2 2 3 4 2" xfId="3650" xr:uid="{00000000-0005-0000-0000-00001D050000}"/>
    <cellStyle name="60% - Énfasis2 2 3 5" xfId="2813" xr:uid="{00000000-0005-0000-0000-00001E050000}"/>
    <cellStyle name="60% - Énfasis2 2 3 6" xfId="3995" xr:uid="{00000000-0005-0000-0000-00001F050000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3" xfId="4173" xr:uid="{00000000-0005-0000-0000-000023050000}"/>
    <cellStyle name="60% - Énfasis2 2 5" xfId="819" xr:uid="{00000000-0005-0000-0000-000024050000}"/>
    <cellStyle name="60% - Énfasis2 2 5 2" xfId="3199" xr:uid="{00000000-0005-0000-0000-000025050000}"/>
    <cellStyle name="60% - Énfasis2 2 5 3" xfId="4577" xr:uid="{00000000-0005-0000-0000-000026050000}"/>
    <cellStyle name="60% - Énfasis2 2 6" xfId="2250" xr:uid="{00000000-0005-0000-0000-000027050000}"/>
    <cellStyle name="60% - Énfasis2 2 6 2" xfId="3478" xr:uid="{00000000-0005-0000-0000-000028050000}"/>
    <cellStyle name="60% - Énfasis2 2 7" xfId="2641" xr:uid="{00000000-0005-0000-0000-000029050000}"/>
    <cellStyle name="60% - Énfasis2 2 8" xfId="3823" xr:uid="{00000000-0005-0000-0000-00002A050000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3" xfId="4398" xr:uid="{00000000-0005-0000-0000-000030050000}"/>
    <cellStyle name="60% - Énfasis2 3 2 3" xfId="1046" xr:uid="{00000000-0005-0000-0000-000031050000}"/>
    <cellStyle name="60% - Énfasis2 3 2 3 2" xfId="3204" xr:uid="{00000000-0005-0000-0000-000032050000}"/>
    <cellStyle name="60% - Énfasis2 3 2 3 3" xfId="4804" xr:uid="{00000000-0005-0000-0000-000033050000}"/>
    <cellStyle name="60% - Énfasis2 3 2 4" xfId="2474" xr:uid="{00000000-0005-0000-0000-000034050000}"/>
    <cellStyle name="60% - Énfasis2 3 2 4 2" xfId="3703" xr:uid="{00000000-0005-0000-0000-000035050000}"/>
    <cellStyle name="60% - Énfasis2 3 2 5" xfId="2866" xr:uid="{00000000-0005-0000-0000-000036050000}"/>
    <cellStyle name="60% - Énfasis2 3 2 6" xfId="4048" xr:uid="{00000000-0005-0000-0000-000037050000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3" xfId="4226" xr:uid="{00000000-0005-0000-0000-00003B050000}"/>
    <cellStyle name="60% - Énfasis2 3 4" xfId="873" xr:uid="{00000000-0005-0000-0000-00003C050000}"/>
    <cellStyle name="60% - Énfasis2 3 4 2" xfId="3203" xr:uid="{00000000-0005-0000-0000-00003D050000}"/>
    <cellStyle name="60% - Énfasis2 3 4 3" xfId="4631" xr:uid="{00000000-0005-0000-0000-00003E050000}"/>
    <cellStyle name="60% - Énfasis2 3 5" xfId="2303" xr:uid="{00000000-0005-0000-0000-00003F050000}"/>
    <cellStyle name="60% - Énfasis2 3 5 2" xfId="3531" xr:uid="{00000000-0005-0000-0000-000040050000}"/>
    <cellStyle name="60% - Énfasis2 3 6" xfId="2695" xr:uid="{00000000-0005-0000-0000-000041050000}"/>
    <cellStyle name="60% - Énfasis2 3 7" xfId="3876" xr:uid="{00000000-0005-0000-0000-000042050000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3" xfId="4313" xr:uid="{00000000-0005-0000-0000-000047050000}"/>
    <cellStyle name="60% - Énfasis2 4 3" xfId="961" xr:uid="{00000000-0005-0000-0000-000048050000}"/>
    <cellStyle name="60% - Énfasis2 4 3 2" xfId="3205" xr:uid="{00000000-0005-0000-0000-000049050000}"/>
    <cellStyle name="60% - Énfasis2 4 3 3" xfId="4719" xr:uid="{00000000-0005-0000-0000-00004A050000}"/>
    <cellStyle name="60% - Énfasis2 4 4" xfId="2389" xr:uid="{00000000-0005-0000-0000-00004B050000}"/>
    <cellStyle name="60% - Énfasis2 4 4 2" xfId="3618" xr:uid="{00000000-0005-0000-0000-00004C050000}"/>
    <cellStyle name="60% - Énfasis2 4 5" xfId="2601" xr:uid="{00000000-0005-0000-0000-00004D050000}"/>
    <cellStyle name="60% - Énfasis2 4 6" xfId="3963" xr:uid="{00000000-0005-0000-0000-00004E050000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3" xfId="4895" xr:uid="{00000000-0005-0000-0000-000052050000}"/>
    <cellStyle name="60% - Énfasis2 5 3" xfId="2773" xr:uid="{00000000-0005-0000-0000-000053050000}"/>
    <cellStyle name="60% - Énfasis2 5 4" xfId="4141" xr:uid="{00000000-0005-0000-0000-000054050000}"/>
    <cellStyle name="60% - Énfasis2 6" xfId="779" xr:uid="{00000000-0005-0000-0000-000055050000}"/>
    <cellStyle name="60% - Énfasis2 6 2" xfId="2944" xr:uid="{00000000-0005-0000-0000-000056050000}"/>
    <cellStyle name="60% - Énfasis2 6 3" xfId="4537" xr:uid="{00000000-0005-0000-0000-000057050000}"/>
    <cellStyle name="60% - Énfasis2 7" xfId="1520" xr:uid="{00000000-0005-0000-0000-000058050000}"/>
    <cellStyle name="60% - Énfasis2 7 2" xfId="3438" xr:uid="{00000000-0005-0000-0000-000059050000}"/>
    <cellStyle name="60% - Énfasis2 8" xfId="2554" xr:uid="{00000000-0005-0000-0000-00005A050000}"/>
    <cellStyle name="60% - Énfasis2 9" xfId="3783" xr:uid="{00000000-0005-0000-0000-00005B050000}"/>
    <cellStyle name="60% - Énfasis3 10" xfId="43" xr:uid="{00000000-0005-0000-0000-00005C050000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3" xfId="4433" xr:uid="{00000000-0005-0000-0000-000063050000}"/>
    <cellStyle name="60% - Énfasis3 2 2 2 3" xfId="1081" xr:uid="{00000000-0005-0000-0000-000064050000}"/>
    <cellStyle name="60% - Énfasis3 2 2 2 3 2" xfId="3208" xr:uid="{00000000-0005-0000-0000-000065050000}"/>
    <cellStyle name="60% - Énfasis3 2 2 2 3 3" xfId="4839" xr:uid="{00000000-0005-0000-0000-000066050000}"/>
    <cellStyle name="60% - Énfasis3 2 2 2 4" xfId="2509" xr:uid="{00000000-0005-0000-0000-000067050000}"/>
    <cellStyle name="60% - Énfasis3 2 2 2 4 2" xfId="3738" xr:uid="{00000000-0005-0000-0000-000068050000}"/>
    <cellStyle name="60% - Énfasis3 2 2 2 5" xfId="2901" xr:uid="{00000000-0005-0000-0000-000069050000}"/>
    <cellStyle name="60% - Énfasis3 2 2 2 6" xfId="4083" xr:uid="{00000000-0005-0000-0000-00006A050000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3" xfId="4261" xr:uid="{00000000-0005-0000-0000-00006E050000}"/>
    <cellStyle name="60% - Énfasis3 2 2 4" xfId="908" xr:uid="{00000000-0005-0000-0000-00006F050000}"/>
    <cellStyle name="60% - Énfasis3 2 2 4 2" xfId="3207" xr:uid="{00000000-0005-0000-0000-000070050000}"/>
    <cellStyle name="60% - Énfasis3 2 2 4 3" xfId="4666" xr:uid="{00000000-0005-0000-0000-000071050000}"/>
    <cellStyle name="60% - Énfasis3 2 2 5" xfId="2338" xr:uid="{00000000-0005-0000-0000-000072050000}"/>
    <cellStyle name="60% - Énfasis3 2 2 5 2" xfId="3566" xr:uid="{00000000-0005-0000-0000-000073050000}"/>
    <cellStyle name="60% - Énfasis3 2 2 6" xfId="2730" xr:uid="{00000000-0005-0000-0000-000074050000}"/>
    <cellStyle name="60% - Énfasis3 2 2 7" xfId="3911" xr:uid="{00000000-0005-0000-0000-000075050000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3" xfId="4348" xr:uid="{00000000-0005-0000-0000-00007A050000}"/>
    <cellStyle name="60% - Énfasis3 2 3 3" xfId="996" xr:uid="{00000000-0005-0000-0000-00007B050000}"/>
    <cellStyle name="60% - Énfasis3 2 3 3 2" xfId="3209" xr:uid="{00000000-0005-0000-0000-00007C050000}"/>
    <cellStyle name="60% - Énfasis3 2 3 3 3" xfId="4754" xr:uid="{00000000-0005-0000-0000-00007D050000}"/>
    <cellStyle name="60% - Énfasis3 2 3 4" xfId="2424" xr:uid="{00000000-0005-0000-0000-00007E050000}"/>
    <cellStyle name="60% - Énfasis3 2 3 4 2" xfId="3653" xr:uid="{00000000-0005-0000-0000-00007F050000}"/>
    <cellStyle name="60% - Énfasis3 2 3 5" xfId="2816" xr:uid="{00000000-0005-0000-0000-000080050000}"/>
    <cellStyle name="60% - Énfasis3 2 3 6" xfId="3998" xr:uid="{00000000-0005-0000-0000-000081050000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3" xfId="4176" xr:uid="{00000000-0005-0000-0000-000085050000}"/>
    <cellStyle name="60% - Énfasis3 2 5" xfId="822" xr:uid="{00000000-0005-0000-0000-000086050000}"/>
    <cellStyle name="60% - Énfasis3 2 5 2" xfId="3206" xr:uid="{00000000-0005-0000-0000-000087050000}"/>
    <cellStyle name="60% - Énfasis3 2 5 3" xfId="4580" xr:uid="{00000000-0005-0000-0000-000088050000}"/>
    <cellStyle name="60% - Énfasis3 2 6" xfId="2253" xr:uid="{00000000-0005-0000-0000-000089050000}"/>
    <cellStyle name="60% - Énfasis3 2 6 2" xfId="3481" xr:uid="{00000000-0005-0000-0000-00008A050000}"/>
    <cellStyle name="60% - Énfasis3 2 7" xfId="2644" xr:uid="{00000000-0005-0000-0000-00008B050000}"/>
    <cellStyle name="60% - Énfasis3 2 8" xfId="3826" xr:uid="{00000000-0005-0000-0000-00008C050000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3" xfId="4399" xr:uid="{00000000-0005-0000-0000-000092050000}"/>
    <cellStyle name="60% - Énfasis3 3 2 3" xfId="1047" xr:uid="{00000000-0005-0000-0000-000093050000}"/>
    <cellStyle name="60% - Énfasis3 3 2 3 2" xfId="3211" xr:uid="{00000000-0005-0000-0000-000094050000}"/>
    <cellStyle name="60% - Énfasis3 3 2 3 3" xfId="4805" xr:uid="{00000000-0005-0000-0000-000095050000}"/>
    <cellStyle name="60% - Énfasis3 3 2 4" xfId="2475" xr:uid="{00000000-0005-0000-0000-000096050000}"/>
    <cellStyle name="60% - Énfasis3 3 2 4 2" xfId="3704" xr:uid="{00000000-0005-0000-0000-000097050000}"/>
    <cellStyle name="60% - Énfasis3 3 2 5" xfId="2867" xr:uid="{00000000-0005-0000-0000-000098050000}"/>
    <cellStyle name="60% - Énfasis3 3 2 6" xfId="4049" xr:uid="{00000000-0005-0000-0000-00009905000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3" xfId="4227" xr:uid="{00000000-0005-0000-0000-00009D050000}"/>
    <cellStyle name="60% - Énfasis3 3 4" xfId="874" xr:uid="{00000000-0005-0000-0000-00009E050000}"/>
    <cellStyle name="60% - Énfasis3 3 4 2" xfId="3210" xr:uid="{00000000-0005-0000-0000-00009F050000}"/>
    <cellStyle name="60% - Énfasis3 3 4 3" xfId="4632" xr:uid="{00000000-0005-0000-0000-0000A0050000}"/>
    <cellStyle name="60% - Énfasis3 3 5" xfId="2304" xr:uid="{00000000-0005-0000-0000-0000A1050000}"/>
    <cellStyle name="60% - Énfasis3 3 5 2" xfId="3532" xr:uid="{00000000-0005-0000-0000-0000A2050000}"/>
    <cellStyle name="60% - Énfasis3 3 6" xfId="2696" xr:uid="{00000000-0005-0000-0000-0000A3050000}"/>
    <cellStyle name="60% - Énfasis3 3 7" xfId="3877" xr:uid="{00000000-0005-0000-0000-0000A4050000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3" xfId="4314" xr:uid="{00000000-0005-0000-0000-0000A9050000}"/>
    <cellStyle name="60% - Énfasis3 4 3" xfId="962" xr:uid="{00000000-0005-0000-0000-0000AA050000}"/>
    <cellStyle name="60% - Énfasis3 4 3 2" xfId="3212" xr:uid="{00000000-0005-0000-0000-0000AB050000}"/>
    <cellStyle name="60% - Énfasis3 4 3 3" xfId="4720" xr:uid="{00000000-0005-0000-0000-0000AC050000}"/>
    <cellStyle name="60% - Énfasis3 4 4" xfId="2390" xr:uid="{00000000-0005-0000-0000-0000AD050000}"/>
    <cellStyle name="60% - Énfasis3 4 4 2" xfId="3619" xr:uid="{00000000-0005-0000-0000-0000AE050000}"/>
    <cellStyle name="60% - Énfasis3 4 5" xfId="2604" xr:uid="{00000000-0005-0000-0000-0000AF050000}"/>
    <cellStyle name="60% - Énfasis3 4 6" xfId="3964" xr:uid="{00000000-0005-0000-0000-0000B0050000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3" xfId="4896" xr:uid="{00000000-0005-0000-0000-0000B4050000}"/>
    <cellStyle name="60% - Énfasis3 5 3" xfId="2776" xr:uid="{00000000-0005-0000-0000-0000B5050000}"/>
    <cellStyle name="60% - Énfasis3 5 4" xfId="4142" xr:uid="{00000000-0005-0000-0000-0000B6050000}"/>
    <cellStyle name="60% - Énfasis3 6" xfId="782" xr:uid="{00000000-0005-0000-0000-0000B7050000}"/>
    <cellStyle name="60% - Énfasis3 6 2" xfId="2947" xr:uid="{00000000-0005-0000-0000-0000B8050000}"/>
    <cellStyle name="60% - Énfasis3 6 3" xfId="4540" xr:uid="{00000000-0005-0000-0000-0000B9050000}"/>
    <cellStyle name="60% - Énfasis3 7" xfId="1521" xr:uid="{00000000-0005-0000-0000-0000BA050000}"/>
    <cellStyle name="60% - Énfasis3 7 2" xfId="3441" xr:uid="{00000000-0005-0000-0000-0000BB050000}"/>
    <cellStyle name="60% - Énfasis3 8" xfId="2557" xr:uid="{00000000-0005-0000-0000-0000BC050000}"/>
    <cellStyle name="60% - Énfasis3 9" xfId="3786" xr:uid="{00000000-0005-0000-0000-0000BD050000}"/>
    <cellStyle name="60% - Énfasis4 10" xfId="47" xr:uid="{00000000-0005-0000-0000-0000BE05000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3" xfId="4436" xr:uid="{00000000-0005-0000-0000-0000C5050000}"/>
    <cellStyle name="60% - Énfasis4 2 2 2 3" xfId="1084" xr:uid="{00000000-0005-0000-0000-0000C6050000}"/>
    <cellStyle name="60% - Énfasis4 2 2 2 3 2" xfId="3215" xr:uid="{00000000-0005-0000-0000-0000C7050000}"/>
    <cellStyle name="60% - Énfasis4 2 2 2 3 3" xfId="4842" xr:uid="{00000000-0005-0000-0000-0000C8050000}"/>
    <cellStyle name="60% - Énfasis4 2 2 2 4" xfId="2512" xr:uid="{00000000-0005-0000-0000-0000C9050000}"/>
    <cellStyle name="60% - Énfasis4 2 2 2 4 2" xfId="3741" xr:uid="{00000000-0005-0000-0000-0000CA050000}"/>
    <cellStyle name="60% - Énfasis4 2 2 2 5" xfId="2904" xr:uid="{00000000-0005-0000-0000-0000CB050000}"/>
    <cellStyle name="60% - Énfasis4 2 2 2 6" xfId="4086" xr:uid="{00000000-0005-0000-0000-0000CC050000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3" xfId="4264" xr:uid="{00000000-0005-0000-0000-0000D0050000}"/>
    <cellStyle name="60% - Énfasis4 2 2 4" xfId="911" xr:uid="{00000000-0005-0000-0000-0000D1050000}"/>
    <cellStyle name="60% - Énfasis4 2 2 4 2" xfId="3214" xr:uid="{00000000-0005-0000-0000-0000D2050000}"/>
    <cellStyle name="60% - Énfasis4 2 2 4 3" xfId="4669" xr:uid="{00000000-0005-0000-0000-0000D3050000}"/>
    <cellStyle name="60% - Énfasis4 2 2 5" xfId="2341" xr:uid="{00000000-0005-0000-0000-0000D4050000}"/>
    <cellStyle name="60% - Énfasis4 2 2 5 2" xfId="3569" xr:uid="{00000000-0005-0000-0000-0000D5050000}"/>
    <cellStyle name="60% - Énfasis4 2 2 6" xfId="2733" xr:uid="{00000000-0005-0000-0000-0000D6050000}"/>
    <cellStyle name="60% - Énfasis4 2 2 7" xfId="3914" xr:uid="{00000000-0005-0000-0000-0000D7050000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3" xfId="4351" xr:uid="{00000000-0005-0000-0000-0000DC050000}"/>
    <cellStyle name="60% - Énfasis4 2 3 3" xfId="999" xr:uid="{00000000-0005-0000-0000-0000DD050000}"/>
    <cellStyle name="60% - Énfasis4 2 3 3 2" xfId="3216" xr:uid="{00000000-0005-0000-0000-0000DE050000}"/>
    <cellStyle name="60% - Énfasis4 2 3 3 3" xfId="4757" xr:uid="{00000000-0005-0000-0000-0000DF050000}"/>
    <cellStyle name="60% - Énfasis4 2 3 4" xfId="2427" xr:uid="{00000000-0005-0000-0000-0000E0050000}"/>
    <cellStyle name="60% - Énfasis4 2 3 4 2" xfId="3656" xr:uid="{00000000-0005-0000-0000-0000E1050000}"/>
    <cellStyle name="60% - Énfasis4 2 3 5" xfId="2819" xr:uid="{00000000-0005-0000-0000-0000E2050000}"/>
    <cellStyle name="60% - Énfasis4 2 3 6" xfId="4001" xr:uid="{00000000-0005-0000-0000-0000E3050000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3" xfId="4179" xr:uid="{00000000-0005-0000-0000-0000E7050000}"/>
    <cellStyle name="60% - Énfasis4 2 5" xfId="825" xr:uid="{00000000-0005-0000-0000-0000E8050000}"/>
    <cellStyle name="60% - Énfasis4 2 5 2" xfId="3213" xr:uid="{00000000-0005-0000-0000-0000E9050000}"/>
    <cellStyle name="60% - Énfasis4 2 5 3" xfId="4583" xr:uid="{00000000-0005-0000-0000-0000EA050000}"/>
    <cellStyle name="60% - Énfasis4 2 6" xfId="2256" xr:uid="{00000000-0005-0000-0000-0000EB050000}"/>
    <cellStyle name="60% - Énfasis4 2 6 2" xfId="3484" xr:uid="{00000000-0005-0000-0000-0000EC050000}"/>
    <cellStyle name="60% - Énfasis4 2 7" xfId="2647" xr:uid="{00000000-0005-0000-0000-0000ED050000}"/>
    <cellStyle name="60% - Énfasis4 2 8" xfId="3829" xr:uid="{00000000-0005-0000-0000-0000EE050000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3" xfId="4400" xr:uid="{00000000-0005-0000-0000-0000F4050000}"/>
    <cellStyle name="60% - Énfasis4 3 2 3" xfId="1048" xr:uid="{00000000-0005-0000-0000-0000F5050000}"/>
    <cellStyle name="60% - Énfasis4 3 2 3 2" xfId="3218" xr:uid="{00000000-0005-0000-0000-0000F6050000}"/>
    <cellStyle name="60% - Énfasis4 3 2 3 3" xfId="4806" xr:uid="{00000000-0005-0000-0000-0000F7050000}"/>
    <cellStyle name="60% - Énfasis4 3 2 4" xfId="2476" xr:uid="{00000000-0005-0000-0000-0000F8050000}"/>
    <cellStyle name="60% - Énfasis4 3 2 4 2" xfId="3705" xr:uid="{00000000-0005-0000-0000-0000F9050000}"/>
    <cellStyle name="60% - Énfasis4 3 2 5" xfId="2868" xr:uid="{00000000-0005-0000-0000-0000FA050000}"/>
    <cellStyle name="60% - Énfasis4 3 2 6" xfId="4050" xr:uid="{00000000-0005-0000-0000-0000FB050000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3" xfId="4228" xr:uid="{00000000-0005-0000-0000-0000FF050000}"/>
    <cellStyle name="60% - Énfasis4 3 4" xfId="875" xr:uid="{00000000-0005-0000-0000-000000060000}"/>
    <cellStyle name="60% - Énfasis4 3 4 2" xfId="3217" xr:uid="{00000000-0005-0000-0000-000001060000}"/>
    <cellStyle name="60% - Énfasis4 3 4 3" xfId="4633" xr:uid="{00000000-0005-0000-0000-000002060000}"/>
    <cellStyle name="60% - Énfasis4 3 5" xfId="2305" xr:uid="{00000000-0005-0000-0000-000003060000}"/>
    <cellStyle name="60% - Énfasis4 3 5 2" xfId="3533" xr:uid="{00000000-0005-0000-0000-000004060000}"/>
    <cellStyle name="60% - Énfasis4 3 6" xfId="2697" xr:uid="{00000000-0005-0000-0000-000005060000}"/>
    <cellStyle name="60% - Énfasis4 3 7" xfId="3878" xr:uid="{00000000-0005-0000-0000-000006060000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3" xfId="4315" xr:uid="{00000000-0005-0000-0000-00000B060000}"/>
    <cellStyle name="60% - Énfasis4 4 3" xfId="963" xr:uid="{00000000-0005-0000-0000-00000C060000}"/>
    <cellStyle name="60% - Énfasis4 4 3 2" xfId="3219" xr:uid="{00000000-0005-0000-0000-00000D060000}"/>
    <cellStyle name="60% - Énfasis4 4 3 3" xfId="4721" xr:uid="{00000000-0005-0000-0000-00000E060000}"/>
    <cellStyle name="60% - Énfasis4 4 4" xfId="2391" xr:uid="{00000000-0005-0000-0000-00000F060000}"/>
    <cellStyle name="60% - Énfasis4 4 4 2" xfId="3620" xr:uid="{00000000-0005-0000-0000-000010060000}"/>
    <cellStyle name="60% - Énfasis4 4 5" xfId="2607" xr:uid="{00000000-0005-0000-0000-000011060000}"/>
    <cellStyle name="60% - Énfasis4 4 6" xfId="3965" xr:uid="{00000000-0005-0000-0000-000012060000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3" xfId="4897" xr:uid="{00000000-0005-0000-0000-000016060000}"/>
    <cellStyle name="60% - Énfasis4 5 3" xfId="2779" xr:uid="{00000000-0005-0000-0000-000017060000}"/>
    <cellStyle name="60% - Énfasis4 5 4" xfId="4143" xr:uid="{00000000-0005-0000-0000-000018060000}"/>
    <cellStyle name="60% - Énfasis4 6" xfId="785" xr:uid="{00000000-0005-0000-0000-000019060000}"/>
    <cellStyle name="60% - Énfasis4 6 2" xfId="2950" xr:uid="{00000000-0005-0000-0000-00001A060000}"/>
    <cellStyle name="60% - Énfasis4 6 3" xfId="4543" xr:uid="{00000000-0005-0000-0000-00001B060000}"/>
    <cellStyle name="60% - Énfasis4 7" xfId="1522" xr:uid="{00000000-0005-0000-0000-00001C060000}"/>
    <cellStyle name="60% - Énfasis4 7 2" xfId="3444" xr:uid="{00000000-0005-0000-0000-00001D060000}"/>
    <cellStyle name="60% - Énfasis4 8" xfId="2560" xr:uid="{00000000-0005-0000-0000-00001E060000}"/>
    <cellStyle name="60% - Énfasis4 9" xfId="3789" xr:uid="{00000000-0005-0000-0000-00001F060000}"/>
    <cellStyle name="60% - Énfasis5 10" xfId="51" xr:uid="{00000000-0005-0000-0000-000020060000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3" xfId="4439" xr:uid="{00000000-0005-0000-0000-000027060000}"/>
    <cellStyle name="60% - Énfasis5 2 2 2 3" xfId="1087" xr:uid="{00000000-0005-0000-0000-000028060000}"/>
    <cellStyle name="60% - Énfasis5 2 2 2 3 2" xfId="3222" xr:uid="{00000000-0005-0000-0000-000029060000}"/>
    <cellStyle name="60% - Énfasis5 2 2 2 3 3" xfId="4845" xr:uid="{00000000-0005-0000-0000-00002A060000}"/>
    <cellStyle name="60% - Énfasis5 2 2 2 4" xfId="2515" xr:uid="{00000000-0005-0000-0000-00002B060000}"/>
    <cellStyle name="60% - Énfasis5 2 2 2 4 2" xfId="3744" xr:uid="{00000000-0005-0000-0000-00002C060000}"/>
    <cellStyle name="60% - Énfasis5 2 2 2 5" xfId="2907" xr:uid="{00000000-0005-0000-0000-00002D060000}"/>
    <cellStyle name="60% - Énfasis5 2 2 2 6" xfId="4089" xr:uid="{00000000-0005-0000-0000-00002E060000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3" xfId="4267" xr:uid="{00000000-0005-0000-0000-000032060000}"/>
    <cellStyle name="60% - Énfasis5 2 2 4" xfId="914" xr:uid="{00000000-0005-0000-0000-000033060000}"/>
    <cellStyle name="60% - Énfasis5 2 2 4 2" xfId="3221" xr:uid="{00000000-0005-0000-0000-000034060000}"/>
    <cellStyle name="60% - Énfasis5 2 2 4 3" xfId="4672" xr:uid="{00000000-0005-0000-0000-000035060000}"/>
    <cellStyle name="60% - Énfasis5 2 2 5" xfId="2344" xr:uid="{00000000-0005-0000-0000-000036060000}"/>
    <cellStyle name="60% - Énfasis5 2 2 5 2" xfId="3572" xr:uid="{00000000-0005-0000-0000-000037060000}"/>
    <cellStyle name="60% - Énfasis5 2 2 6" xfId="2736" xr:uid="{00000000-0005-0000-0000-000038060000}"/>
    <cellStyle name="60% - Énfasis5 2 2 7" xfId="3917" xr:uid="{00000000-0005-0000-0000-000039060000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3" xfId="4354" xr:uid="{00000000-0005-0000-0000-00003E060000}"/>
    <cellStyle name="60% - Énfasis5 2 3 3" xfId="1002" xr:uid="{00000000-0005-0000-0000-00003F060000}"/>
    <cellStyle name="60% - Énfasis5 2 3 3 2" xfId="3223" xr:uid="{00000000-0005-0000-0000-000040060000}"/>
    <cellStyle name="60% - Énfasis5 2 3 3 3" xfId="4760" xr:uid="{00000000-0005-0000-0000-000041060000}"/>
    <cellStyle name="60% - Énfasis5 2 3 4" xfId="2430" xr:uid="{00000000-0005-0000-0000-000042060000}"/>
    <cellStyle name="60% - Énfasis5 2 3 4 2" xfId="3659" xr:uid="{00000000-0005-0000-0000-000043060000}"/>
    <cellStyle name="60% - Énfasis5 2 3 5" xfId="2822" xr:uid="{00000000-0005-0000-0000-000044060000}"/>
    <cellStyle name="60% - Énfasis5 2 3 6" xfId="4004" xr:uid="{00000000-0005-0000-0000-000045060000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3" xfId="4182" xr:uid="{00000000-0005-0000-0000-000049060000}"/>
    <cellStyle name="60% - Énfasis5 2 5" xfId="828" xr:uid="{00000000-0005-0000-0000-00004A060000}"/>
    <cellStyle name="60% - Énfasis5 2 5 2" xfId="3220" xr:uid="{00000000-0005-0000-0000-00004B060000}"/>
    <cellStyle name="60% - Énfasis5 2 5 3" xfId="4586" xr:uid="{00000000-0005-0000-0000-00004C060000}"/>
    <cellStyle name="60% - Énfasis5 2 6" xfId="2259" xr:uid="{00000000-0005-0000-0000-00004D060000}"/>
    <cellStyle name="60% - Énfasis5 2 6 2" xfId="3487" xr:uid="{00000000-0005-0000-0000-00004E060000}"/>
    <cellStyle name="60% - Énfasis5 2 7" xfId="2650" xr:uid="{00000000-0005-0000-0000-00004F060000}"/>
    <cellStyle name="60% - Énfasis5 2 8" xfId="3832" xr:uid="{00000000-0005-0000-0000-000050060000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3" xfId="4401" xr:uid="{00000000-0005-0000-0000-000056060000}"/>
    <cellStyle name="60% - Énfasis5 3 2 3" xfId="1049" xr:uid="{00000000-0005-0000-0000-000057060000}"/>
    <cellStyle name="60% - Énfasis5 3 2 3 2" xfId="3225" xr:uid="{00000000-0005-0000-0000-000058060000}"/>
    <cellStyle name="60% - Énfasis5 3 2 3 3" xfId="4807" xr:uid="{00000000-0005-0000-0000-000059060000}"/>
    <cellStyle name="60% - Énfasis5 3 2 4" xfId="2477" xr:uid="{00000000-0005-0000-0000-00005A060000}"/>
    <cellStyle name="60% - Énfasis5 3 2 4 2" xfId="3706" xr:uid="{00000000-0005-0000-0000-00005B060000}"/>
    <cellStyle name="60% - Énfasis5 3 2 5" xfId="2869" xr:uid="{00000000-0005-0000-0000-00005C060000}"/>
    <cellStyle name="60% - Énfasis5 3 2 6" xfId="4051" xr:uid="{00000000-0005-0000-0000-00005D060000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3" xfId="4229" xr:uid="{00000000-0005-0000-0000-000061060000}"/>
    <cellStyle name="60% - Énfasis5 3 4" xfId="876" xr:uid="{00000000-0005-0000-0000-000062060000}"/>
    <cellStyle name="60% - Énfasis5 3 4 2" xfId="3224" xr:uid="{00000000-0005-0000-0000-000063060000}"/>
    <cellStyle name="60% - Énfasis5 3 4 3" xfId="4634" xr:uid="{00000000-0005-0000-0000-000064060000}"/>
    <cellStyle name="60% - Énfasis5 3 5" xfId="2306" xr:uid="{00000000-0005-0000-0000-000065060000}"/>
    <cellStyle name="60% - Énfasis5 3 5 2" xfId="3534" xr:uid="{00000000-0005-0000-0000-000066060000}"/>
    <cellStyle name="60% - Énfasis5 3 6" xfId="2698" xr:uid="{00000000-0005-0000-0000-000067060000}"/>
    <cellStyle name="60% - Énfasis5 3 7" xfId="3879" xr:uid="{00000000-0005-0000-0000-000068060000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3" xfId="4316" xr:uid="{00000000-0005-0000-0000-00006D060000}"/>
    <cellStyle name="60% - Énfasis5 4 3" xfId="964" xr:uid="{00000000-0005-0000-0000-00006E060000}"/>
    <cellStyle name="60% - Énfasis5 4 3 2" xfId="3226" xr:uid="{00000000-0005-0000-0000-00006F060000}"/>
    <cellStyle name="60% - Énfasis5 4 3 3" xfId="4722" xr:uid="{00000000-0005-0000-0000-000070060000}"/>
    <cellStyle name="60% - Énfasis5 4 4" xfId="2392" xr:uid="{00000000-0005-0000-0000-000071060000}"/>
    <cellStyle name="60% - Énfasis5 4 4 2" xfId="3621" xr:uid="{00000000-0005-0000-0000-000072060000}"/>
    <cellStyle name="60% - Énfasis5 4 5" xfId="2610" xr:uid="{00000000-0005-0000-0000-000073060000}"/>
    <cellStyle name="60% - Énfasis5 4 6" xfId="3966" xr:uid="{00000000-0005-0000-0000-000074060000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3" xfId="4898" xr:uid="{00000000-0005-0000-0000-000078060000}"/>
    <cellStyle name="60% - Énfasis5 5 3" xfId="2782" xr:uid="{00000000-0005-0000-0000-000079060000}"/>
    <cellStyle name="60% - Énfasis5 5 4" xfId="4144" xr:uid="{00000000-0005-0000-0000-00007A060000}"/>
    <cellStyle name="60% - Énfasis5 6" xfId="788" xr:uid="{00000000-0005-0000-0000-00007B060000}"/>
    <cellStyle name="60% - Énfasis5 6 2" xfId="2953" xr:uid="{00000000-0005-0000-0000-00007C060000}"/>
    <cellStyle name="60% - Énfasis5 6 3" xfId="4546" xr:uid="{00000000-0005-0000-0000-00007D060000}"/>
    <cellStyle name="60% - Énfasis5 7" xfId="1523" xr:uid="{00000000-0005-0000-0000-00007E060000}"/>
    <cellStyle name="60% - Énfasis5 7 2" xfId="3447" xr:uid="{00000000-0005-0000-0000-00007F060000}"/>
    <cellStyle name="60% - Énfasis5 8" xfId="2563" xr:uid="{00000000-0005-0000-0000-000080060000}"/>
    <cellStyle name="60% - Énfasis5 9" xfId="3792" xr:uid="{00000000-0005-0000-0000-000081060000}"/>
    <cellStyle name="60% - Énfasis6 10" xfId="55" xr:uid="{00000000-0005-0000-0000-000082060000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3" xfId="4442" xr:uid="{00000000-0005-0000-0000-000089060000}"/>
    <cellStyle name="60% - Énfasis6 2 2 2 3" xfId="1090" xr:uid="{00000000-0005-0000-0000-00008A060000}"/>
    <cellStyle name="60% - Énfasis6 2 2 2 3 2" xfId="3229" xr:uid="{00000000-0005-0000-0000-00008B060000}"/>
    <cellStyle name="60% - Énfasis6 2 2 2 3 3" xfId="4848" xr:uid="{00000000-0005-0000-0000-00008C060000}"/>
    <cellStyle name="60% - Énfasis6 2 2 2 4" xfId="2518" xr:uid="{00000000-0005-0000-0000-00008D060000}"/>
    <cellStyle name="60% - Énfasis6 2 2 2 4 2" xfId="3747" xr:uid="{00000000-0005-0000-0000-00008E060000}"/>
    <cellStyle name="60% - Énfasis6 2 2 2 5" xfId="2910" xr:uid="{00000000-0005-0000-0000-00008F060000}"/>
    <cellStyle name="60% - Énfasis6 2 2 2 6" xfId="4092" xr:uid="{00000000-0005-0000-0000-000090060000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3" xfId="4270" xr:uid="{00000000-0005-0000-0000-000094060000}"/>
    <cellStyle name="60% - Énfasis6 2 2 4" xfId="917" xr:uid="{00000000-0005-0000-0000-000095060000}"/>
    <cellStyle name="60% - Énfasis6 2 2 4 2" xfId="3228" xr:uid="{00000000-0005-0000-0000-000096060000}"/>
    <cellStyle name="60% - Énfasis6 2 2 4 3" xfId="4675" xr:uid="{00000000-0005-0000-0000-000097060000}"/>
    <cellStyle name="60% - Énfasis6 2 2 5" xfId="2347" xr:uid="{00000000-0005-0000-0000-000098060000}"/>
    <cellStyle name="60% - Énfasis6 2 2 5 2" xfId="3575" xr:uid="{00000000-0005-0000-0000-000099060000}"/>
    <cellStyle name="60% - Énfasis6 2 2 6" xfId="2739" xr:uid="{00000000-0005-0000-0000-00009A060000}"/>
    <cellStyle name="60% - Énfasis6 2 2 7" xfId="3920" xr:uid="{00000000-0005-0000-0000-00009B060000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3" xfId="4357" xr:uid="{00000000-0005-0000-0000-0000A0060000}"/>
    <cellStyle name="60% - Énfasis6 2 3 3" xfId="1005" xr:uid="{00000000-0005-0000-0000-0000A1060000}"/>
    <cellStyle name="60% - Énfasis6 2 3 3 2" xfId="3230" xr:uid="{00000000-0005-0000-0000-0000A2060000}"/>
    <cellStyle name="60% - Énfasis6 2 3 3 3" xfId="4763" xr:uid="{00000000-0005-0000-0000-0000A3060000}"/>
    <cellStyle name="60% - Énfasis6 2 3 4" xfId="2433" xr:uid="{00000000-0005-0000-0000-0000A4060000}"/>
    <cellStyle name="60% - Énfasis6 2 3 4 2" xfId="3662" xr:uid="{00000000-0005-0000-0000-0000A5060000}"/>
    <cellStyle name="60% - Énfasis6 2 3 5" xfId="2825" xr:uid="{00000000-0005-0000-0000-0000A6060000}"/>
    <cellStyle name="60% - Énfasis6 2 3 6" xfId="4007" xr:uid="{00000000-0005-0000-0000-0000A7060000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3" xfId="4185" xr:uid="{00000000-0005-0000-0000-0000AB060000}"/>
    <cellStyle name="60% - Énfasis6 2 5" xfId="831" xr:uid="{00000000-0005-0000-0000-0000AC060000}"/>
    <cellStyle name="60% - Énfasis6 2 5 2" xfId="3227" xr:uid="{00000000-0005-0000-0000-0000AD060000}"/>
    <cellStyle name="60% - Énfasis6 2 5 3" xfId="4589" xr:uid="{00000000-0005-0000-0000-0000AE060000}"/>
    <cellStyle name="60% - Énfasis6 2 6" xfId="2262" xr:uid="{00000000-0005-0000-0000-0000AF060000}"/>
    <cellStyle name="60% - Énfasis6 2 6 2" xfId="3490" xr:uid="{00000000-0005-0000-0000-0000B0060000}"/>
    <cellStyle name="60% - Énfasis6 2 7" xfId="2653" xr:uid="{00000000-0005-0000-0000-0000B1060000}"/>
    <cellStyle name="60% - Énfasis6 2 8" xfId="3835" xr:uid="{00000000-0005-0000-0000-0000B2060000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3" xfId="4402" xr:uid="{00000000-0005-0000-0000-0000B8060000}"/>
    <cellStyle name="60% - Énfasis6 3 2 3" xfId="1050" xr:uid="{00000000-0005-0000-0000-0000B9060000}"/>
    <cellStyle name="60% - Énfasis6 3 2 3 2" xfId="3232" xr:uid="{00000000-0005-0000-0000-0000BA060000}"/>
    <cellStyle name="60% - Énfasis6 3 2 3 3" xfId="4808" xr:uid="{00000000-0005-0000-0000-0000BB060000}"/>
    <cellStyle name="60% - Énfasis6 3 2 4" xfId="2478" xr:uid="{00000000-0005-0000-0000-0000BC060000}"/>
    <cellStyle name="60% - Énfasis6 3 2 4 2" xfId="3707" xr:uid="{00000000-0005-0000-0000-0000BD060000}"/>
    <cellStyle name="60% - Énfasis6 3 2 5" xfId="2870" xr:uid="{00000000-0005-0000-0000-0000BE060000}"/>
    <cellStyle name="60% - Énfasis6 3 2 6" xfId="4052" xr:uid="{00000000-0005-0000-0000-0000BF060000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3" xfId="4230" xr:uid="{00000000-0005-0000-0000-0000C3060000}"/>
    <cellStyle name="60% - Énfasis6 3 4" xfId="877" xr:uid="{00000000-0005-0000-0000-0000C4060000}"/>
    <cellStyle name="60% - Énfasis6 3 4 2" xfId="3231" xr:uid="{00000000-0005-0000-0000-0000C5060000}"/>
    <cellStyle name="60% - Énfasis6 3 4 3" xfId="4635" xr:uid="{00000000-0005-0000-0000-0000C6060000}"/>
    <cellStyle name="60% - Énfasis6 3 5" xfId="2307" xr:uid="{00000000-0005-0000-0000-0000C7060000}"/>
    <cellStyle name="60% - Énfasis6 3 5 2" xfId="3535" xr:uid="{00000000-0005-0000-0000-0000C8060000}"/>
    <cellStyle name="60% - Énfasis6 3 6" xfId="2699" xr:uid="{00000000-0005-0000-0000-0000C9060000}"/>
    <cellStyle name="60% - Énfasis6 3 7" xfId="3880" xr:uid="{00000000-0005-0000-0000-0000CA060000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3" xfId="4317" xr:uid="{00000000-0005-0000-0000-0000CF060000}"/>
    <cellStyle name="60% - Énfasis6 4 3" xfId="965" xr:uid="{00000000-0005-0000-0000-0000D0060000}"/>
    <cellStyle name="60% - Énfasis6 4 3 2" xfId="3233" xr:uid="{00000000-0005-0000-0000-0000D1060000}"/>
    <cellStyle name="60% - Énfasis6 4 3 3" xfId="4723" xr:uid="{00000000-0005-0000-0000-0000D2060000}"/>
    <cellStyle name="60% - Énfasis6 4 4" xfId="2393" xr:uid="{00000000-0005-0000-0000-0000D3060000}"/>
    <cellStyle name="60% - Énfasis6 4 4 2" xfId="3622" xr:uid="{00000000-0005-0000-0000-0000D4060000}"/>
    <cellStyle name="60% - Énfasis6 4 5" xfId="2613" xr:uid="{00000000-0005-0000-0000-0000D5060000}"/>
    <cellStyle name="60% - Énfasis6 4 6" xfId="3967" xr:uid="{00000000-0005-0000-0000-0000D6060000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3" xfId="4899" xr:uid="{00000000-0005-0000-0000-0000DA060000}"/>
    <cellStyle name="60% - Énfasis6 5 3" xfId="2785" xr:uid="{00000000-0005-0000-0000-0000DB060000}"/>
    <cellStyle name="60% - Énfasis6 5 4" xfId="4145" xr:uid="{00000000-0005-0000-0000-0000DC060000}"/>
    <cellStyle name="60% - Énfasis6 6" xfId="791" xr:uid="{00000000-0005-0000-0000-0000DD060000}"/>
    <cellStyle name="60% - Énfasis6 6 2" xfId="2956" xr:uid="{00000000-0005-0000-0000-0000DE060000}"/>
    <cellStyle name="60% - Énfasis6 6 3" xfId="4549" xr:uid="{00000000-0005-0000-0000-0000DF060000}"/>
    <cellStyle name="60% - Énfasis6 7" xfId="1524" xr:uid="{00000000-0005-0000-0000-0000E0060000}"/>
    <cellStyle name="60% - Énfasis6 7 2" xfId="3450" xr:uid="{00000000-0005-0000-0000-0000E1060000}"/>
    <cellStyle name="60% - Énfasis6 8" xfId="2566" xr:uid="{00000000-0005-0000-0000-0000E2060000}"/>
    <cellStyle name="60% - Énfasis6 9" xfId="3795" xr:uid="{00000000-0005-0000-0000-0000E3060000}"/>
    <cellStyle name="Bueno 2" xfId="1489" xr:uid="{00000000-0005-0000-0000-0000E4060000}"/>
    <cellStyle name="Bueno 3" xfId="20" xr:uid="{00000000-0005-0000-0000-0000E5060000}"/>
    <cellStyle name="Cálculo 2" xfId="1493" xr:uid="{00000000-0005-0000-0000-0000E6060000}"/>
    <cellStyle name="Cálculo 3" xfId="25" xr:uid="{00000000-0005-0000-0000-0000E7060000}"/>
    <cellStyle name="Celda de comprobación 2" xfId="1495" xr:uid="{00000000-0005-0000-0000-0000E8060000}"/>
    <cellStyle name="Celda de comprobación 3" xfId="27" xr:uid="{00000000-0005-0000-0000-0000E9060000}"/>
    <cellStyle name="Celda vinculada 2" xfId="1494" xr:uid="{00000000-0005-0000-0000-0000EA060000}"/>
    <cellStyle name="Celda vinculada 3" xfId="26" xr:uid="{00000000-0005-0000-0000-0000EB060000}"/>
    <cellStyle name="Encabezado 1 2" xfId="1485" xr:uid="{00000000-0005-0000-0000-0000EC060000}"/>
    <cellStyle name="Encabezado 1 3" xfId="16" xr:uid="{00000000-0005-0000-0000-0000ED060000}"/>
    <cellStyle name="Encabezado 4 2" xfId="1488" xr:uid="{00000000-0005-0000-0000-0000EE060000}"/>
    <cellStyle name="Encabezado 4 3" xfId="19" xr:uid="{00000000-0005-0000-0000-0000EF060000}"/>
    <cellStyle name="Énfasis1 2" xfId="1499" xr:uid="{00000000-0005-0000-0000-0000F0060000}"/>
    <cellStyle name="Énfasis1 3" xfId="32" xr:uid="{00000000-0005-0000-0000-0000F1060000}"/>
    <cellStyle name="Énfasis2 2" xfId="1502" xr:uid="{00000000-0005-0000-0000-0000F2060000}"/>
    <cellStyle name="Énfasis2 3" xfId="36" xr:uid="{00000000-0005-0000-0000-0000F3060000}"/>
    <cellStyle name="Énfasis3 2" xfId="1505" xr:uid="{00000000-0005-0000-0000-0000F4060000}"/>
    <cellStyle name="Énfasis3 3" xfId="40" xr:uid="{00000000-0005-0000-0000-0000F5060000}"/>
    <cellStyle name="Énfasis4 2" xfId="1508" xr:uid="{00000000-0005-0000-0000-0000F6060000}"/>
    <cellStyle name="Énfasis4 3" xfId="44" xr:uid="{00000000-0005-0000-0000-0000F7060000}"/>
    <cellStyle name="Énfasis5 2" xfId="1511" xr:uid="{00000000-0005-0000-0000-0000F8060000}"/>
    <cellStyle name="Énfasis5 3" xfId="48" xr:uid="{00000000-0005-0000-0000-0000F9060000}"/>
    <cellStyle name="Énfasis6 2" xfId="1514" xr:uid="{00000000-0005-0000-0000-0000FA060000}"/>
    <cellStyle name="Énfasis6 3" xfId="52" xr:uid="{00000000-0005-0000-0000-0000FB060000}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3" xfId="22533" xr:uid="{00000000-0005-0000-0000-000008070000}"/>
    <cellStyle name="Millares 10 10 2 3" xfId="12618" xr:uid="{00000000-0005-0000-0000-000009070000}"/>
    <cellStyle name="Millares 10 10 2 4" xfId="19305" xr:uid="{00000000-0005-0000-0000-00000A070000}"/>
    <cellStyle name="Millares 10 10 3" xfId="8037" xr:uid="{00000000-0005-0000-0000-00000B070000}"/>
    <cellStyle name="Millares 10 10 3 2" xfId="14615" xr:uid="{00000000-0005-0000-0000-00000C070000}"/>
    <cellStyle name="Millares 10 10 3 3" xfId="21302" xr:uid="{00000000-0005-0000-0000-00000D070000}"/>
    <cellStyle name="Millares 10 10 4" xfId="11337" xr:uid="{00000000-0005-0000-0000-00000E070000}"/>
    <cellStyle name="Millares 10 10 5" xfId="18074" xr:uid="{00000000-0005-0000-0000-00000F070000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3" xfId="21744" xr:uid="{00000000-0005-0000-0000-000013070000}"/>
    <cellStyle name="Millares 10 11 3" xfId="11829" xr:uid="{00000000-0005-0000-0000-000014070000}"/>
    <cellStyle name="Millares 10 11 4" xfId="18516" xr:uid="{00000000-0005-0000-0000-000015070000}"/>
    <cellStyle name="Millares 10 12" xfId="6481" xr:uid="{00000000-0005-0000-0000-000016070000}"/>
    <cellStyle name="Millares 10 12 2" xfId="13059" xr:uid="{00000000-0005-0000-0000-000017070000}"/>
    <cellStyle name="Millares 10 12 3" xfId="19746" xr:uid="{00000000-0005-0000-0000-000018070000}"/>
    <cellStyle name="Millares 10 13" xfId="9713" xr:uid="{00000000-0005-0000-0000-000019070000}"/>
    <cellStyle name="Millares 10 14" xfId="16518" xr:uid="{00000000-0005-0000-0000-00001A070000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3" xfId="21766" xr:uid="{00000000-0005-0000-0000-00001F070000}"/>
    <cellStyle name="Millares 10 2 10 3" xfId="11851" xr:uid="{00000000-0005-0000-0000-000020070000}"/>
    <cellStyle name="Millares 10 2 10 4" xfId="18538" xr:uid="{00000000-0005-0000-0000-000021070000}"/>
    <cellStyle name="Millares 10 2 11" xfId="6491" xr:uid="{00000000-0005-0000-0000-000022070000}"/>
    <cellStyle name="Millares 10 2 11 2" xfId="13069" xr:uid="{00000000-0005-0000-0000-000023070000}"/>
    <cellStyle name="Millares 10 2 11 3" xfId="19756" xr:uid="{00000000-0005-0000-0000-000024070000}"/>
    <cellStyle name="Millares 10 2 12" xfId="9724" xr:uid="{00000000-0005-0000-0000-000025070000}"/>
    <cellStyle name="Millares 10 2 13" xfId="16528" xr:uid="{00000000-0005-0000-0000-00002607000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3" xfId="19779" xr:uid="{00000000-0005-0000-0000-00002A070000}"/>
    <cellStyle name="Millares 10 2 2 11" xfId="9749" xr:uid="{00000000-0005-0000-0000-00002B070000}"/>
    <cellStyle name="Millares 10 2 2 12" xfId="16551" xr:uid="{00000000-0005-0000-0000-00002C070000}"/>
    <cellStyle name="Millares 10 2 2 2" xfId="393" xr:uid="{00000000-0005-0000-0000-00002D070000}"/>
    <cellStyle name="Millares 10 2 2 2 10" xfId="9797" xr:uid="{00000000-0005-0000-0000-00002E070000}"/>
    <cellStyle name="Millares 10 2 2 2 11" xfId="16597" xr:uid="{00000000-0005-0000-0000-00002F070000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3" xfId="21715" xr:uid="{00000000-0005-0000-0000-000036070000}"/>
    <cellStyle name="Millares 10 2 2 2 2 2 2 2 3" xfId="11800" xr:uid="{00000000-0005-0000-0000-000037070000}"/>
    <cellStyle name="Millares 10 2 2 2 2 2 2 2 4" xfId="18487" xr:uid="{00000000-0005-0000-0000-00003807000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3" xfId="22946" xr:uid="{00000000-0005-0000-0000-00003C070000}"/>
    <cellStyle name="Millares 10 2 2 2 2 2 2 3 3" xfId="13031" xr:uid="{00000000-0005-0000-0000-00003D070000}"/>
    <cellStyle name="Millares 10 2 2 2 2 2 2 3 4" xfId="19718" xr:uid="{00000000-0005-0000-0000-00003E070000}"/>
    <cellStyle name="Millares 10 2 2 2 2 2 2 4" xfId="7233" xr:uid="{00000000-0005-0000-0000-00003F070000}"/>
    <cellStyle name="Millares 10 2 2 2 2 2 2 4 2" xfId="13811" xr:uid="{00000000-0005-0000-0000-000040070000}"/>
    <cellStyle name="Millares 10 2 2 2 2 2 2 4 3" xfId="20498" xr:uid="{00000000-0005-0000-0000-000041070000}"/>
    <cellStyle name="Millares 10 2 2 2 2 2 2 5" xfId="10494" xr:uid="{00000000-0005-0000-0000-000042070000}"/>
    <cellStyle name="Millares 10 2 2 2 2 2 2 6" xfId="17270" xr:uid="{00000000-0005-0000-0000-000043070000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3" xfId="21105" xr:uid="{00000000-0005-0000-0000-000047070000}"/>
    <cellStyle name="Millares 10 2 2 2 2 2 3 3" xfId="11122" xr:uid="{00000000-0005-0000-0000-000048070000}"/>
    <cellStyle name="Millares 10 2 2 2 2 2 3 4" xfId="17877" xr:uid="{00000000-0005-0000-0000-000049070000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3" xfId="22336" xr:uid="{00000000-0005-0000-0000-00004D070000}"/>
    <cellStyle name="Millares 10 2 2 2 2 2 4 3" xfId="12421" xr:uid="{00000000-0005-0000-0000-00004E070000}"/>
    <cellStyle name="Millares 10 2 2 2 2 2 4 4" xfId="19108" xr:uid="{00000000-0005-0000-0000-00004F070000}"/>
    <cellStyle name="Millares 10 2 2 2 2 2 5" xfId="6845" xr:uid="{00000000-0005-0000-0000-000050070000}"/>
    <cellStyle name="Millares 10 2 2 2 2 2 5 2" xfId="13423" xr:uid="{00000000-0005-0000-0000-000051070000}"/>
    <cellStyle name="Millares 10 2 2 2 2 2 5 3" xfId="20110" xr:uid="{00000000-0005-0000-0000-000052070000}"/>
    <cellStyle name="Millares 10 2 2 2 2 2 6" xfId="10105" xr:uid="{00000000-0005-0000-0000-000053070000}"/>
    <cellStyle name="Millares 10 2 2 2 2 2 7" xfId="16882" xr:uid="{00000000-0005-0000-0000-000054070000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3" xfId="21471" xr:uid="{00000000-0005-0000-0000-000059070000}"/>
    <cellStyle name="Millares 10 2 2 2 2 3 2 3" xfId="11535" xr:uid="{00000000-0005-0000-0000-00005A070000}"/>
    <cellStyle name="Millares 10 2 2 2 2 3 2 4" xfId="18243" xr:uid="{00000000-0005-0000-0000-00005B070000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3" xfId="22702" xr:uid="{00000000-0005-0000-0000-00005F070000}"/>
    <cellStyle name="Millares 10 2 2 2 2 3 3 3" xfId="12787" xr:uid="{00000000-0005-0000-0000-000060070000}"/>
    <cellStyle name="Millares 10 2 2 2 2 3 3 4" xfId="19474" xr:uid="{00000000-0005-0000-0000-000061070000}"/>
    <cellStyle name="Millares 10 2 2 2 2 3 4" xfId="7040" xr:uid="{00000000-0005-0000-0000-000062070000}"/>
    <cellStyle name="Millares 10 2 2 2 2 3 4 2" xfId="13618" xr:uid="{00000000-0005-0000-0000-000063070000}"/>
    <cellStyle name="Millares 10 2 2 2 2 3 4 3" xfId="20305" xr:uid="{00000000-0005-0000-0000-000064070000}"/>
    <cellStyle name="Millares 10 2 2 2 2 3 5" xfId="10301" xr:uid="{00000000-0005-0000-0000-000065070000}"/>
    <cellStyle name="Millares 10 2 2 2 2 3 6" xfId="17077" xr:uid="{00000000-0005-0000-0000-000066070000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3" xfId="20709" xr:uid="{00000000-0005-0000-0000-00006A070000}"/>
    <cellStyle name="Millares 10 2 2 2 2 4 3" xfId="10706" xr:uid="{00000000-0005-0000-0000-00006B070000}"/>
    <cellStyle name="Millares 10 2 2 2 2 4 4" xfId="17481" xr:uid="{00000000-0005-0000-0000-00006C070000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3" xfId="21940" xr:uid="{00000000-0005-0000-0000-000070070000}"/>
    <cellStyle name="Millares 10 2 2 2 2 5 3" xfId="12025" xr:uid="{00000000-0005-0000-0000-000071070000}"/>
    <cellStyle name="Millares 10 2 2 2 2 5 4" xfId="18712" xr:uid="{00000000-0005-0000-0000-000072070000}"/>
    <cellStyle name="Millares 10 2 2 2 2 6" xfId="6652" xr:uid="{00000000-0005-0000-0000-000073070000}"/>
    <cellStyle name="Millares 10 2 2 2 2 6 2" xfId="13230" xr:uid="{00000000-0005-0000-0000-000074070000}"/>
    <cellStyle name="Millares 10 2 2 2 2 6 3" xfId="19917" xr:uid="{00000000-0005-0000-0000-000075070000}"/>
    <cellStyle name="Millares 10 2 2 2 2 7" xfId="9898" xr:uid="{00000000-0005-0000-0000-000076070000}"/>
    <cellStyle name="Millares 10 2 2 2 2 8" xfId="16689" xr:uid="{00000000-0005-0000-0000-000077070000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3" xfId="21114" xr:uid="{00000000-0005-0000-0000-00007D070000}"/>
    <cellStyle name="Millares 10 2 2 2 3 2 2 3" xfId="11136" xr:uid="{00000000-0005-0000-0000-00007E070000}"/>
    <cellStyle name="Millares 10 2 2 2 3 2 2 4" xfId="17886" xr:uid="{00000000-0005-0000-0000-00007F070000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3" xfId="22345" xr:uid="{00000000-0005-0000-0000-000083070000}"/>
    <cellStyle name="Millares 10 2 2 2 3 2 3 3" xfId="12430" xr:uid="{00000000-0005-0000-0000-000084070000}"/>
    <cellStyle name="Millares 10 2 2 2 3 2 3 4" xfId="19117" xr:uid="{00000000-0005-0000-0000-000085070000}"/>
    <cellStyle name="Millares 10 2 2 2 3 2 4" xfId="7141" xr:uid="{00000000-0005-0000-0000-000086070000}"/>
    <cellStyle name="Millares 10 2 2 2 3 2 4 2" xfId="13719" xr:uid="{00000000-0005-0000-0000-000087070000}"/>
    <cellStyle name="Millares 10 2 2 2 3 2 4 3" xfId="20406" xr:uid="{00000000-0005-0000-0000-000088070000}"/>
    <cellStyle name="Millares 10 2 2 2 3 2 5" xfId="10402" xr:uid="{00000000-0005-0000-0000-000089070000}"/>
    <cellStyle name="Millares 10 2 2 2 3 2 6" xfId="17178" xr:uid="{00000000-0005-0000-0000-00008A07000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3" xfId="22854" xr:uid="{00000000-0005-0000-0000-00008F070000}"/>
    <cellStyle name="Millares 10 2 2 2 3 3 2 3" xfId="12939" xr:uid="{00000000-0005-0000-0000-000090070000}"/>
    <cellStyle name="Millares 10 2 2 2 3 3 2 4" xfId="19626" xr:uid="{00000000-0005-0000-0000-000091070000}"/>
    <cellStyle name="Millares 10 2 2 2 3 3 3" xfId="8358" xr:uid="{00000000-0005-0000-0000-000092070000}"/>
    <cellStyle name="Millares 10 2 2 2 3 3 3 2" xfId="14936" xr:uid="{00000000-0005-0000-0000-000093070000}"/>
    <cellStyle name="Millares 10 2 2 2 3 3 3 3" xfId="21623" xr:uid="{00000000-0005-0000-0000-000094070000}"/>
    <cellStyle name="Millares 10 2 2 2 3 3 4" xfId="11699" xr:uid="{00000000-0005-0000-0000-000095070000}"/>
    <cellStyle name="Millares 10 2 2 2 3 3 5" xfId="18395" xr:uid="{00000000-0005-0000-0000-000096070000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3" xfId="20718" xr:uid="{00000000-0005-0000-0000-00009A070000}"/>
    <cellStyle name="Millares 10 2 2 2 3 4 3" xfId="10715" xr:uid="{00000000-0005-0000-0000-00009B070000}"/>
    <cellStyle name="Millares 10 2 2 2 3 4 4" xfId="17490" xr:uid="{00000000-0005-0000-0000-00009C070000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3" xfId="21949" xr:uid="{00000000-0005-0000-0000-0000A0070000}"/>
    <cellStyle name="Millares 10 2 2 2 3 5 3" xfId="12034" xr:uid="{00000000-0005-0000-0000-0000A1070000}"/>
    <cellStyle name="Millares 10 2 2 2 3 5 4" xfId="18721" xr:uid="{00000000-0005-0000-0000-0000A2070000}"/>
    <cellStyle name="Millares 10 2 2 2 3 6" xfId="6753" xr:uid="{00000000-0005-0000-0000-0000A3070000}"/>
    <cellStyle name="Millares 10 2 2 2 3 6 2" xfId="13331" xr:uid="{00000000-0005-0000-0000-0000A4070000}"/>
    <cellStyle name="Millares 10 2 2 2 3 6 3" xfId="20018" xr:uid="{00000000-0005-0000-0000-0000A5070000}"/>
    <cellStyle name="Millares 10 2 2 2 3 7" xfId="10005" xr:uid="{00000000-0005-0000-0000-0000A6070000}"/>
    <cellStyle name="Millares 10 2 2 2 3 8" xfId="16790" xr:uid="{00000000-0005-0000-0000-0000A7070000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3" xfId="22518" xr:uid="{00000000-0005-0000-0000-0000AD070000}"/>
    <cellStyle name="Millares 10 2 2 2 4 2 2 3" xfId="12603" xr:uid="{00000000-0005-0000-0000-0000AE070000}"/>
    <cellStyle name="Millares 10 2 2 2 4 2 2 4" xfId="19290" xr:uid="{00000000-0005-0000-0000-0000AF070000}"/>
    <cellStyle name="Millares 10 2 2 2 4 2 3" xfId="8022" xr:uid="{00000000-0005-0000-0000-0000B0070000}"/>
    <cellStyle name="Millares 10 2 2 2 4 2 3 2" xfId="14600" xr:uid="{00000000-0005-0000-0000-0000B1070000}"/>
    <cellStyle name="Millares 10 2 2 2 4 2 3 3" xfId="21287" xr:uid="{00000000-0005-0000-0000-0000B2070000}"/>
    <cellStyle name="Millares 10 2 2 2 4 2 4" xfId="11321" xr:uid="{00000000-0005-0000-0000-0000B3070000}"/>
    <cellStyle name="Millares 10 2 2 2 4 2 5" xfId="18059" xr:uid="{00000000-0005-0000-0000-0000B4070000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3" xfId="20891" xr:uid="{00000000-0005-0000-0000-0000B8070000}"/>
    <cellStyle name="Millares 10 2 2 2 4 3 3" xfId="10896" xr:uid="{00000000-0005-0000-0000-0000B9070000}"/>
    <cellStyle name="Millares 10 2 2 2 4 3 4" xfId="17663" xr:uid="{00000000-0005-0000-0000-0000BA070000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3" xfId="22122" xr:uid="{00000000-0005-0000-0000-0000BE070000}"/>
    <cellStyle name="Millares 10 2 2 2 4 4 3" xfId="12207" xr:uid="{00000000-0005-0000-0000-0000BF070000}"/>
    <cellStyle name="Millares 10 2 2 2 4 4 4" xfId="18894" xr:uid="{00000000-0005-0000-0000-0000C0070000}"/>
    <cellStyle name="Millares 10 2 2 2 4 5" xfId="6948" xr:uid="{00000000-0005-0000-0000-0000C1070000}"/>
    <cellStyle name="Millares 10 2 2 2 4 5 2" xfId="13526" xr:uid="{00000000-0005-0000-0000-0000C2070000}"/>
    <cellStyle name="Millares 10 2 2 2 4 5 3" xfId="20213" xr:uid="{00000000-0005-0000-0000-0000C3070000}"/>
    <cellStyle name="Millares 10 2 2 2 4 6" xfId="10209" xr:uid="{00000000-0005-0000-0000-0000C4070000}"/>
    <cellStyle name="Millares 10 2 2 2 4 7" xfId="16985" xr:uid="{00000000-0005-0000-0000-0000C5070000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3" xfId="22230" xr:uid="{00000000-0005-0000-0000-0000CA070000}"/>
    <cellStyle name="Millares 10 2 2 2 5 2 3" xfId="12315" xr:uid="{00000000-0005-0000-0000-0000CB070000}"/>
    <cellStyle name="Millares 10 2 2 2 5 2 4" xfId="19002" xr:uid="{00000000-0005-0000-0000-0000CC070000}"/>
    <cellStyle name="Millares 10 2 2 2 5 3" xfId="7734" xr:uid="{00000000-0005-0000-0000-0000CD070000}"/>
    <cellStyle name="Millares 10 2 2 2 5 3 2" xfId="14312" xr:uid="{00000000-0005-0000-0000-0000CE070000}"/>
    <cellStyle name="Millares 10 2 2 2 5 3 3" xfId="20999" xr:uid="{00000000-0005-0000-0000-0000CF070000}"/>
    <cellStyle name="Millares 10 2 2 2 5 4" xfId="11015" xr:uid="{00000000-0005-0000-0000-0000D0070000}"/>
    <cellStyle name="Millares 10 2 2 2 5 5" xfId="17771" xr:uid="{00000000-0005-0000-0000-0000D1070000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3" xfId="22610" xr:uid="{00000000-0005-0000-0000-0000D6070000}"/>
    <cellStyle name="Millares 10 2 2 2 6 2 3" xfId="12695" xr:uid="{00000000-0005-0000-0000-0000D7070000}"/>
    <cellStyle name="Millares 10 2 2 2 6 2 4" xfId="19382" xr:uid="{00000000-0005-0000-0000-0000D8070000}"/>
    <cellStyle name="Millares 10 2 2 2 6 3" xfId="8114" xr:uid="{00000000-0005-0000-0000-0000D9070000}"/>
    <cellStyle name="Millares 10 2 2 2 6 3 2" xfId="14692" xr:uid="{00000000-0005-0000-0000-0000DA070000}"/>
    <cellStyle name="Millares 10 2 2 2 6 3 3" xfId="21379" xr:uid="{00000000-0005-0000-0000-0000DB070000}"/>
    <cellStyle name="Millares 10 2 2 2 6 4" xfId="11425" xr:uid="{00000000-0005-0000-0000-0000DC070000}"/>
    <cellStyle name="Millares 10 2 2 2 6 5" xfId="18151" xr:uid="{00000000-0005-0000-0000-0000DD070000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3" xfId="20603" xr:uid="{00000000-0005-0000-0000-0000E1070000}"/>
    <cellStyle name="Millares 10 2 2 2 7 3" xfId="10600" xr:uid="{00000000-0005-0000-0000-0000E2070000}"/>
    <cellStyle name="Millares 10 2 2 2 7 4" xfId="17375" xr:uid="{00000000-0005-0000-0000-0000E3070000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3" xfId="21834" xr:uid="{00000000-0005-0000-0000-0000E7070000}"/>
    <cellStyle name="Millares 10 2 2 2 8 3" xfId="11919" xr:uid="{00000000-0005-0000-0000-0000E8070000}"/>
    <cellStyle name="Millares 10 2 2 2 8 4" xfId="18606" xr:uid="{00000000-0005-0000-0000-0000E9070000}"/>
    <cellStyle name="Millares 10 2 2 2 9" xfId="6560" xr:uid="{00000000-0005-0000-0000-0000EA070000}"/>
    <cellStyle name="Millares 10 2 2 2 9 2" xfId="13138" xr:uid="{00000000-0005-0000-0000-0000EB070000}"/>
    <cellStyle name="Millares 10 2 2 2 9 3" xfId="19825" xr:uid="{00000000-0005-0000-0000-0000EC070000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3" xfId="21670" xr:uid="{00000000-0005-0000-0000-0000F3070000}"/>
    <cellStyle name="Millares 10 2 2 3 2 2 2 3" xfId="11750" xr:uid="{00000000-0005-0000-0000-0000F4070000}"/>
    <cellStyle name="Millares 10 2 2 3 2 2 2 4" xfId="18442" xr:uid="{00000000-0005-0000-0000-0000F5070000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3" xfId="22901" xr:uid="{00000000-0005-0000-0000-0000F9070000}"/>
    <cellStyle name="Millares 10 2 2 3 2 2 3 3" xfId="12986" xr:uid="{00000000-0005-0000-0000-0000FA070000}"/>
    <cellStyle name="Millares 10 2 2 3 2 2 3 4" xfId="19673" xr:uid="{00000000-0005-0000-0000-0000FB070000}"/>
    <cellStyle name="Millares 10 2 2 3 2 2 4" xfId="7188" xr:uid="{00000000-0005-0000-0000-0000FC070000}"/>
    <cellStyle name="Millares 10 2 2 3 2 2 4 2" xfId="13766" xr:uid="{00000000-0005-0000-0000-0000FD070000}"/>
    <cellStyle name="Millares 10 2 2 3 2 2 4 3" xfId="20453" xr:uid="{00000000-0005-0000-0000-0000FE070000}"/>
    <cellStyle name="Millares 10 2 2 3 2 2 5" xfId="10449" xr:uid="{00000000-0005-0000-0000-0000FF070000}"/>
    <cellStyle name="Millares 10 2 2 3 2 2 6" xfId="17225" xr:uid="{00000000-0005-0000-0000-000000080000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3" xfId="21060" xr:uid="{00000000-0005-0000-0000-000004080000}"/>
    <cellStyle name="Millares 10 2 2 3 2 3 3" xfId="11076" xr:uid="{00000000-0005-0000-0000-000005080000}"/>
    <cellStyle name="Millares 10 2 2 3 2 3 4" xfId="17832" xr:uid="{00000000-0005-0000-0000-000006080000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3" xfId="22291" xr:uid="{00000000-0005-0000-0000-00000A080000}"/>
    <cellStyle name="Millares 10 2 2 3 2 4 3" xfId="12376" xr:uid="{00000000-0005-0000-0000-00000B080000}"/>
    <cellStyle name="Millares 10 2 2 3 2 4 4" xfId="19063" xr:uid="{00000000-0005-0000-0000-00000C080000}"/>
    <cellStyle name="Millares 10 2 2 3 2 5" xfId="6800" xr:uid="{00000000-0005-0000-0000-00000D080000}"/>
    <cellStyle name="Millares 10 2 2 3 2 5 2" xfId="13378" xr:uid="{00000000-0005-0000-0000-00000E080000}"/>
    <cellStyle name="Millares 10 2 2 3 2 5 3" xfId="20065" xr:uid="{00000000-0005-0000-0000-00000F080000}"/>
    <cellStyle name="Millares 10 2 2 3 2 6" xfId="10056" xr:uid="{00000000-0005-0000-0000-000010080000}"/>
    <cellStyle name="Millares 10 2 2 3 2 7" xfId="16837" xr:uid="{00000000-0005-0000-0000-000011080000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3" xfId="21426" xr:uid="{00000000-0005-0000-0000-000016080000}"/>
    <cellStyle name="Millares 10 2 2 3 3 2 3" xfId="11480" xr:uid="{00000000-0005-0000-0000-000017080000}"/>
    <cellStyle name="Millares 10 2 2 3 3 2 4" xfId="18198" xr:uid="{00000000-0005-0000-0000-000018080000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3" xfId="22657" xr:uid="{00000000-0005-0000-0000-00001C080000}"/>
    <cellStyle name="Millares 10 2 2 3 3 3 3" xfId="12742" xr:uid="{00000000-0005-0000-0000-00001D080000}"/>
    <cellStyle name="Millares 10 2 2 3 3 3 4" xfId="19429" xr:uid="{00000000-0005-0000-0000-00001E080000}"/>
    <cellStyle name="Millares 10 2 2 3 3 4" xfId="6995" xr:uid="{00000000-0005-0000-0000-00001F080000}"/>
    <cellStyle name="Millares 10 2 2 3 3 4 2" xfId="13573" xr:uid="{00000000-0005-0000-0000-000020080000}"/>
    <cellStyle name="Millares 10 2 2 3 3 4 3" xfId="20260" xr:uid="{00000000-0005-0000-0000-000021080000}"/>
    <cellStyle name="Millares 10 2 2 3 3 5" xfId="10256" xr:uid="{00000000-0005-0000-0000-000022080000}"/>
    <cellStyle name="Millares 10 2 2 3 3 6" xfId="17032" xr:uid="{00000000-0005-0000-0000-000023080000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3" xfId="20664" xr:uid="{00000000-0005-0000-0000-000027080000}"/>
    <cellStyle name="Millares 10 2 2 3 4 3" xfId="10661" xr:uid="{00000000-0005-0000-0000-000028080000}"/>
    <cellStyle name="Millares 10 2 2 3 4 4" xfId="17436" xr:uid="{00000000-0005-0000-0000-000029080000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3" xfId="21895" xr:uid="{00000000-0005-0000-0000-00002D080000}"/>
    <cellStyle name="Millares 10 2 2 3 5 3" xfId="11980" xr:uid="{00000000-0005-0000-0000-00002E080000}"/>
    <cellStyle name="Millares 10 2 2 3 5 4" xfId="18667" xr:uid="{00000000-0005-0000-0000-00002F080000}"/>
    <cellStyle name="Millares 10 2 2 3 6" xfId="6607" xr:uid="{00000000-0005-0000-0000-000030080000}"/>
    <cellStyle name="Millares 10 2 2 3 6 2" xfId="13185" xr:uid="{00000000-0005-0000-0000-000031080000}"/>
    <cellStyle name="Millares 10 2 2 3 6 3" xfId="19872" xr:uid="{00000000-0005-0000-0000-000032080000}"/>
    <cellStyle name="Millares 10 2 2 3 7" xfId="9847" xr:uid="{00000000-0005-0000-0000-000033080000}"/>
    <cellStyle name="Millares 10 2 2 3 8" xfId="16644" xr:uid="{00000000-0005-0000-0000-000034080000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3" xfId="21113" xr:uid="{00000000-0005-0000-0000-00003A080000}"/>
    <cellStyle name="Millares 10 2 2 4 2 2 3" xfId="11135" xr:uid="{00000000-0005-0000-0000-00003B080000}"/>
    <cellStyle name="Millares 10 2 2 4 2 2 4" xfId="17885" xr:uid="{00000000-0005-0000-0000-00003C080000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3" xfId="22344" xr:uid="{00000000-0005-0000-0000-000040080000}"/>
    <cellStyle name="Millares 10 2 2 4 2 3 3" xfId="12429" xr:uid="{00000000-0005-0000-0000-000041080000}"/>
    <cellStyle name="Millares 10 2 2 4 2 3 4" xfId="19116" xr:uid="{00000000-0005-0000-0000-000042080000}"/>
    <cellStyle name="Millares 10 2 2 4 2 4" xfId="7095" xr:uid="{00000000-0005-0000-0000-000043080000}"/>
    <cellStyle name="Millares 10 2 2 4 2 4 2" xfId="13673" xr:uid="{00000000-0005-0000-0000-000044080000}"/>
    <cellStyle name="Millares 10 2 2 4 2 4 3" xfId="20360" xr:uid="{00000000-0005-0000-0000-000045080000}"/>
    <cellStyle name="Millares 10 2 2 4 2 5" xfId="10356" xr:uid="{00000000-0005-0000-0000-000046080000}"/>
    <cellStyle name="Millares 10 2 2 4 2 6" xfId="17132" xr:uid="{00000000-0005-0000-0000-000047080000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3" xfId="22808" xr:uid="{00000000-0005-0000-0000-00004C080000}"/>
    <cellStyle name="Millares 10 2 2 4 3 2 3" xfId="12893" xr:uid="{00000000-0005-0000-0000-00004D080000}"/>
    <cellStyle name="Millares 10 2 2 4 3 2 4" xfId="19580" xr:uid="{00000000-0005-0000-0000-00004E080000}"/>
    <cellStyle name="Millares 10 2 2 4 3 3" xfId="8312" xr:uid="{00000000-0005-0000-0000-00004F080000}"/>
    <cellStyle name="Millares 10 2 2 4 3 3 2" xfId="14890" xr:uid="{00000000-0005-0000-0000-000050080000}"/>
    <cellStyle name="Millares 10 2 2 4 3 3 3" xfId="21577" xr:uid="{00000000-0005-0000-0000-000051080000}"/>
    <cellStyle name="Millares 10 2 2 4 3 4" xfId="11646" xr:uid="{00000000-0005-0000-0000-000052080000}"/>
    <cellStyle name="Millares 10 2 2 4 3 5" xfId="18349" xr:uid="{00000000-0005-0000-0000-000053080000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3" xfId="20717" xr:uid="{00000000-0005-0000-0000-000057080000}"/>
    <cellStyle name="Millares 10 2 2 4 4 3" xfId="10714" xr:uid="{00000000-0005-0000-0000-000058080000}"/>
    <cellStyle name="Millares 10 2 2 4 4 4" xfId="17489" xr:uid="{00000000-0005-0000-0000-000059080000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3" xfId="21948" xr:uid="{00000000-0005-0000-0000-00005D080000}"/>
    <cellStyle name="Millares 10 2 2 4 5 3" xfId="12033" xr:uid="{00000000-0005-0000-0000-00005E080000}"/>
    <cellStyle name="Millares 10 2 2 4 5 4" xfId="18720" xr:uid="{00000000-0005-0000-0000-00005F080000}"/>
    <cellStyle name="Millares 10 2 2 4 6" xfId="6707" xr:uid="{00000000-0005-0000-0000-000060080000}"/>
    <cellStyle name="Millares 10 2 2 4 6 2" xfId="13285" xr:uid="{00000000-0005-0000-0000-000061080000}"/>
    <cellStyle name="Millares 10 2 2 4 6 3" xfId="19972" xr:uid="{00000000-0005-0000-0000-000062080000}"/>
    <cellStyle name="Millares 10 2 2 4 7" xfId="9955" xr:uid="{00000000-0005-0000-0000-000063080000}"/>
    <cellStyle name="Millares 10 2 2 4 8" xfId="16744" xr:uid="{00000000-0005-0000-0000-000064080000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3" xfId="22473" xr:uid="{00000000-0005-0000-0000-00006A080000}"/>
    <cellStyle name="Millares 10 2 2 5 2 2 3" xfId="12558" xr:uid="{00000000-0005-0000-0000-00006B080000}"/>
    <cellStyle name="Millares 10 2 2 5 2 2 4" xfId="19245" xr:uid="{00000000-0005-0000-0000-00006C080000}"/>
    <cellStyle name="Millares 10 2 2 5 2 3" xfId="7977" xr:uid="{00000000-0005-0000-0000-00006D080000}"/>
    <cellStyle name="Millares 10 2 2 5 2 3 2" xfId="14555" xr:uid="{00000000-0005-0000-0000-00006E080000}"/>
    <cellStyle name="Millares 10 2 2 5 2 3 3" xfId="21242" xr:uid="{00000000-0005-0000-0000-00006F080000}"/>
    <cellStyle name="Millares 10 2 2 5 2 4" xfId="11273" xr:uid="{00000000-0005-0000-0000-000070080000}"/>
    <cellStyle name="Millares 10 2 2 5 2 5" xfId="18014" xr:uid="{00000000-0005-0000-0000-000071080000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3" xfId="20846" xr:uid="{00000000-0005-0000-0000-000075080000}"/>
    <cellStyle name="Millares 10 2 2 5 3 3" xfId="10844" xr:uid="{00000000-0005-0000-0000-000076080000}"/>
    <cellStyle name="Millares 10 2 2 5 3 4" xfId="17618" xr:uid="{00000000-0005-0000-0000-000077080000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3" xfId="22077" xr:uid="{00000000-0005-0000-0000-00007B080000}"/>
    <cellStyle name="Millares 10 2 2 5 4 3" xfId="12162" xr:uid="{00000000-0005-0000-0000-00007C080000}"/>
    <cellStyle name="Millares 10 2 2 5 4 4" xfId="18849" xr:uid="{00000000-0005-0000-0000-00007D080000}"/>
    <cellStyle name="Millares 10 2 2 5 5" xfId="6902" xr:uid="{00000000-0005-0000-0000-00007E080000}"/>
    <cellStyle name="Millares 10 2 2 5 5 2" xfId="13480" xr:uid="{00000000-0005-0000-0000-00007F080000}"/>
    <cellStyle name="Millares 10 2 2 5 5 3" xfId="20167" xr:uid="{00000000-0005-0000-0000-000080080000}"/>
    <cellStyle name="Millares 10 2 2 5 6" xfId="10163" xr:uid="{00000000-0005-0000-0000-000081080000}"/>
    <cellStyle name="Millares 10 2 2 5 7" xfId="16939" xr:uid="{00000000-0005-0000-0000-000082080000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3" xfId="22185" xr:uid="{00000000-0005-0000-0000-000087080000}"/>
    <cellStyle name="Millares 10 2 2 6 2 3" xfId="12270" xr:uid="{00000000-0005-0000-0000-000088080000}"/>
    <cellStyle name="Millares 10 2 2 6 2 4" xfId="18957" xr:uid="{00000000-0005-0000-0000-000089080000}"/>
    <cellStyle name="Millares 10 2 2 6 3" xfId="7689" xr:uid="{00000000-0005-0000-0000-00008A080000}"/>
    <cellStyle name="Millares 10 2 2 6 3 2" xfId="14267" xr:uid="{00000000-0005-0000-0000-00008B080000}"/>
    <cellStyle name="Millares 10 2 2 6 3 3" xfId="20954" xr:uid="{00000000-0005-0000-0000-00008C080000}"/>
    <cellStyle name="Millares 10 2 2 6 4" xfId="10962" xr:uid="{00000000-0005-0000-0000-00008D080000}"/>
    <cellStyle name="Millares 10 2 2 6 5" xfId="17726" xr:uid="{00000000-0005-0000-0000-00008E080000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3" xfId="22565" xr:uid="{00000000-0005-0000-0000-000093080000}"/>
    <cellStyle name="Millares 10 2 2 7 2 3" xfId="12650" xr:uid="{00000000-0005-0000-0000-000094080000}"/>
    <cellStyle name="Millares 10 2 2 7 2 4" xfId="19337" xr:uid="{00000000-0005-0000-0000-000095080000}"/>
    <cellStyle name="Millares 10 2 2 7 3" xfId="8069" xr:uid="{00000000-0005-0000-0000-000096080000}"/>
    <cellStyle name="Millares 10 2 2 7 3 2" xfId="14647" xr:uid="{00000000-0005-0000-0000-000097080000}"/>
    <cellStyle name="Millares 10 2 2 7 3 3" xfId="21334" xr:uid="{00000000-0005-0000-0000-000098080000}"/>
    <cellStyle name="Millares 10 2 2 7 4" xfId="11371" xr:uid="{00000000-0005-0000-0000-000099080000}"/>
    <cellStyle name="Millares 10 2 2 7 5" xfId="18106" xr:uid="{00000000-0005-0000-0000-00009A080000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3" xfId="20558" xr:uid="{00000000-0005-0000-0000-00009E080000}"/>
    <cellStyle name="Millares 10 2 2 8 3" xfId="10555" xr:uid="{00000000-0005-0000-0000-00009F080000}"/>
    <cellStyle name="Millares 10 2 2 8 4" xfId="17330" xr:uid="{00000000-0005-0000-0000-0000A0080000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3" xfId="21789" xr:uid="{00000000-0005-0000-0000-0000A4080000}"/>
    <cellStyle name="Millares 10 2 2 9 3" xfId="11874" xr:uid="{00000000-0005-0000-0000-0000A5080000}"/>
    <cellStyle name="Millares 10 2 2 9 4" xfId="18561" xr:uid="{00000000-0005-0000-0000-0000A6080000}"/>
    <cellStyle name="Millares 10 2 3" xfId="307" xr:uid="{00000000-0005-0000-0000-0000A7080000}"/>
    <cellStyle name="Millares 10 2 3 10" xfId="9774" xr:uid="{00000000-0005-0000-0000-0000A8080000}"/>
    <cellStyle name="Millares 10 2 3 11" xfId="16575" xr:uid="{00000000-0005-0000-0000-0000A908000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3" xfId="21693" xr:uid="{00000000-0005-0000-0000-0000B0080000}"/>
    <cellStyle name="Millares 10 2 3 2 2 2 2 3" xfId="11776" xr:uid="{00000000-0005-0000-0000-0000B1080000}"/>
    <cellStyle name="Millares 10 2 3 2 2 2 2 4" xfId="18465" xr:uid="{00000000-0005-0000-0000-0000B2080000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3" xfId="22924" xr:uid="{00000000-0005-0000-0000-0000B6080000}"/>
    <cellStyle name="Millares 10 2 3 2 2 2 3 3" xfId="13009" xr:uid="{00000000-0005-0000-0000-0000B7080000}"/>
    <cellStyle name="Millares 10 2 3 2 2 2 3 4" xfId="19696" xr:uid="{00000000-0005-0000-0000-0000B8080000}"/>
    <cellStyle name="Millares 10 2 3 2 2 2 4" xfId="7211" xr:uid="{00000000-0005-0000-0000-0000B9080000}"/>
    <cellStyle name="Millares 10 2 3 2 2 2 4 2" xfId="13789" xr:uid="{00000000-0005-0000-0000-0000BA080000}"/>
    <cellStyle name="Millares 10 2 3 2 2 2 4 3" xfId="20476" xr:uid="{00000000-0005-0000-0000-0000BB080000}"/>
    <cellStyle name="Millares 10 2 3 2 2 2 5" xfId="10472" xr:uid="{00000000-0005-0000-0000-0000BC080000}"/>
    <cellStyle name="Millares 10 2 3 2 2 2 6" xfId="17248" xr:uid="{00000000-0005-0000-0000-0000BD080000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3" xfId="21083" xr:uid="{00000000-0005-0000-0000-0000C1080000}"/>
    <cellStyle name="Millares 10 2 3 2 2 3 3" xfId="11100" xr:uid="{00000000-0005-0000-0000-0000C2080000}"/>
    <cellStyle name="Millares 10 2 3 2 2 3 4" xfId="17855" xr:uid="{00000000-0005-0000-0000-0000C3080000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3" xfId="22314" xr:uid="{00000000-0005-0000-0000-0000C7080000}"/>
    <cellStyle name="Millares 10 2 3 2 2 4 3" xfId="12399" xr:uid="{00000000-0005-0000-0000-0000C8080000}"/>
    <cellStyle name="Millares 10 2 3 2 2 4 4" xfId="19086" xr:uid="{00000000-0005-0000-0000-0000C9080000}"/>
    <cellStyle name="Millares 10 2 3 2 2 5" xfId="6823" xr:uid="{00000000-0005-0000-0000-0000CA080000}"/>
    <cellStyle name="Millares 10 2 3 2 2 5 2" xfId="13401" xr:uid="{00000000-0005-0000-0000-0000CB080000}"/>
    <cellStyle name="Millares 10 2 3 2 2 5 3" xfId="20088" xr:uid="{00000000-0005-0000-0000-0000CC080000}"/>
    <cellStyle name="Millares 10 2 3 2 2 6" xfId="10081" xr:uid="{00000000-0005-0000-0000-0000CD080000}"/>
    <cellStyle name="Millares 10 2 3 2 2 7" xfId="16860" xr:uid="{00000000-0005-0000-0000-0000CE080000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3" xfId="21449" xr:uid="{00000000-0005-0000-0000-0000D3080000}"/>
    <cellStyle name="Millares 10 2 3 2 3 2 3" xfId="11510" xr:uid="{00000000-0005-0000-0000-0000D4080000}"/>
    <cellStyle name="Millares 10 2 3 2 3 2 4" xfId="18221" xr:uid="{00000000-0005-0000-0000-0000D5080000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3" xfId="22680" xr:uid="{00000000-0005-0000-0000-0000D9080000}"/>
    <cellStyle name="Millares 10 2 3 2 3 3 3" xfId="12765" xr:uid="{00000000-0005-0000-0000-0000DA080000}"/>
    <cellStyle name="Millares 10 2 3 2 3 3 4" xfId="19452" xr:uid="{00000000-0005-0000-0000-0000DB080000}"/>
    <cellStyle name="Millares 10 2 3 2 3 4" xfId="7018" xr:uid="{00000000-0005-0000-0000-0000DC080000}"/>
    <cellStyle name="Millares 10 2 3 2 3 4 2" xfId="13596" xr:uid="{00000000-0005-0000-0000-0000DD080000}"/>
    <cellStyle name="Millares 10 2 3 2 3 4 3" xfId="20283" xr:uid="{00000000-0005-0000-0000-0000DE080000}"/>
    <cellStyle name="Millares 10 2 3 2 3 5" xfId="10279" xr:uid="{00000000-0005-0000-0000-0000DF080000}"/>
    <cellStyle name="Millares 10 2 3 2 3 6" xfId="17055" xr:uid="{00000000-0005-0000-0000-0000E0080000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3" xfId="20687" xr:uid="{00000000-0005-0000-0000-0000E4080000}"/>
    <cellStyle name="Millares 10 2 3 2 4 3" xfId="10684" xr:uid="{00000000-0005-0000-0000-0000E5080000}"/>
    <cellStyle name="Millares 10 2 3 2 4 4" xfId="17459" xr:uid="{00000000-0005-0000-0000-0000E6080000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3" xfId="21918" xr:uid="{00000000-0005-0000-0000-0000EA080000}"/>
    <cellStyle name="Millares 10 2 3 2 5 3" xfId="12003" xr:uid="{00000000-0005-0000-0000-0000EB080000}"/>
    <cellStyle name="Millares 10 2 3 2 5 4" xfId="18690" xr:uid="{00000000-0005-0000-0000-0000EC080000}"/>
    <cellStyle name="Millares 10 2 3 2 6" xfId="6630" xr:uid="{00000000-0005-0000-0000-0000ED080000}"/>
    <cellStyle name="Millares 10 2 3 2 6 2" xfId="13208" xr:uid="{00000000-0005-0000-0000-0000EE080000}"/>
    <cellStyle name="Millares 10 2 3 2 6 3" xfId="19895" xr:uid="{00000000-0005-0000-0000-0000EF080000}"/>
    <cellStyle name="Millares 10 2 3 2 7" xfId="9873" xr:uid="{00000000-0005-0000-0000-0000F0080000}"/>
    <cellStyle name="Millares 10 2 3 2 8" xfId="16667" xr:uid="{00000000-0005-0000-0000-0000F1080000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3" xfId="21115" xr:uid="{00000000-0005-0000-0000-0000F7080000}"/>
    <cellStyle name="Millares 10 2 3 3 2 2 3" xfId="11137" xr:uid="{00000000-0005-0000-0000-0000F8080000}"/>
    <cellStyle name="Millares 10 2 3 3 2 2 4" xfId="17887" xr:uid="{00000000-0005-0000-0000-0000F9080000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3" xfId="22346" xr:uid="{00000000-0005-0000-0000-0000FD080000}"/>
    <cellStyle name="Millares 10 2 3 3 2 3 3" xfId="12431" xr:uid="{00000000-0005-0000-0000-0000FE080000}"/>
    <cellStyle name="Millares 10 2 3 3 2 3 4" xfId="19118" xr:uid="{00000000-0005-0000-0000-0000FF080000}"/>
    <cellStyle name="Millares 10 2 3 3 2 4" xfId="7119" xr:uid="{00000000-0005-0000-0000-000000090000}"/>
    <cellStyle name="Millares 10 2 3 3 2 4 2" xfId="13697" xr:uid="{00000000-0005-0000-0000-000001090000}"/>
    <cellStyle name="Millares 10 2 3 3 2 4 3" xfId="20384" xr:uid="{00000000-0005-0000-0000-000002090000}"/>
    <cellStyle name="Millares 10 2 3 3 2 5" xfId="10380" xr:uid="{00000000-0005-0000-0000-000003090000}"/>
    <cellStyle name="Millares 10 2 3 3 2 6" xfId="17156" xr:uid="{00000000-0005-0000-0000-000004090000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3" xfId="22832" xr:uid="{00000000-0005-0000-0000-000009090000}"/>
    <cellStyle name="Millares 10 2 3 3 3 2 3" xfId="12917" xr:uid="{00000000-0005-0000-0000-00000A090000}"/>
    <cellStyle name="Millares 10 2 3 3 3 2 4" xfId="19604" xr:uid="{00000000-0005-0000-0000-00000B090000}"/>
    <cellStyle name="Millares 10 2 3 3 3 3" xfId="8336" xr:uid="{00000000-0005-0000-0000-00000C090000}"/>
    <cellStyle name="Millares 10 2 3 3 3 3 2" xfId="14914" xr:uid="{00000000-0005-0000-0000-00000D090000}"/>
    <cellStyle name="Millares 10 2 3 3 3 3 3" xfId="21601" xr:uid="{00000000-0005-0000-0000-00000E090000}"/>
    <cellStyle name="Millares 10 2 3 3 3 4" xfId="11671" xr:uid="{00000000-0005-0000-0000-00000F090000}"/>
    <cellStyle name="Millares 10 2 3 3 3 5" xfId="18373" xr:uid="{00000000-0005-0000-0000-000010090000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3" xfId="20719" xr:uid="{00000000-0005-0000-0000-000014090000}"/>
    <cellStyle name="Millares 10 2 3 3 4 3" xfId="10716" xr:uid="{00000000-0005-0000-0000-000015090000}"/>
    <cellStyle name="Millares 10 2 3 3 4 4" xfId="17491" xr:uid="{00000000-0005-0000-0000-000016090000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3" xfId="21950" xr:uid="{00000000-0005-0000-0000-00001A090000}"/>
    <cellStyle name="Millares 10 2 3 3 5 3" xfId="12035" xr:uid="{00000000-0005-0000-0000-00001B090000}"/>
    <cellStyle name="Millares 10 2 3 3 5 4" xfId="18722" xr:uid="{00000000-0005-0000-0000-00001C090000}"/>
    <cellStyle name="Millares 10 2 3 3 6" xfId="6731" xr:uid="{00000000-0005-0000-0000-00001D090000}"/>
    <cellStyle name="Millares 10 2 3 3 6 2" xfId="13309" xr:uid="{00000000-0005-0000-0000-00001E090000}"/>
    <cellStyle name="Millares 10 2 3 3 6 3" xfId="19996" xr:uid="{00000000-0005-0000-0000-00001F090000}"/>
    <cellStyle name="Millares 10 2 3 3 7" xfId="9980" xr:uid="{00000000-0005-0000-0000-000020090000}"/>
    <cellStyle name="Millares 10 2 3 3 8" xfId="16768" xr:uid="{00000000-0005-0000-0000-00002109000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3" xfId="22496" xr:uid="{00000000-0005-0000-0000-000027090000}"/>
    <cellStyle name="Millares 10 2 3 4 2 2 3" xfId="12581" xr:uid="{00000000-0005-0000-0000-000028090000}"/>
    <cellStyle name="Millares 10 2 3 4 2 2 4" xfId="19268" xr:uid="{00000000-0005-0000-0000-000029090000}"/>
    <cellStyle name="Millares 10 2 3 4 2 3" xfId="8000" xr:uid="{00000000-0005-0000-0000-00002A090000}"/>
    <cellStyle name="Millares 10 2 3 4 2 3 2" xfId="14578" xr:uid="{00000000-0005-0000-0000-00002B090000}"/>
    <cellStyle name="Millares 10 2 3 4 2 3 3" xfId="21265" xr:uid="{00000000-0005-0000-0000-00002C090000}"/>
    <cellStyle name="Millares 10 2 3 4 2 4" xfId="11298" xr:uid="{00000000-0005-0000-0000-00002D090000}"/>
    <cellStyle name="Millares 10 2 3 4 2 5" xfId="18037" xr:uid="{00000000-0005-0000-0000-00002E090000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3" xfId="20869" xr:uid="{00000000-0005-0000-0000-000032090000}"/>
    <cellStyle name="Millares 10 2 3 4 3 3" xfId="10872" xr:uid="{00000000-0005-0000-0000-000033090000}"/>
    <cellStyle name="Millares 10 2 3 4 3 4" xfId="17641" xr:uid="{00000000-0005-0000-0000-000034090000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3" xfId="22100" xr:uid="{00000000-0005-0000-0000-000038090000}"/>
    <cellStyle name="Millares 10 2 3 4 4 3" xfId="12185" xr:uid="{00000000-0005-0000-0000-000039090000}"/>
    <cellStyle name="Millares 10 2 3 4 4 4" xfId="18872" xr:uid="{00000000-0005-0000-0000-00003A090000}"/>
    <cellStyle name="Millares 10 2 3 4 5" xfId="6926" xr:uid="{00000000-0005-0000-0000-00003B090000}"/>
    <cellStyle name="Millares 10 2 3 4 5 2" xfId="13504" xr:uid="{00000000-0005-0000-0000-00003C090000}"/>
    <cellStyle name="Millares 10 2 3 4 5 3" xfId="20191" xr:uid="{00000000-0005-0000-0000-00003D090000}"/>
    <cellStyle name="Millares 10 2 3 4 6" xfId="10187" xr:uid="{00000000-0005-0000-0000-00003E090000}"/>
    <cellStyle name="Millares 10 2 3 4 7" xfId="16963" xr:uid="{00000000-0005-0000-0000-00003F090000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3" xfId="22208" xr:uid="{00000000-0005-0000-0000-000044090000}"/>
    <cellStyle name="Millares 10 2 3 5 2 3" xfId="12293" xr:uid="{00000000-0005-0000-0000-000045090000}"/>
    <cellStyle name="Millares 10 2 3 5 2 4" xfId="18980" xr:uid="{00000000-0005-0000-0000-000046090000}"/>
    <cellStyle name="Millares 10 2 3 5 3" xfId="7712" xr:uid="{00000000-0005-0000-0000-000047090000}"/>
    <cellStyle name="Millares 10 2 3 5 3 2" xfId="14290" xr:uid="{00000000-0005-0000-0000-000048090000}"/>
    <cellStyle name="Millares 10 2 3 5 3 3" xfId="20977" xr:uid="{00000000-0005-0000-0000-000049090000}"/>
    <cellStyle name="Millares 10 2 3 5 4" xfId="10988" xr:uid="{00000000-0005-0000-0000-00004A090000}"/>
    <cellStyle name="Millares 10 2 3 5 5" xfId="17749" xr:uid="{00000000-0005-0000-0000-00004B090000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3" xfId="22588" xr:uid="{00000000-0005-0000-0000-000050090000}"/>
    <cellStyle name="Millares 10 2 3 6 2 3" xfId="12673" xr:uid="{00000000-0005-0000-0000-000051090000}"/>
    <cellStyle name="Millares 10 2 3 6 2 4" xfId="19360" xr:uid="{00000000-0005-0000-0000-000052090000}"/>
    <cellStyle name="Millares 10 2 3 6 3" xfId="8092" xr:uid="{00000000-0005-0000-0000-000053090000}"/>
    <cellStyle name="Millares 10 2 3 6 3 2" xfId="14670" xr:uid="{00000000-0005-0000-0000-000054090000}"/>
    <cellStyle name="Millares 10 2 3 6 3 3" xfId="21357" xr:uid="{00000000-0005-0000-0000-000055090000}"/>
    <cellStyle name="Millares 10 2 3 6 4" xfId="11398" xr:uid="{00000000-0005-0000-0000-000056090000}"/>
    <cellStyle name="Millares 10 2 3 6 5" xfId="18129" xr:uid="{00000000-0005-0000-0000-000057090000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3" xfId="20581" xr:uid="{00000000-0005-0000-0000-00005B090000}"/>
    <cellStyle name="Millares 10 2 3 7 3" xfId="10578" xr:uid="{00000000-0005-0000-0000-00005C090000}"/>
    <cellStyle name="Millares 10 2 3 7 4" xfId="17353" xr:uid="{00000000-0005-0000-0000-00005D090000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3" xfId="21812" xr:uid="{00000000-0005-0000-0000-000061090000}"/>
    <cellStyle name="Millares 10 2 3 8 3" xfId="11897" xr:uid="{00000000-0005-0000-0000-000062090000}"/>
    <cellStyle name="Millares 10 2 3 8 4" xfId="18584" xr:uid="{00000000-0005-0000-0000-000063090000}"/>
    <cellStyle name="Millares 10 2 3 9" xfId="6538" xr:uid="{00000000-0005-0000-0000-000064090000}"/>
    <cellStyle name="Millares 10 2 3 9 2" xfId="13116" xr:uid="{00000000-0005-0000-0000-000065090000}"/>
    <cellStyle name="Millares 10 2 3 9 3" xfId="19803" xr:uid="{00000000-0005-0000-0000-000066090000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3" xfId="21648" xr:uid="{00000000-0005-0000-0000-00006D090000}"/>
    <cellStyle name="Millares 10 2 4 2 2 2 3" xfId="11726" xr:uid="{00000000-0005-0000-0000-00006E090000}"/>
    <cellStyle name="Millares 10 2 4 2 2 2 4" xfId="18420" xr:uid="{00000000-0005-0000-0000-00006F090000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3" xfId="22879" xr:uid="{00000000-0005-0000-0000-000073090000}"/>
    <cellStyle name="Millares 10 2 4 2 2 3 3" xfId="12964" xr:uid="{00000000-0005-0000-0000-000074090000}"/>
    <cellStyle name="Millares 10 2 4 2 2 3 4" xfId="19651" xr:uid="{00000000-0005-0000-0000-000075090000}"/>
    <cellStyle name="Millares 10 2 4 2 2 4" xfId="7166" xr:uid="{00000000-0005-0000-0000-000076090000}"/>
    <cellStyle name="Millares 10 2 4 2 2 4 2" xfId="13744" xr:uid="{00000000-0005-0000-0000-000077090000}"/>
    <cellStyle name="Millares 10 2 4 2 2 4 3" xfId="20431" xr:uid="{00000000-0005-0000-0000-000078090000}"/>
    <cellStyle name="Millares 10 2 4 2 2 5" xfId="10427" xr:uid="{00000000-0005-0000-0000-000079090000}"/>
    <cellStyle name="Millares 10 2 4 2 2 6" xfId="17203" xr:uid="{00000000-0005-0000-0000-00007A090000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3" xfId="21037" xr:uid="{00000000-0005-0000-0000-00007E090000}"/>
    <cellStyle name="Millares 10 2 4 2 3 3" xfId="11053" xr:uid="{00000000-0005-0000-0000-00007F090000}"/>
    <cellStyle name="Millares 10 2 4 2 3 4" xfId="17809" xr:uid="{00000000-0005-0000-0000-000080090000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3" xfId="22268" xr:uid="{00000000-0005-0000-0000-000084090000}"/>
    <cellStyle name="Millares 10 2 4 2 4 3" xfId="12353" xr:uid="{00000000-0005-0000-0000-000085090000}"/>
    <cellStyle name="Millares 10 2 4 2 4 4" xfId="19040" xr:uid="{00000000-0005-0000-0000-000086090000}"/>
    <cellStyle name="Millares 10 2 4 2 5" xfId="6778" xr:uid="{00000000-0005-0000-0000-000087090000}"/>
    <cellStyle name="Millares 10 2 4 2 5 2" xfId="13356" xr:uid="{00000000-0005-0000-0000-000088090000}"/>
    <cellStyle name="Millares 10 2 4 2 5 3" xfId="20043" xr:uid="{00000000-0005-0000-0000-000089090000}"/>
    <cellStyle name="Millares 10 2 4 2 6" xfId="10033" xr:uid="{00000000-0005-0000-0000-00008A090000}"/>
    <cellStyle name="Millares 10 2 4 2 7" xfId="16815" xr:uid="{00000000-0005-0000-0000-00008B090000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3" xfId="21404" xr:uid="{00000000-0005-0000-0000-000090090000}"/>
    <cellStyle name="Millares 10 2 4 3 2 3" xfId="11452" xr:uid="{00000000-0005-0000-0000-000091090000}"/>
    <cellStyle name="Millares 10 2 4 3 2 4" xfId="18176" xr:uid="{00000000-0005-0000-0000-000092090000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3" xfId="22635" xr:uid="{00000000-0005-0000-0000-000096090000}"/>
    <cellStyle name="Millares 10 2 4 3 3 3" xfId="12720" xr:uid="{00000000-0005-0000-0000-000097090000}"/>
    <cellStyle name="Millares 10 2 4 3 3 4" xfId="19407" xr:uid="{00000000-0005-0000-0000-000098090000}"/>
    <cellStyle name="Millares 10 2 4 3 4" xfId="6973" xr:uid="{00000000-0005-0000-0000-000099090000}"/>
    <cellStyle name="Millares 10 2 4 3 4 2" xfId="13551" xr:uid="{00000000-0005-0000-0000-00009A090000}"/>
    <cellStyle name="Millares 10 2 4 3 4 3" xfId="20238" xr:uid="{00000000-0005-0000-0000-00009B090000}"/>
    <cellStyle name="Millares 10 2 4 3 5" xfId="10234" xr:uid="{00000000-0005-0000-0000-00009C090000}"/>
    <cellStyle name="Millares 10 2 4 3 6" xfId="17010" xr:uid="{00000000-0005-0000-0000-00009D09000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3" xfId="20641" xr:uid="{00000000-0005-0000-0000-0000A1090000}"/>
    <cellStyle name="Millares 10 2 4 4 3" xfId="10638" xr:uid="{00000000-0005-0000-0000-0000A2090000}"/>
    <cellStyle name="Millares 10 2 4 4 4" xfId="17413" xr:uid="{00000000-0005-0000-0000-0000A3090000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3" xfId="21872" xr:uid="{00000000-0005-0000-0000-0000A7090000}"/>
    <cellStyle name="Millares 10 2 4 5 3" xfId="11957" xr:uid="{00000000-0005-0000-0000-0000A8090000}"/>
    <cellStyle name="Millares 10 2 4 5 4" xfId="18644" xr:uid="{00000000-0005-0000-0000-0000A9090000}"/>
    <cellStyle name="Millares 10 2 4 6" xfId="6585" xr:uid="{00000000-0005-0000-0000-0000AA090000}"/>
    <cellStyle name="Millares 10 2 4 6 2" xfId="13163" xr:uid="{00000000-0005-0000-0000-0000AB090000}"/>
    <cellStyle name="Millares 10 2 4 6 3" xfId="19850" xr:uid="{00000000-0005-0000-0000-0000AC090000}"/>
    <cellStyle name="Millares 10 2 4 7" xfId="9823" xr:uid="{00000000-0005-0000-0000-0000AD090000}"/>
    <cellStyle name="Millares 10 2 4 8" xfId="16622" xr:uid="{00000000-0005-0000-0000-0000AE090000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3" xfId="21112" xr:uid="{00000000-0005-0000-0000-0000B4090000}"/>
    <cellStyle name="Millares 10 2 5 2 2 3" xfId="11134" xr:uid="{00000000-0005-0000-0000-0000B5090000}"/>
    <cellStyle name="Millares 10 2 5 2 2 4" xfId="17884" xr:uid="{00000000-0005-0000-0000-0000B6090000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3" xfId="22343" xr:uid="{00000000-0005-0000-0000-0000BA090000}"/>
    <cellStyle name="Millares 10 2 5 2 3 3" xfId="12428" xr:uid="{00000000-0005-0000-0000-0000BB090000}"/>
    <cellStyle name="Millares 10 2 5 2 3 4" xfId="19115" xr:uid="{00000000-0005-0000-0000-0000BC090000}"/>
    <cellStyle name="Millares 10 2 5 2 4" xfId="7072" xr:uid="{00000000-0005-0000-0000-0000BD090000}"/>
    <cellStyle name="Millares 10 2 5 2 4 2" xfId="13650" xr:uid="{00000000-0005-0000-0000-0000BE090000}"/>
    <cellStyle name="Millares 10 2 5 2 4 3" xfId="20337" xr:uid="{00000000-0005-0000-0000-0000BF090000}"/>
    <cellStyle name="Millares 10 2 5 2 5" xfId="10333" xr:uid="{00000000-0005-0000-0000-0000C0090000}"/>
    <cellStyle name="Millares 10 2 5 2 6" xfId="17109" xr:uid="{00000000-0005-0000-0000-0000C109000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3" xfId="22785" xr:uid="{00000000-0005-0000-0000-0000C6090000}"/>
    <cellStyle name="Millares 10 2 5 3 2 3" xfId="12870" xr:uid="{00000000-0005-0000-0000-0000C7090000}"/>
    <cellStyle name="Millares 10 2 5 3 2 4" xfId="19557" xr:uid="{00000000-0005-0000-0000-0000C8090000}"/>
    <cellStyle name="Millares 10 2 5 3 3" xfId="8289" xr:uid="{00000000-0005-0000-0000-0000C9090000}"/>
    <cellStyle name="Millares 10 2 5 3 3 2" xfId="14867" xr:uid="{00000000-0005-0000-0000-0000CA090000}"/>
    <cellStyle name="Millares 10 2 5 3 3 3" xfId="21554" xr:uid="{00000000-0005-0000-0000-0000CB090000}"/>
    <cellStyle name="Millares 10 2 5 3 4" xfId="11620" xr:uid="{00000000-0005-0000-0000-0000CC090000}"/>
    <cellStyle name="Millares 10 2 5 3 5" xfId="18326" xr:uid="{00000000-0005-0000-0000-0000CD090000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3" xfId="20716" xr:uid="{00000000-0005-0000-0000-0000D1090000}"/>
    <cellStyle name="Millares 10 2 5 4 3" xfId="10713" xr:uid="{00000000-0005-0000-0000-0000D2090000}"/>
    <cellStyle name="Millares 10 2 5 4 4" xfId="17488" xr:uid="{00000000-0005-0000-0000-0000D3090000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3" xfId="21947" xr:uid="{00000000-0005-0000-0000-0000D7090000}"/>
    <cellStyle name="Millares 10 2 5 5 3" xfId="12032" xr:uid="{00000000-0005-0000-0000-0000D8090000}"/>
    <cellStyle name="Millares 10 2 5 5 4" xfId="18719" xr:uid="{00000000-0005-0000-0000-0000D9090000}"/>
    <cellStyle name="Millares 10 2 5 6" xfId="6684" xr:uid="{00000000-0005-0000-0000-0000DA090000}"/>
    <cellStyle name="Millares 10 2 5 6 2" xfId="13262" xr:uid="{00000000-0005-0000-0000-0000DB090000}"/>
    <cellStyle name="Millares 10 2 5 6 3" xfId="19949" xr:uid="{00000000-0005-0000-0000-0000DC090000}"/>
    <cellStyle name="Millares 10 2 5 7" xfId="9930" xr:uid="{00000000-0005-0000-0000-0000DD090000}"/>
    <cellStyle name="Millares 10 2 5 8" xfId="16721" xr:uid="{00000000-0005-0000-0000-0000DE090000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3" xfId="22451" xr:uid="{00000000-0005-0000-0000-0000E4090000}"/>
    <cellStyle name="Millares 10 2 6 2 2 3" xfId="12536" xr:uid="{00000000-0005-0000-0000-0000E5090000}"/>
    <cellStyle name="Millares 10 2 6 2 2 4" xfId="19223" xr:uid="{00000000-0005-0000-0000-0000E6090000}"/>
    <cellStyle name="Millares 10 2 6 2 3" xfId="7955" xr:uid="{00000000-0005-0000-0000-0000E7090000}"/>
    <cellStyle name="Millares 10 2 6 2 3 2" xfId="14533" xr:uid="{00000000-0005-0000-0000-0000E8090000}"/>
    <cellStyle name="Millares 10 2 6 2 3 3" xfId="21220" xr:uid="{00000000-0005-0000-0000-0000E9090000}"/>
    <cellStyle name="Millares 10 2 6 2 4" xfId="11249" xr:uid="{00000000-0005-0000-0000-0000EA090000}"/>
    <cellStyle name="Millares 10 2 6 2 5" xfId="17992" xr:uid="{00000000-0005-0000-0000-0000EB090000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3" xfId="20824" xr:uid="{00000000-0005-0000-0000-0000EF090000}"/>
    <cellStyle name="Millares 10 2 6 3 3" xfId="10822" xr:uid="{00000000-0005-0000-0000-0000F0090000}"/>
    <cellStyle name="Millares 10 2 6 3 4" xfId="17596" xr:uid="{00000000-0005-0000-0000-0000F1090000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3" xfId="22055" xr:uid="{00000000-0005-0000-0000-0000F5090000}"/>
    <cellStyle name="Millares 10 2 6 4 3" xfId="12140" xr:uid="{00000000-0005-0000-0000-0000F6090000}"/>
    <cellStyle name="Millares 10 2 6 4 4" xfId="18827" xr:uid="{00000000-0005-0000-0000-0000F7090000}"/>
    <cellStyle name="Millares 10 2 6 5" xfId="6879" xr:uid="{00000000-0005-0000-0000-0000F8090000}"/>
    <cellStyle name="Millares 10 2 6 5 2" xfId="13457" xr:uid="{00000000-0005-0000-0000-0000F9090000}"/>
    <cellStyle name="Millares 10 2 6 5 3" xfId="20144" xr:uid="{00000000-0005-0000-0000-0000FA090000}"/>
    <cellStyle name="Millares 10 2 6 6" xfId="10140" xr:uid="{00000000-0005-0000-0000-0000FB090000}"/>
    <cellStyle name="Millares 10 2 6 7" xfId="16916" xr:uid="{00000000-0005-0000-0000-0000FC090000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3" xfId="22162" xr:uid="{00000000-0005-0000-0000-0000010A0000}"/>
    <cellStyle name="Millares 10 2 7 2 3" xfId="12247" xr:uid="{00000000-0005-0000-0000-0000020A0000}"/>
    <cellStyle name="Millares 10 2 7 2 4" xfId="18934" xr:uid="{00000000-0005-0000-0000-0000030A0000}"/>
    <cellStyle name="Millares 10 2 7 3" xfId="7666" xr:uid="{00000000-0005-0000-0000-0000040A0000}"/>
    <cellStyle name="Millares 10 2 7 3 2" xfId="14244" xr:uid="{00000000-0005-0000-0000-0000050A0000}"/>
    <cellStyle name="Millares 10 2 7 3 3" xfId="20931" xr:uid="{00000000-0005-0000-0000-0000060A0000}"/>
    <cellStyle name="Millares 10 2 7 4" xfId="10938" xr:uid="{00000000-0005-0000-0000-0000070A0000}"/>
    <cellStyle name="Millares 10 2 7 5" xfId="17703" xr:uid="{00000000-0005-0000-0000-0000080A0000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3" xfId="22543" xr:uid="{00000000-0005-0000-0000-00000D0A0000}"/>
    <cellStyle name="Millares 10 2 8 2 3" xfId="12628" xr:uid="{00000000-0005-0000-0000-00000E0A0000}"/>
    <cellStyle name="Millares 10 2 8 2 4" xfId="19315" xr:uid="{00000000-0005-0000-0000-00000F0A0000}"/>
    <cellStyle name="Millares 10 2 8 3" xfId="8047" xr:uid="{00000000-0005-0000-0000-0000100A0000}"/>
    <cellStyle name="Millares 10 2 8 3 2" xfId="14625" xr:uid="{00000000-0005-0000-0000-0000110A0000}"/>
    <cellStyle name="Millares 10 2 8 3 3" xfId="21312" xr:uid="{00000000-0005-0000-0000-0000120A0000}"/>
    <cellStyle name="Millares 10 2 8 4" xfId="11348" xr:uid="{00000000-0005-0000-0000-0000130A0000}"/>
    <cellStyle name="Millares 10 2 8 5" xfId="18084" xr:uid="{00000000-0005-0000-0000-0000140A0000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3" xfId="20535" xr:uid="{00000000-0005-0000-0000-0000180A0000}"/>
    <cellStyle name="Millares 10 2 9 3" xfId="10532" xr:uid="{00000000-0005-0000-0000-0000190A0000}"/>
    <cellStyle name="Millares 10 2 9 4" xfId="17307" xr:uid="{00000000-0005-0000-0000-00001A0A0000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3" xfId="19769" xr:uid="{00000000-0005-0000-0000-00001E0A0000}"/>
    <cellStyle name="Millares 10 3 11" xfId="9738" xr:uid="{00000000-0005-0000-0000-00001F0A0000}"/>
    <cellStyle name="Millares 10 3 12" xfId="16541" xr:uid="{00000000-0005-0000-0000-0000200A0000}"/>
    <cellStyle name="Millares 10 3 2" xfId="353" xr:uid="{00000000-0005-0000-0000-0000210A0000}"/>
    <cellStyle name="Millares 10 3 2 10" xfId="9787" xr:uid="{00000000-0005-0000-0000-0000220A0000}"/>
    <cellStyle name="Millares 10 3 2 11" xfId="16587" xr:uid="{00000000-0005-0000-0000-0000230A0000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3" xfId="21705" xr:uid="{00000000-0005-0000-0000-00002A0A0000}"/>
    <cellStyle name="Millares 10 3 2 2 2 2 2 3" xfId="11790" xr:uid="{00000000-0005-0000-0000-00002B0A0000}"/>
    <cellStyle name="Millares 10 3 2 2 2 2 2 4" xfId="18477" xr:uid="{00000000-0005-0000-0000-00002C0A0000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3" xfId="22936" xr:uid="{00000000-0005-0000-0000-0000300A0000}"/>
    <cellStyle name="Millares 10 3 2 2 2 2 3 3" xfId="13021" xr:uid="{00000000-0005-0000-0000-0000310A0000}"/>
    <cellStyle name="Millares 10 3 2 2 2 2 3 4" xfId="19708" xr:uid="{00000000-0005-0000-0000-0000320A0000}"/>
    <cellStyle name="Millares 10 3 2 2 2 2 4" xfId="7223" xr:uid="{00000000-0005-0000-0000-0000330A0000}"/>
    <cellStyle name="Millares 10 3 2 2 2 2 4 2" xfId="13801" xr:uid="{00000000-0005-0000-0000-0000340A0000}"/>
    <cellStyle name="Millares 10 3 2 2 2 2 4 3" xfId="20488" xr:uid="{00000000-0005-0000-0000-0000350A0000}"/>
    <cellStyle name="Millares 10 3 2 2 2 2 5" xfId="10484" xr:uid="{00000000-0005-0000-0000-0000360A0000}"/>
    <cellStyle name="Millares 10 3 2 2 2 2 6" xfId="17260" xr:uid="{00000000-0005-0000-0000-0000370A0000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3" xfId="21095" xr:uid="{00000000-0005-0000-0000-00003B0A0000}"/>
    <cellStyle name="Millares 10 3 2 2 2 3 3" xfId="11112" xr:uid="{00000000-0005-0000-0000-00003C0A0000}"/>
    <cellStyle name="Millares 10 3 2 2 2 3 4" xfId="17867" xr:uid="{00000000-0005-0000-0000-00003D0A0000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3" xfId="22326" xr:uid="{00000000-0005-0000-0000-0000410A0000}"/>
    <cellStyle name="Millares 10 3 2 2 2 4 3" xfId="12411" xr:uid="{00000000-0005-0000-0000-0000420A0000}"/>
    <cellStyle name="Millares 10 3 2 2 2 4 4" xfId="19098" xr:uid="{00000000-0005-0000-0000-0000430A0000}"/>
    <cellStyle name="Millares 10 3 2 2 2 5" xfId="6835" xr:uid="{00000000-0005-0000-0000-0000440A0000}"/>
    <cellStyle name="Millares 10 3 2 2 2 5 2" xfId="13413" xr:uid="{00000000-0005-0000-0000-0000450A0000}"/>
    <cellStyle name="Millares 10 3 2 2 2 5 3" xfId="20100" xr:uid="{00000000-0005-0000-0000-0000460A0000}"/>
    <cellStyle name="Millares 10 3 2 2 2 6" xfId="10095" xr:uid="{00000000-0005-0000-0000-0000470A0000}"/>
    <cellStyle name="Millares 10 3 2 2 2 7" xfId="16872" xr:uid="{00000000-0005-0000-0000-0000480A0000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3" xfId="21461" xr:uid="{00000000-0005-0000-0000-00004D0A0000}"/>
    <cellStyle name="Millares 10 3 2 2 3 2 3" xfId="11525" xr:uid="{00000000-0005-0000-0000-00004E0A0000}"/>
    <cellStyle name="Millares 10 3 2 2 3 2 4" xfId="18233" xr:uid="{00000000-0005-0000-0000-00004F0A0000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3" xfId="22692" xr:uid="{00000000-0005-0000-0000-0000530A0000}"/>
    <cellStyle name="Millares 10 3 2 2 3 3 3" xfId="12777" xr:uid="{00000000-0005-0000-0000-0000540A0000}"/>
    <cellStyle name="Millares 10 3 2 2 3 3 4" xfId="19464" xr:uid="{00000000-0005-0000-0000-0000550A0000}"/>
    <cellStyle name="Millares 10 3 2 2 3 4" xfId="7030" xr:uid="{00000000-0005-0000-0000-0000560A0000}"/>
    <cellStyle name="Millares 10 3 2 2 3 4 2" xfId="13608" xr:uid="{00000000-0005-0000-0000-0000570A0000}"/>
    <cellStyle name="Millares 10 3 2 2 3 4 3" xfId="20295" xr:uid="{00000000-0005-0000-0000-0000580A0000}"/>
    <cellStyle name="Millares 10 3 2 2 3 5" xfId="10291" xr:uid="{00000000-0005-0000-0000-0000590A0000}"/>
    <cellStyle name="Millares 10 3 2 2 3 6" xfId="17067" xr:uid="{00000000-0005-0000-0000-00005A0A0000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3" xfId="20699" xr:uid="{00000000-0005-0000-0000-00005E0A0000}"/>
    <cellStyle name="Millares 10 3 2 2 4 3" xfId="10696" xr:uid="{00000000-0005-0000-0000-00005F0A0000}"/>
    <cellStyle name="Millares 10 3 2 2 4 4" xfId="17471" xr:uid="{00000000-0005-0000-0000-0000600A0000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3" xfId="21930" xr:uid="{00000000-0005-0000-0000-0000640A0000}"/>
    <cellStyle name="Millares 10 3 2 2 5 3" xfId="12015" xr:uid="{00000000-0005-0000-0000-0000650A0000}"/>
    <cellStyle name="Millares 10 3 2 2 5 4" xfId="18702" xr:uid="{00000000-0005-0000-0000-0000660A0000}"/>
    <cellStyle name="Millares 10 3 2 2 6" xfId="6642" xr:uid="{00000000-0005-0000-0000-0000670A0000}"/>
    <cellStyle name="Millares 10 3 2 2 6 2" xfId="13220" xr:uid="{00000000-0005-0000-0000-0000680A0000}"/>
    <cellStyle name="Millares 10 3 2 2 6 3" xfId="19907" xr:uid="{00000000-0005-0000-0000-0000690A0000}"/>
    <cellStyle name="Millares 10 3 2 2 7" xfId="9886" xr:uid="{00000000-0005-0000-0000-00006A0A0000}"/>
    <cellStyle name="Millares 10 3 2 2 8" xfId="16679" xr:uid="{00000000-0005-0000-0000-00006B0A0000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3" xfId="21117" xr:uid="{00000000-0005-0000-0000-0000710A0000}"/>
    <cellStyle name="Millares 10 3 2 3 2 2 3" xfId="11139" xr:uid="{00000000-0005-0000-0000-0000720A0000}"/>
    <cellStyle name="Millares 10 3 2 3 2 2 4" xfId="17889" xr:uid="{00000000-0005-0000-0000-0000730A0000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3" xfId="22348" xr:uid="{00000000-0005-0000-0000-0000770A0000}"/>
    <cellStyle name="Millares 10 3 2 3 2 3 3" xfId="12433" xr:uid="{00000000-0005-0000-0000-0000780A0000}"/>
    <cellStyle name="Millares 10 3 2 3 2 3 4" xfId="19120" xr:uid="{00000000-0005-0000-0000-0000790A0000}"/>
    <cellStyle name="Millares 10 3 2 3 2 4" xfId="7131" xr:uid="{00000000-0005-0000-0000-00007A0A0000}"/>
    <cellStyle name="Millares 10 3 2 3 2 4 2" xfId="13709" xr:uid="{00000000-0005-0000-0000-00007B0A0000}"/>
    <cellStyle name="Millares 10 3 2 3 2 4 3" xfId="20396" xr:uid="{00000000-0005-0000-0000-00007C0A0000}"/>
    <cellStyle name="Millares 10 3 2 3 2 5" xfId="10392" xr:uid="{00000000-0005-0000-0000-00007D0A0000}"/>
    <cellStyle name="Millares 10 3 2 3 2 6" xfId="17168" xr:uid="{00000000-0005-0000-0000-00007E0A0000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3" xfId="22844" xr:uid="{00000000-0005-0000-0000-0000830A0000}"/>
    <cellStyle name="Millares 10 3 2 3 3 2 3" xfId="12929" xr:uid="{00000000-0005-0000-0000-0000840A0000}"/>
    <cellStyle name="Millares 10 3 2 3 3 2 4" xfId="19616" xr:uid="{00000000-0005-0000-0000-0000850A0000}"/>
    <cellStyle name="Millares 10 3 2 3 3 3" xfId="8348" xr:uid="{00000000-0005-0000-0000-0000860A0000}"/>
    <cellStyle name="Millares 10 3 2 3 3 3 2" xfId="14926" xr:uid="{00000000-0005-0000-0000-0000870A0000}"/>
    <cellStyle name="Millares 10 3 2 3 3 3 3" xfId="21613" xr:uid="{00000000-0005-0000-0000-0000880A0000}"/>
    <cellStyle name="Millares 10 3 2 3 3 4" xfId="11687" xr:uid="{00000000-0005-0000-0000-0000890A0000}"/>
    <cellStyle name="Millares 10 3 2 3 3 5" xfId="18385" xr:uid="{00000000-0005-0000-0000-00008A0A0000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3" xfId="20721" xr:uid="{00000000-0005-0000-0000-00008E0A0000}"/>
    <cellStyle name="Millares 10 3 2 3 4 3" xfId="10718" xr:uid="{00000000-0005-0000-0000-00008F0A0000}"/>
    <cellStyle name="Millares 10 3 2 3 4 4" xfId="17493" xr:uid="{00000000-0005-0000-0000-0000900A0000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3" xfId="21952" xr:uid="{00000000-0005-0000-0000-0000940A0000}"/>
    <cellStyle name="Millares 10 3 2 3 5 3" xfId="12037" xr:uid="{00000000-0005-0000-0000-0000950A0000}"/>
    <cellStyle name="Millares 10 3 2 3 5 4" xfId="18724" xr:uid="{00000000-0005-0000-0000-0000960A0000}"/>
    <cellStyle name="Millares 10 3 2 3 6" xfId="6743" xr:uid="{00000000-0005-0000-0000-0000970A0000}"/>
    <cellStyle name="Millares 10 3 2 3 6 2" xfId="13321" xr:uid="{00000000-0005-0000-0000-0000980A0000}"/>
    <cellStyle name="Millares 10 3 2 3 6 3" xfId="20008" xr:uid="{00000000-0005-0000-0000-0000990A0000}"/>
    <cellStyle name="Millares 10 3 2 3 7" xfId="9993" xr:uid="{00000000-0005-0000-0000-00009A0A0000}"/>
    <cellStyle name="Millares 10 3 2 3 8" xfId="16780" xr:uid="{00000000-0005-0000-0000-00009B0A000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3" xfId="22508" xr:uid="{00000000-0005-0000-0000-0000A10A0000}"/>
    <cellStyle name="Millares 10 3 2 4 2 2 3" xfId="12593" xr:uid="{00000000-0005-0000-0000-0000A20A0000}"/>
    <cellStyle name="Millares 10 3 2 4 2 2 4" xfId="19280" xr:uid="{00000000-0005-0000-0000-0000A30A0000}"/>
    <cellStyle name="Millares 10 3 2 4 2 3" xfId="8012" xr:uid="{00000000-0005-0000-0000-0000A40A0000}"/>
    <cellStyle name="Millares 10 3 2 4 2 3 2" xfId="14590" xr:uid="{00000000-0005-0000-0000-0000A50A0000}"/>
    <cellStyle name="Millares 10 3 2 4 2 3 3" xfId="21277" xr:uid="{00000000-0005-0000-0000-0000A60A0000}"/>
    <cellStyle name="Millares 10 3 2 4 2 4" xfId="11311" xr:uid="{00000000-0005-0000-0000-0000A70A0000}"/>
    <cellStyle name="Millares 10 3 2 4 2 5" xfId="18049" xr:uid="{00000000-0005-0000-0000-0000A80A0000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3" xfId="20881" xr:uid="{00000000-0005-0000-0000-0000AC0A0000}"/>
    <cellStyle name="Millares 10 3 2 4 3 3" xfId="10885" xr:uid="{00000000-0005-0000-0000-0000AD0A0000}"/>
    <cellStyle name="Millares 10 3 2 4 3 4" xfId="17653" xr:uid="{00000000-0005-0000-0000-0000AE0A0000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3" xfId="22112" xr:uid="{00000000-0005-0000-0000-0000B20A0000}"/>
    <cellStyle name="Millares 10 3 2 4 4 3" xfId="12197" xr:uid="{00000000-0005-0000-0000-0000B30A0000}"/>
    <cellStyle name="Millares 10 3 2 4 4 4" xfId="18884" xr:uid="{00000000-0005-0000-0000-0000B40A0000}"/>
    <cellStyle name="Millares 10 3 2 4 5" xfId="6938" xr:uid="{00000000-0005-0000-0000-0000B50A0000}"/>
    <cellStyle name="Millares 10 3 2 4 5 2" xfId="13516" xr:uid="{00000000-0005-0000-0000-0000B60A0000}"/>
    <cellStyle name="Millares 10 3 2 4 5 3" xfId="20203" xr:uid="{00000000-0005-0000-0000-0000B70A0000}"/>
    <cellStyle name="Millares 10 3 2 4 6" xfId="10199" xr:uid="{00000000-0005-0000-0000-0000B80A0000}"/>
    <cellStyle name="Millares 10 3 2 4 7" xfId="16975" xr:uid="{00000000-0005-0000-0000-0000B90A0000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3" xfId="22220" xr:uid="{00000000-0005-0000-0000-0000BE0A0000}"/>
    <cellStyle name="Millares 10 3 2 5 2 3" xfId="12305" xr:uid="{00000000-0005-0000-0000-0000BF0A0000}"/>
    <cellStyle name="Millares 10 3 2 5 2 4" xfId="18992" xr:uid="{00000000-0005-0000-0000-0000C00A0000}"/>
    <cellStyle name="Millares 10 3 2 5 3" xfId="7724" xr:uid="{00000000-0005-0000-0000-0000C10A0000}"/>
    <cellStyle name="Millares 10 3 2 5 3 2" xfId="14302" xr:uid="{00000000-0005-0000-0000-0000C20A0000}"/>
    <cellStyle name="Millares 10 3 2 5 3 3" xfId="20989" xr:uid="{00000000-0005-0000-0000-0000C30A0000}"/>
    <cellStyle name="Millares 10 3 2 5 4" xfId="11003" xr:uid="{00000000-0005-0000-0000-0000C40A0000}"/>
    <cellStyle name="Millares 10 3 2 5 5" xfId="17761" xr:uid="{00000000-0005-0000-0000-0000C50A0000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3" xfId="22600" xr:uid="{00000000-0005-0000-0000-0000CA0A0000}"/>
    <cellStyle name="Millares 10 3 2 6 2 3" xfId="12685" xr:uid="{00000000-0005-0000-0000-0000CB0A0000}"/>
    <cellStyle name="Millares 10 3 2 6 2 4" xfId="19372" xr:uid="{00000000-0005-0000-0000-0000CC0A0000}"/>
    <cellStyle name="Millares 10 3 2 6 3" xfId="8104" xr:uid="{00000000-0005-0000-0000-0000CD0A0000}"/>
    <cellStyle name="Millares 10 3 2 6 3 2" xfId="14682" xr:uid="{00000000-0005-0000-0000-0000CE0A0000}"/>
    <cellStyle name="Millares 10 3 2 6 3 3" xfId="21369" xr:uid="{00000000-0005-0000-0000-0000CF0A0000}"/>
    <cellStyle name="Millares 10 3 2 6 4" xfId="11412" xr:uid="{00000000-0005-0000-0000-0000D00A0000}"/>
    <cellStyle name="Millares 10 3 2 6 5" xfId="18141" xr:uid="{00000000-0005-0000-0000-0000D10A0000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3" xfId="20593" xr:uid="{00000000-0005-0000-0000-0000D50A0000}"/>
    <cellStyle name="Millares 10 3 2 7 3" xfId="10590" xr:uid="{00000000-0005-0000-0000-0000D60A0000}"/>
    <cellStyle name="Millares 10 3 2 7 4" xfId="17365" xr:uid="{00000000-0005-0000-0000-0000D70A0000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3" xfId="21824" xr:uid="{00000000-0005-0000-0000-0000DB0A0000}"/>
    <cellStyle name="Millares 10 3 2 8 3" xfId="11909" xr:uid="{00000000-0005-0000-0000-0000DC0A0000}"/>
    <cellStyle name="Millares 10 3 2 8 4" xfId="18596" xr:uid="{00000000-0005-0000-0000-0000DD0A0000}"/>
    <cellStyle name="Millares 10 3 2 9" xfId="6550" xr:uid="{00000000-0005-0000-0000-0000DE0A0000}"/>
    <cellStyle name="Millares 10 3 2 9 2" xfId="13128" xr:uid="{00000000-0005-0000-0000-0000DF0A0000}"/>
    <cellStyle name="Millares 10 3 2 9 3" xfId="19815" xr:uid="{00000000-0005-0000-0000-0000E00A0000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3" xfId="21660" xr:uid="{00000000-0005-0000-0000-0000E70A0000}"/>
    <cellStyle name="Millares 10 3 3 2 2 2 3" xfId="11738" xr:uid="{00000000-0005-0000-0000-0000E80A0000}"/>
    <cellStyle name="Millares 10 3 3 2 2 2 4" xfId="18432" xr:uid="{00000000-0005-0000-0000-0000E90A0000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3" xfId="22891" xr:uid="{00000000-0005-0000-0000-0000ED0A0000}"/>
    <cellStyle name="Millares 10 3 3 2 2 3 3" xfId="12976" xr:uid="{00000000-0005-0000-0000-0000EE0A0000}"/>
    <cellStyle name="Millares 10 3 3 2 2 3 4" xfId="19663" xr:uid="{00000000-0005-0000-0000-0000EF0A0000}"/>
    <cellStyle name="Millares 10 3 3 2 2 4" xfId="7178" xr:uid="{00000000-0005-0000-0000-0000F00A0000}"/>
    <cellStyle name="Millares 10 3 3 2 2 4 2" xfId="13756" xr:uid="{00000000-0005-0000-0000-0000F10A0000}"/>
    <cellStyle name="Millares 10 3 3 2 2 4 3" xfId="20443" xr:uid="{00000000-0005-0000-0000-0000F20A0000}"/>
    <cellStyle name="Millares 10 3 3 2 2 5" xfId="10439" xr:uid="{00000000-0005-0000-0000-0000F30A0000}"/>
    <cellStyle name="Millares 10 3 3 2 2 6" xfId="17215" xr:uid="{00000000-0005-0000-0000-0000F40A0000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3" xfId="21050" xr:uid="{00000000-0005-0000-0000-0000F80A0000}"/>
    <cellStyle name="Millares 10 3 3 2 3 3" xfId="11066" xr:uid="{00000000-0005-0000-0000-0000F90A0000}"/>
    <cellStyle name="Millares 10 3 3 2 3 4" xfId="17822" xr:uid="{00000000-0005-0000-0000-0000FA0A0000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3" xfId="22281" xr:uid="{00000000-0005-0000-0000-0000FE0A0000}"/>
    <cellStyle name="Millares 10 3 3 2 4 3" xfId="12366" xr:uid="{00000000-0005-0000-0000-0000FF0A0000}"/>
    <cellStyle name="Millares 10 3 3 2 4 4" xfId="19053" xr:uid="{00000000-0005-0000-0000-0000000B0000}"/>
    <cellStyle name="Millares 10 3 3 2 5" xfId="6790" xr:uid="{00000000-0005-0000-0000-0000010B0000}"/>
    <cellStyle name="Millares 10 3 3 2 5 2" xfId="13368" xr:uid="{00000000-0005-0000-0000-0000020B0000}"/>
    <cellStyle name="Millares 10 3 3 2 5 3" xfId="20055" xr:uid="{00000000-0005-0000-0000-0000030B0000}"/>
    <cellStyle name="Millares 10 3 3 2 6" xfId="10045" xr:uid="{00000000-0005-0000-0000-0000040B0000}"/>
    <cellStyle name="Millares 10 3 3 2 7" xfId="16827" xr:uid="{00000000-0005-0000-0000-0000050B0000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3" xfId="21416" xr:uid="{00000000-0005-0000-0000-00000A0B0000}"/>
    <cellStyle name="Millares 10 3 3 3 2 3" xfId="11467" xr:uid="{00000000-0005-0000-0000-00000B0B0000}"/>
    <cellStyle name="Millares 10 3 3 3 2 4" xfId="18188" xr:uid="{00000000-0005-0000-0000-00000C0B0000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3" xfId="22647" xr:uid="{00000000-0005-0000-0000-0000100B0000}"/>
    <cellStyle name="Millares 10 3 3 3 3 3" xfId="12732" xr:uid="{00000000-0005-0000-0000-0000110B0000}"/>
    <cellStyle name="Millares 10 3 3 3 3 4" xfId="19419" xr:uid="{00000000-0005-0000-0000-0000120B0000}"/>
    <cellStyle name="Millares 10 3 3 3 4" xfId="6985" xr:uid="{00000000-0005-0000-0000-0000130B0000}"/>
    <cellStyle name="Millares 10 3 3 3 4 2" xfId="13563" xr:uid="{00000000-0005-0000-0000-0000140B0000}"/>
    <cellStyle name="Millares 10 3 3 3 4 3" xfId="20250" xr:uid="{00000000-0005-0000-0000-0000150B0000}"/>
    <cellStyle name="Millares 10 3 3 3 5" xfId="10246" xr:uid="{00000000-0005-0000-0000-0000160B0000}"/>
    <cellStyle name="Millares 10 3 3 3 6" xfId="17022" xr:uid="{00000000-0005-0000-0000-0000170B0000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3" xfId="20654" xr:uid="{00000000-0005-0000-0000-00001B0B0000}"/>
    <cellStyle name="Millares 10 3 3 4 3" xfId="10651" xr:uid="{00000000-0005-0000-0000-00001C0B0000}"/>
    <cellStyle name="Millares 10 3 3 4 4" xfId="17426" xr:uid="{00000000-0005-0000-0000-00001D0B0000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3" xfId="21885" xr:uid="{00000000-0005-0000-0000-0000210B0000}"/>
    <cellStyle name="Millares 10 3 3 5 3" xfId="11970" xr:uid="{00000000-0005-0000-0000-0000220B0000}"/>
    <cellStyle name="Millares 10 3 3 5 4" xfId="18657" xr:uid="{00000000-0005-0000-0000-0000230B0000}"/>
    <cellStyle name="Millares 10 3 3 6" xfId="6597" xr:uid="{00000000-0005-0000-0000-0000240B0000}"/>
    <cellStyle name="Millares 10 3 3 6 2" xfId="13175" xr:uid="{00000000-0005-0000-0000-0000250B0000}"/>
    <cellStyle name="Millares 10 3 3 6 3" xfId="19862" xr:uid="{00000000-0005-0000-0000-0000260B0000}"/>
    <cellStyle name="Millares 10 3 3 7" xfId="9836" xr:uid="{00000000-0005-0000-0000-0000270B0000}"/>
    <cellStyle name="Millares 10 3 3 8" xfId="16634" xr:uid="{00000000-0005-0000-0000-0000280B0000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3" xfId="21116" xr:uid="{00000000-0005-0000-0000-00002E0B0000}"/>
    <cellStyle name="Millares 10 3 4 2 2 3" xfId="11138" xr:uid="{00000000-0005-0000-0000-00002F0B0000}"/>
    <cellStyle name="Millares 10 3 4 2 2 4" xfId="17888" xr:uid="{00000000-0005-0000-0000-0000300B0000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3" xfId="22347" xr:uid="{00000000-0005-0000-0000-0000340B0000}"/>
    <cellStyle name="Millares 10 3 4 2 3 3" xfId="12432" xr:uid="{00000000-0005-0000-0000-0000350B0000}"/>
    <cellStyle name="Millares 10 3 4 2 3 4" xfId="19119" xr:uid="{00000000-0005-0000-0000-0000360B0000}"/>
    <cellStyle name="Millares 10 3 4 2 4" xfId="7085" xr:uid="{00000000-0005-0000-0000-0000370B0000}"/>
    <cellStyle name="Millares 10 3 4 2 4 2" xfId="13663" xr:uid="{00000000-0005-0000-0000-0000380B0000}"/>
    <cellStyle name="Millares 10 3 4 2 4 3" xfId="20350" xr:uid="{00000000-0005-0000-0000-0000390B0000}"/>
    <cellStyle name="Millares 10 3 4 2 5" xfId="10346" xr:uid="{00000000-0005-0000-0000-00003A0B0000}"/>
    <cellStyle name="Millares 10 3 4 2 6" xfId="17122" xr:uid="{00000000-0005-0000-0000-00003B0B0000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3" xfId="22798" xr:uid="{00000000-0005-0000-0000-0000400B0000}"/>
    <cellStyle name="Millares 10 3 4 3 2 3" xfId="12883" xr:uid="{00000000-0005-0000-0000-0000410B0000}"/>
    <cellStyle name="Millares 10 3 4 3 2 4" xfId="19570" xr:uid="{00000000-0005-0000-0000-0000420B0000}"/>
    <cellStyle name="Millares 10 3 4 3 3" xfId="8302" xr:uid="{00000000-0005-0000-0000-0000430B0000}"/>
    <cellStyle name="Millares 10 3 4 3 3 2" xfId="14880" xr:uid="{00000000-0005-0000-0000-0000440B0000}"/>
    <cellStyle name="Millares 10 3 4 3 3 3" xfId="21567" xr:uid="{00000000-0005-0000-0000-0000450B0000}"/>
    <cellStyle name="Millares 10 3 4 3 4" xfId="11636" xr:uid="{00000000-0005-0000-0000-0000460B0000}"/>
    <cellStyle name="Millares 10 3 4 3 5" xfId="18339" xr:uid="{00000000-0005-0000-0000-0000470B0000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3" xfId="20720" xr:uid="{00000000-0005-0000-0000-00004B0B0000}"/>
    <cellStyle name="Millares 10 3 4 4 3" xfId="10717" xr:uid="{00000000-0005-0000-0000-00004C0B0000}"/>
    <cellStyle name="Millares 10 3 4 4 4" xfId="17492" xr:uid="{00000000-0005-0000-0000-00004D0B0000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3" xfId="21951" xr:uid="{00000000-0005-0000-0000-0000510B0000}"/>
    <cellStyle name="Millares 10 3 4 5 3" xfId="12036" xr:uid="{00000000-0005-0000-0000-0000520B0000}"/>
    <cellStyle name="Millares 10 3 4 5 4" xfId="18723" xr:uid="{00000000-0005-0000-0000-0000530B0000}"/>
    <cellStyle name="Millares 10 3 4 6" xfId="6697" xr:uid="{00000000-0005-0000-0000-0000540B0000}"/>
    <cellStyle name="Millares 10 3 4 6 2" xfId="13275" xr:uid="{00000000-0005-0000-0000-0000550B0000}"/>
    <cellStyle name="Millares 10 3 4 6 3" xfId="19962" xr:uid="{00000000-0005-0000-0000-0000560B0000}"/>
    <cellStyle name="Millares 10 3 4 7" xfId="9945" xr:uid="{00000000-0005-0000-0000-0000570B0000}"/>
    <cellStyle name="Millares 10 3 4 8" xfId="16734" xr:uid="{00000000-0005-0000-0000-0000580B0000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3" xfId="22463" xr:uid="{00000000-0005-0000-0000-00005E0B0000}"/>
    <cellStyle name="Millares 10 3 5 2 2 3" xfId="12548" xr:uid="{00000000-0005-0000-0000-00005F0B0000}"/>
    <cellStyle name="Millares 10 3 5 2 2 4" xfId="19235" xr:uid="{00000000-0005-0000-0000-0000600B0000}"/>
    <cellStyle name="Millares 10 3 5 2 3" xfId="7967" xr:uid="{00000000-0005-0000-0000-0000610B0000}"/>
    <cellStyle name="Millares 10 3 5 2 3 2" xfId="14545" xr:uid="{00000000-0005-0000-0000-0000620B0000}"/>
    <cellStyle name="Millares 10 3 5 2 3 3" xfId="21232" xr:uid="{00000000-0005-0000-0000-0000630B0000}"/>
    <cellStyle name="Millares 10 3 5 2 4" xfId="11261" xr:uid="{00000000-0005-0000-0000-0000640B0000}"/>
    <cellStyle name="Millares 10 3 5 2 5" xfId="18004" xr:uid="{00000000-0005-0000-0000-0000650B0000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3" xfId="20836" xr:uid="{00000000-0005-0000-0000-0000690B0000}"/>
    <cellStyle name="Millares 10 3 5 3 3" xfId="10834" xr:uid="{00000000-0005-0000-0000-00006A0B0000}"/>
    <cellStyle name="Millares 10 3 5 3 4" xfId="17608" xr:uid="{00000000-0005-0000-0000-00006B0B0000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3" xfId="22067" xr:uid="{00000000-0005-0000-0000-00006F0B0000}"/>
    <cellStyle name="Millares 10 3 5 4 3" xfId="12152" xr:uid="{00000000-0005-0000-0000-0000700B0000}"/>
    <cellStyle name="Millares 10 3 5 4 4" xfId="18839" xr:uid="{00000000-0005-0000-0000-0000710B0000}"/>
    <cellStyle name="Millares 10 3 5 5" xfId="6892" xr:uid="{00000000-0005-0000-0000-0000720B0000}"/>
    <cellStyle name="Millares 10 3 5 5 2" xfId="13470" xr:uid="{00000000-0005-0000-0000-0000730B0000}"/>
    <cellStyle name="Millares 10 3 5 5 3" xfId="20157" xr:uid="{00000000-0005-0000-0000-0000740B0000}"/>
    <cellStyle name="Millares 10 3 5 6" xfId="10153" xr:uid="{00000000-0005-0000-0000-0000750B0000}"/>
    <cellStyle name="Millares 10 3 5 7" xfId="16929" xr:uid="{00000000-0005-0000-0000-0000760B0000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3" xfId="22175" xr:uid="{00000000-0005-0000-0000-00007B0B0000}"/>
    <cellStyle name="Millares 10 3 6 2 3" xfId="12260" xr:uid="{00000000-0005-0000-0000-00007C0B0000}"/>
    <cellStyle name="Millares 10 3 6 2 4" xfId="18947" xr:uid="{00000000-0005-0000-0000-00007D0B0000}"/>
    <cellStyle name="Millares 10 3 6 3" xfId="7679" xr:uid="{00000000-0005-0000-0000-00007E0B0000}"/>
    <cellStyle name="Millares 10 3 6 3 2" xfId="14257" xr:uid="{00000000-0005-0000-0000-00007F0B0000}"/>
    <cellStyle name="Millares 10 3 6 3 3" xfId="20944" xr:uid="{00000000-0005-0000-0000-0000800B0000}"/>
    <cellStyle name="Millares 10 3 6 4" xfId="10951" xr:uid="{00000000-0005-0000-0000-0000810B0000}"/>
    <cellStyle name="Millares 10 3 6 5" xfId="17716" xr:uid="{00000000-0005-0000-0000-0000820B0000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3" xfId="22555" xr:uid="{00000000-0005-0000-0000-0000870B0000}"/>
    <cellStyle name="Millares 10 3 7 2 3" xfId="12640" xr:uid="{00000000-0005-0000-0000-0000880B0000}"/>
    <cellStyle name="Millares 10 3 7 2 4" xfId="19327" xr:uid="{00000000-0005-0000-0000-0000890B0000}"/>
    <cellStyle name="Millares 10 3 7 3" xfId="8059" xr:uid="{00000000-0005-0000-0000-00008A0B0000}"/>
    <cellStyle name="Millares 10 3 7 3 2" xfId="14637" xr:uid="{00000000-0005-0000-0000-00008B0B0000}"/>
    <cellStyle name="Millares 10 3 7 3 3" xfId="21324" xr:uid="{00000000-0005-0000-0000-00008C0B0000}"/>
    <cellStyle name="Millares 10 3 7 4" xfId="11361" xr:uid="{00000000-0005-0000-0000-00008D0B0000}"/>
    <cellStyle name="Millares 10 3 7 5" xfId="18096" xr:uid="{00000000-0005-0000-0000-00008E0B0000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3" xfId="20548" xr:uid="{00000000-0005-0000-0000-0000920B0000}"/>
    <cellStyle name="Millares 10 3 8 3" xfId="10545" xr:uid="{00000000-0005-0000-0000-0000930B0000}"/>
    <cellStyle name="Millares 10 3 8 4" xfId="17320" xr:uid="{00000000-0005-0000-0000-0000940B000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3" xfId="21779" xr:uid="{00000000-0005-0000-0000-0000980B0000}"/>
    <cellStyle name="Millares 10 3 9 3" xfId="11864" xr:uid="{00000000-0005-0000-0000-0000990B0000}"/>
    <cellStyle name="Millares 10 3 9 4" xfId="18551" xr:uid="{00000000-0005-0000-0000-00009A0B0000}"/>
    <cellStyle name="Millares 10 4" xfId="267" xr:uid="{00000000-0005-0000-0000-00009B0B0000}"/>
    <cellStyle name="Millares 10 4 10" xfId="9763" xr:uid="{00000000-0005-0000-0000-00009C0B0000}"/>
    <cellStyle name="Millares 10 4 11" xfId="16565" xr:uid="{00000000-0005-0000-0000-00009D0B0000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3" xfId="21683" xr:uid="{00000000-0005-0000-0000-0000A40B0000}"/>
    <cellStyle name="Millares 10 4 2 2 2 2 3" xfId="11766" xr:uid="{00000000-0005-0000-0000-0000A50B0000}"/>
    <cellStyle name="Millares 10 4 2 2 2 2 4" xfId="18455" xr:uid="{00000000-0005-0000-0000-0000A60B0000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3" xfId="22914" xr:uid="{00000000-0005-0000-0000-0000AA0B0000}"/>
    <cellStyle name="Millares 10 4 2 2 2 3 3" xfId="12999" xr:uid="{00000000-0005-0000-0000-0000AB0B0000}"/>
    <cellStyle name="Millares 10 4 2 2 2 3 4" xfId="19686" xr:uid="{00000000-0005-0000-0000-0000AC0B0000}"/>
    <cellStyle name="Millares 10 4 2 2 2 4" xfId="7201" xr:uid="{00000000-0005-0000-0000-0000AD0B0000}"/>
    <cellStyle name="Millares 10 4 2 2 2 4 2" xfId="13779" xr:uid="{00000000-0005-0000-0000-0000AE0B0000}"/>
    <cellStyle name="Millares 10 4 2 2 2 4 3" xfId="20466" xr:uid="{00000000-0005-0000-0000-0000AF0B0000}"/>
    <cellStyle name="Millares 10 4 2 2 2 5" xfId="10462" xr:uid="{00000000-0005-0000-0000-0000B00B0000}"/>
    <cellStyle name="Millares 10 4 2 2 2 6" xfId="17238" xr:uid="{00000000-0005-0000-0000-0000B10B0000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3" xfId="21027" xr:uid="{00000000-0005-0000-0000-0000B50B0000}"/>
    <cellStyle name="Millares 10 4 2 2 3 3" xfId="11043" xr:uid="{00000000-0005-0000-0000-0000B60B0000}"/>
    <cellStyle name="Millares 10 4 2 2 3 4" xfId="17799" xr:uid="{00000000-0005-0000-0000-0000B70B0000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3" xfId="22258" xr:uid="{00000000-0005-0000-0000-0000BB0B0000}"/>
    <cellStyle name="Millares 10 4 2 2 4 3" xfId="12343" xr:uid="{00000000-0005-0000-0000-0000BC0B0000}"/>
    <cellStyle name="Millares 10 4 2 2 4 4" xfId="19030" xr:uid="{00000000-0005-0000-0000-0000BD0B0000}"/>
    <cellStyle name="Millares 10 4 2 2 5" xfId="6813" xr:uid="{00000000-0005-0000-0000-0000BE0B0000}"/>
    <cellStyle name="Millares 10 4 2 2 5 2" xfId="13391" xr:uid="{00000000-0005-0000-0000-0000BF0B0000}"/>
    <cellStyle name="Millares 10 4 2 2 5 3" xfId="20078" xr:uid="{00000000-0005-0000-0000-0000C00B0000}"/>
    <cellStyle name="Millares 10 4 2 2 6" xfId="10070" xr:uid="{00000000-0005-0000-0000-0000C10B0000}"/>
    <cellStyle name="Millares 10 4 2 2 7" xfId="16850" xr:uid="{00000000-0005-0000-0000-0000C20B0000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3" xfId="21439" xr:uid="{00000000-0005-0000-0000-0000C70B0000}"/>
    <cellStyle name="Millares 10 4 2 3 2 3" xfId="11497" xr:uid="{00000000-0005-0000-0000-0000C80B0000}"/>
    <cellStyle name="Millares 10 4 2 3 2 4" xfId="18211" xr:uid="{00000000-0005-0000-0000-0000C90B000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3" xfId="22670" xr:uid="{00000000-0005-0000-0000-0000CD0B0000}"/>
    <cellStyle name="Millares 10 4 2 3 3 3" xfId="12755" xr:uid="{00000000-0005-0000-0000-0000CE0B0000}"/>
    <cellStyle name="Millares 10 4 2 3 3 4" xfId="19442" xr:uid="{00000000-0005-0000-0000-0000CF0B0000}"/>
    <cellStyle name="Millares 10 4 2 3 4" xfId="7008" xr:uid="{00000000-0005-0000-0000-0000D00B0000}"/>
    <cellStyle name="Millares 10 4 2 3 4 2" xfId="13586" xr:uid="{00000000-0005-0000-0000-0000D10B0000}"/>
    <cellStyle name="Millares 10 4 2 3 4 3" xfId="20273" xr:uid="{00000000-0005-0000-0000-0000D20B0000}"/>
    <cellStyle name="Millares 10 4 2 3 5" xfId="10269" xr:uid="{00000000-0005-0000-0000-0000D30B0000}"/>
    <cellStyle name="Millares 10 4 2 3 6" xfId="17045" xr:uid="{00000000-0005-0000-0000-0000D40B0000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3" xfId="20631" xr:uid="{00000000-0005-0000-0000-0000D80B0000}"/>
    <cellStyle name="Millares 10 4 2 4 3" xfId="10628" xr:uid="{00000000-0005-0000-0000-0000D90B0000}"/>
    <cellStyle name="Millares 10 4 2 4 4" xfId="17403" xr:uid="{00000000-0005-0000-0000-0000DA0B0000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3" xfId="21862" xr:uid="{00000000-0005-0000-0000-0000DE0B0000}"/>
    <cellStyle name="Millares 10 4 2 5 3" xfId="11947" xr:uid="{00000000-0005-0000-0000-0000DF0B0000}"/>
    <cellStyle name="Millares 10 4 2 5 4" xfId="18634" xr:uid="{00000000-0005-0000-0000-0000E00B0000}"/>
    <cellStyle name="Millares 10 4 2 6" xfId="6620" xr:uid="{00000000-0005-0000-0000-0000E10B0000}"/>
    <cellStyle name="Millares 10 4 2 6 2" xfId="13198" xr:uid="{00000000-0005-0000-0000-0000E20B0000}"/>
    <cellStyle name="Millares 10 4 2 6 3" xfId="19885" xr:uid="{00000000-0005-0000-0000-0000E30B0000}"/>
    <cellStyle name="Millares 10 4 2 7" xfId="9861" xr:uid="{00000000-0005-0000-0000-0000E40B0000}"/>
    <cellStyle name="Millares 10 4 2 8" xfId="16657" xr:uid="{00000000-0005-0000-0000-0000E50B0000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3" xfId="21118" xr:uid="{00000000-0005-0000-0000-0000EB0B0000}"/>
    <cellStyle name="Millares 10 4 3 2 2 3" xfId="11140" xr:uid="{00000000-0005-0000-0000-0000EC0B0000}"/>
    <cellStyle name="Millares 10 4 3 2 2 4" xfId="17890" xr:uid="{00000000-0005-0000-0000-0000ED0B0000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3" xfId="22349" xr:uid="{00000000-0005-0000-0000-0000F10B0000}"/>
    <cellStyle name="Millares 10 4 3 2 3 3" xfId="12434" xr:uid="{00000000-0005-0000-0000-0000F20B0000}"/>
    <cellStyle name="Millares 10 4 3 2 3 4" xfId="19121" xr:uid="{00000000-0005-0000-0000-0000F30B0000}"/>
    <cellStyle name="Millares 10 4 3 2 4" xfId="7109" xr:uid="{00000000-0005-0000-0000-0000F40B0000}"/>
    <cellStyle name="Millares 10 4 3 2 4 2" xfId="13687" xr:uid="{00000000-0005-0000-0000-0000F50B0000}"/>
    <cellStyle name="Millares 10 4 3 2 4 3" xfId="20374" xr:uid="{00000000-0005-0000-0000-0000F60B0000}"/>
    <cellStyle name="Millares 10 4 3 2 5" xfId="10370" xr:uid="{00000000-0005-0000-0000-0000F70B0000}"/>
    <cellStyle name="Millares 10 4 3 2 6" xfId="17146" xr:uid="{00000000-0005-0000-0000-0000F80B0000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3" xfId="22822" xr:uid="{00000000-0005-0000-0000-0000FD0B0000}"/>
    <cellStyle name="Millares 10 4 3 3 2 3" xfId="12907" xr:uid="{00000000-0005-0000-0000-0000FE0B0000}"/>
    <cellStyle name="Millares 10 4 3 3 2 4" xfId="19594" xr:uid="{00000000-0005-0000-0000-0000FF0B0000}"/>
    <cellStyle name="Millares 10 4 3 3 3" xfId="8326" xr:uid="{00000000-0005-0000-0000-0000000C0000}"/>
    <cellStyle name="Millares 10 4 3 3 3 2" xfId="14904" xr:uid="{00000000-0005-0000-0000-0000010C0000}"/>
    <cellStyle name="Millares 10 4 3 3 3 3" xfId="21591" xr:uid="{00000000-0005-0000-0000-0000020C0000}"/>
    <cellStyle name="Millares 10 4 3 3 4" xfId="11661" xr:uid="{00000000-0005-0000-0000-0000030C0000}"/>
    <cellStyle name="Millares 10 4 3 3 5" xfId="18363" xr:uid="{00000000-0005-0000-0000-0000040C0000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3" xfId="20722" xr:uid="{00000000-0005-0000-0000-0000080C0000}"/>
    <cellStyle name="Millares 10 4 3 4 3" xfId="10719" xr:uid="{00000000-0005-0000-0000-0000090C0000}"/>
    <cellStyle name="Millares 10 4 3 4 4" xfId="17494" xr:uid="{00000000-0005-0000-0000-00000A0C0000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3" xfId="21953" xr:uid="{00000000-0005-0000-0000-00000E0C0000}"/>
    <cellStyle name="Millares 10 4 3 5 3" xfId="12038" xr:uid="{00000000-0005-0000-0000-00000F0C0000}"/>
    <cellStyle name="Millares 10 4 3 5 4" xfId="18725" xr:uid="{00000000-0005-0000-0000-0000100C0000}"/>
    <cellStyle name="Millares 10 4 3 6" xfId="6721" xr:uid="{00000000-0005-0000-0000-0000110C0000}"/>
    <cellStyle name="Millares 10 4 3 6 2" xfId="13299" xr:uid="{00000000-0005-0000-0000-0000120C0000}"/>
    <cellStyle name="Millares 10 4 3 6 3" xfId="19986" xr:uid="{00000000-0005-0000-0000-0000130C0000}"/>
    <cellStyle name="Millares 10 4 3 7" xfId="9969" xr:uid="{00000000-0005-0000-0000-0000140C0000}"/>
    <cellStyle name="Millares 10 4 3 8" xfId="16758" xr:uid="{00000000-0005-0000-0000-0000150C0000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3" xfId="22486" xr:uid="{00000000-0005-0000-0000-00001B0C0000}"/>
    <cellStyle name="Millares 10 4 4 2 2 3" xfId="12571" xr:uid="{00000000-0005-0000-0000-00001C0C0000}"/>
    <cellStyle name="Millares 10 4 4 2 2 4" xfId="19258" xr:uid="{00000000-0005-0000-0000-00001D0C0000}"/>
    <cellStyle name="Millares 10 4 4 2 3" xfId="7990" xr:uid="{00000000-0005-0000-0000-00001E0C0000}"/>
    <cellStyle name="Millares 10 4 4 2 3 2" xfId="14568" xr:uid="{00000000-0005-0000-0000-00001F0C0000}"/>
    <cellStyle name="Millares 10 4 4 2 3 3" xfId="21255" xr:uid="{00000000-0005-0000-0000-0000200C0000}"/>
    <cellStyle name="Millares 10 4 4 2 4" xfId="11287" xr:uid="{00000000-0005-0000-0000-0000210C0000}"/>
    <cellStyle name="Millares 10 4 4 2 5" xfId="18027" xr:uid="{00000000-0005-0000-0000-0000220C0000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3" xfId="20859" xr:uid="{00000000-0005-0000-0000-0000260C0000}"/>
    <cellStyle name="Millares 10 4 4 3 3" xfId="10859" xr:uid="{00000000-0005-0000-0000-0000270C0000}"/>
    <cellStyle name="Millares 10 4 4 3 4" xfId="17631" xr:uid="{00000000-0005-0000-0000-0000280C0000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3" xfId="22090" xr:uid="{00000000-0005-0000-0000-00002C0C0000}"/>
    <cellStyle name="Millares 10 4 4 4 3" xfId="12175" xr:uid="{00000000-0005-0000-0000-00002D0C0000}"/>
    <cellStyle name="Millares 10 4 4 4 4" xfId="18862" xr:uid="{00000000-0005-0000-0000-00002E0C0000}"/>
    <cellStyle name="Millares 10 4 4 5" xfId="6916" xr:uid="{00000000-0005-0000-0000-00002F0C0000}"/>
    <cellStyle name="Millares 10 4 4 5 2" xfId="13494" xr:uid="{00000000-0005-0000-0000-0000300C0000}"/>
    <cellStyle name="Millares 10 4 4 5 3" xfId="20181" xr:uid="{00000000-0005-0000-0000-0000310C0000}"/>
    <cellStyle name="Millares 10 4 4 6" xfId="10177" xr:uid="{00000000-0005-0000-0000-0000320C0000}"/>
    <cellStyle name="Millares 10 4 4 7" xfId="16953" xr:uid="{00000000-0005-0000-0000-0000330C0000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3" xfId="22152" xr:uid="{00000000-0005-0000-0000-0000380C0000}"/>
    <cellStyle name="Millares 10 4 5 2 3" xfId="12237" xr:uid="{00000000-0005-0000-0000-0000390C0000}"/>
    <cellStyle name="Millares 10 4 5 2 4" xfId="18924" xr:uid="{00000000-0005-0000-0000-00003A0C0000}"/>
    <cellStyle name="Millares 10 4 5 3" xfId="7656" xr:uid="{00000000-0005-0000-0000-00003B0C0000}"/>
    <cellStyle name="Millares 10 4 5 3 2" xfId="14234" xr:uid="{00000000-0005-0000-0000-00003C0C0000}"/>
    <cellStyle name="Millares 10 4 5 3 3" xfId="20921" xr:uid="{00000000-0005-0000-0000-00003D0C0000}"/>
    <cellStyle name="Millares 10 4 5 4" xfId="10927" xr:uid="{00000000-0005-0000-0000-00003E0C0000}"/>
    <cellStyle name="Millares 10 4 5 5" xfId="17693" xr:uid="{00000000-0005-0000-0000-00003F0C0000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3" xfId="22578" xr:uid="{00000000-0005-0000-0000-0000440C0000}"/>
    <cellStyle name="Millares 10 4 6 2 3" xfId="12663" xr:uid="{00000000-0005-0000-0000-0000450C0000}"/>
    <cellStyle name="Millares 10 4 6 2 4" xfId="19350" xr:uid="{00000000-0005-0000-0000-0000460C0000}"/>
    <cellStyle name="Millares 10 4 6 3" xfId="8082" xr:uid="{00000000-0005-0000-0000-0000470C0000}"/>
    <cellStyle name="Millares 10 4 6 3 2" xfId="14660" xr:uid="{00000000-0005-0000-0000-0000480C0000}"/>
    <cellStyle name="Millares 10 4 6 3 3" xfId="21347" xr:uid="{00000000-0005-0000-0000-0000490C0000}"/>
    <cellStyle name="Millares 10 4 6 4" xfId="11386" xr:uid="{00000000-0005-0000-0000-00004A0C0000}"/>
    <cellStyle name="Millares 10 4 6 5" xfId="18119" xr:uid="{00000000-0005-0000-0000-00004B0C0000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3" xfId="20525" xr:uid="{00000000-0005-0000-0000-00004F0C0000}"/>
    <cellStyle name="Millares 10 4 7 3" xfId="10522" xr:uid="{00000000-0005-0000-0000-0000500C0000}"/>
    <cellStyle name="Millares 10 4 7 4" xfId="17297" xr:uid="{00000000-0005-0000-0000-0000510C0000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3" xfId="21756" xr:uid="{00000000-0005-0000-0000-0000550C0000}"/>
    <cellStyle name="Millares 10 4 8 3" xfId="11841" xr:uid="{00000000-0005-0000-0000-0000560C0000}"/>
    <cellStyle name="Millares 10 4 8 4" xfId="18528" xr:uid="{00000000-0005-0000-0000-0000570C0000}"/>
    <cellStyle name="Millares 10 4 9" xfId="6528" xr:uid="{00000000-0005-0000-0000-0000580C0000}"/>
    <cellStyle name="Millares 10 4 9 2" xfId="13106" xr:uid="{00000000-0005-0000-0000-0000590C0000}"/>
    <cellStyle name="Millares 10 4 9 3" xfId="19793" xr:uid="{00000000-0005-0000-0000-00005A0C0000}"/>
    <cellStyle name="Millares 10 5" xfId="448" xr:uid="{00000000-0005-0000-0000-00005B0C0000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3" xfId="21073" xr:uid="{00000000-0005-0000-0000-0000610C0000}"/>
    <cellStyle name="Millares 10 5 2 2 2 3" xfId="11090" xr:uid="{00000000-0005-0000-0000-0000620C0000}"/>
    <cellStyle name="Millares 10 5 2 2 2 4" xfId="17845" xr:uid="{00000000-0005-0000-0000-0000630C0000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3" xfId="22304" xr:uid="{00000000-0005-0000-0000-0000670C0000}"/>
    <cellStyle name="Millares 10 5 2 2 3 3" xfId="12389" xr:uid="{00000000-0005-0000-0000-0000680C0000}"/>
    <cellStyle name="Millares 10 5 2 2 3 4" xfId="19076" xr:uid="{00000000-0005-0000-0000-0000690C0000}"/>
    <cellStyle name="Millares 10 5 2 2 4" xfId="7156" xr:uid="{00000000-0005-0000-0000-00006A0C0000}"/>
    <cellStyle name="Millares 10 5 2 2 4 2" xfId="13734" xr:uid="{00000000-0005-0000-0000-00006B0C0000}"/>
    <cellStyle name="Millares 10 5 2 2 4 3" xfId="20421" xr:uid="{00000000-0005-0000-0000-00006C0C0000}"/>
    <cellStyle name="Millares 10 5 2 2 5" xfId="10417" xr:uid="{00000000-0005-0000-0000-00006D0C0000}"/>
    <cellStyle name="Millares 10 5 2 2 6" xfId="17193" xr:uid="{00000000-0005-0000-0000-00006E0C0000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3" xfId="22869" xr:uid="{00000000-0005-0000-0000-0000730C0000}"/>
    <cellStyle name="Millares 10 5 2 3 2 3" xfId="12954" xr:uid="{00000000-0005-0000-0000-0000740C0000}"/>
    <cellStyle name="Millares 10 5 2 3 2 4" xfId="19641" xr:uid="{00000000-0005-0000-0000-0000750C0000}"/>
    <cellStyle name="Millares 10 5 2 3 3" xfId="8373" xr:uid="{00000000-0005-0000-0000-0000760C0000}"/>
    <cellStyle name="Millares 10 5 2 3 3 2" xfId="14951" xr:uid="{00000000-0005-0000-0000-0000770C0000}"/>
    <cellStyle name="Millares 10 5 2 3 3 3" xfId="21638" xr:uid="{00000000-0005-0000-0000-0000780C0000}"/>
    <cellStyle name="Millares 10 5 2 3 4" xfId="11715" xr:uid="{00000000-0005-0000-0000-0000790C0000}"/>
    <cellStyle name="Millares 10 5 2 3 5" xfId="18410" xr:uid="{00000000-0005-0000-0000-00007A0C0000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3" xfId="20677" xr:uid="{00000000-0005-0000-0000-00007E0C0000}"/>
    <cellStyle name="Millares 10 5 2 4 3" xfId="10674" xr:uid="{00000000-0005-0000-0000-00007F0C0000}"/>
    <cellStyle name="Millares 10 5 2 4 4" xfId="17449" xr:uid="{00000000-0005-0000-0000-0000800C0000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3" xfId="21908" xr:uid="{00000000-0005-0000-0000-0000840C0000}"/>
    <cellStyle name="Millares 10 5 2 5 3" xfId="11993" xr:uid="{00000000-0005-0000-0000-0000850C0000}"/>
    <cellStyle name="Millares 10 5 2 5 4" xfId="18680" xr:uid="{00000000-0005-0000-0000-0000860C0000}"/>
    <cellStyle name="Millares 10 5 2 6" xfId="6768" xr:uid="{00000000-0005-0000-0000-0000870C0000}"/>
    <cellStyle name="Millares 10 5 2 6 2" xfId="13346" xr:uid="{00000000-0005-0000-0000-0000880C0000}"/>
    <cellStyle name="Millares 10 5 2 6 3" xfId="20033" xr:uid="{00000000-0005-0000-0000-0000890C0000}"/>
    <cellStyle name="Millares 10 5 2 7" xfId="10023" xr:uid="{00000000-0005-0000-0000-00008A0C0000}"/>
    <cellStyle name="Millares 10 5 2 8" xfId="16805" xr:uid="{00000000-0005-0000-0000-00008B0C0000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3" xfId="20967" xr:uid="{00000000-0005-0000-0000-0000900C0000}"/>
    <cellStyle name="Millares 10 5 3 2 3" xfId="10978" xr:uid="{00000000-0005-0000-0000-0000910C0000}"/>
    <cellStyle name="Millares 10 5 3 2 4" xfId="17739" xr:uid="{00000000-0005-0000-0000-0000920C0000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3" xfId="22198" xr:uid="{00000000-0005-0000-0000-0000960C0000}"/>
    <cellStyle name="Millares 10 5 3 3 3" xfId="12283" xr:uid="{00000000-0005-0000-0000-0000970C0000}"/>
    <cellStyle name="Millares 10 5 3 3 4" xfId="18970" xr:uid="{00000000-0005-0000-0000-0000980C0000}"/>
    <cellStyle name="Millares 10 5 3 4" xfId="6963" xr:uid="{00000000-0005-0000-0000-0000990C0000}"/>
    <cellStyle name="Millares 10 5 3 4 2" xfId="13541" xr:uid="{00000000-0005-0000-0000-00009A0C0000}"/>
    <cellStyle name="Millares 10 5 3 4 3" xfId="20228" xr:uid="{00000000-0005-0000-0000-00009B0C0000}"/>
    <cellStyle name="Millares 10 5 3 5" xfId="10224" xr:uid="{00000000-0005-0000-0000-00009C0C0000}"/>
    <cellStyle name="Millares 10 5 3 6" xfId="17000" xr:uid="{00000000-0005-0000-0000-00009D0C0000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3" xfId="22625" xr:uid="{00000000-0005-0000-0000-0000A20C0000}"/>
    <cellStyle name="Millares 10 5 4 2 3" xfId="12710" xr:uid="{00000000-0005-0000-0000-0000A30C0000}"/>
    <cellStyle name="Millares 10 5 4 2 4" xfId="19397" xr:uid="{00000000-0005-0000-0000-0000A40C0000}"/>
    <cellStyle name="Millares 10 5 4 3" xfId="8129" xr:uid="{00000000-0005-0000-0000-0000A50C0000}"/>
    <cellStyle name="Millares 10 5 4 3 2" xfId="14707" xr:uid="{00000000-0005-0000-0000-0000A60C0000}"/>
    <cellStyle name="Millares 10 5 4 3 3" xfId="21394" xr:uid="{00000000-0005-0000-0000-0000A70C0000}"/>
    <cellStyle name="Millares 10 5 4 4" xfId="11442" xr:uid="{00000000-0005-0000-0000-0000A80C0000}"/>
    <cellStyle name="Millares 10 5 4 5" xfId="18166" xr:uid="{00000000-0005-0000-0000-0000A90C0000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3" xfId="20571" xr:uid="{00000000-0005-0000-0000-0000AD0C0000}"/>
    <cellStyle name="Millares 10 5 5 3" xfId="10568" xr:uid="{00000000-0005-0000-0000-0000AE0C0000}"/>
    <cellStyle name="Millares 10 5 5 4" xfId="17343" xr:uid="{00000000-0005-0000-0000-0000AF0C0000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3" xfId="21802" xr:uid="{00000000-0005-0000-0000-0000B30C0000}"/>
    <cellStyle name="Millares 10 5 6 3" xfId="11887" xr:uid="{00000000-0005-0000-0000-0000B40C0000}"/>
    <cellStyle name="Millares 10 5 6 4" xfId="18574" xr:uid="{00000000-0005-0000-0000-0000B50C0000}"/>
    <cellStyle name="Millares 10 5 7" xfId="6575" xr:uid="{00000000-0005-0000-0000-0000B60C0000}"/>
    <cellStyle name="Millares 10 5 7 2" xfId="13153" xr:uid="{00000000-0005-0000-0000-0000B70C0000}"/>
    <cellStyle name="Millares 10 5 7 3" xfId="19840" xr:uid="{00000000-0005-0000-0000-0000B80C0000}"/>
    <cellStyle name="Millares 10 5 8" xfId="9813" xr:uid="{00000000-0005-0000-0000-0000B90C0000}"/>
    <cellStyle name="Millares 10 5 9" xfId="16612" xr:uid="{00000000-0005-0000-0000-0000BA0C0000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3" xfId="21015" xr:uid="{00000000-0005-0000-0000-0000C00C0000}"/>
    <cellStyle name="Millares 10 6 2 2 3" xfId="11031" xr:uid="{00000000-0005-0000-0000-0000C10C0000}"/>
    <cellStyle name="Millares 10 6 2 2 4" xfId="17787" xr:uid="{00000000-0005-0000-0000-0000C20C0000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3" xfId="22246" xr:uid="{00000000-0005-0000-0000-0000C60C0000}"/>
    <cellStyle name="Millares 10 6 2 3 3" xfId="12331" xr:uid="{00000000-0005-0000-0000-0000C70C0000}"/>
    <cellStyle name="Millares 10 6 2 3 4" xfId="19018" xr:uid="{00000000-0005-0000-0000-0000C80C0000}"/>
    <cellStyle name="Millares 10 6 2 4" xfId="7062" xr:uid="{00000000-0005-0000-0000-0000C90C0000}"/>
    <cellStyle name="Millares 10 6 2 4 2" xfId="13640" xr:uid="{00000000-0005-0000-0000-0000CA0C0000}"/>
    <cellStyle name="Millares 10 6 2 4 3" xfId="20327" xr:uid="{00000000-0005-0000-0000-0000CB0C0000}"/>
    <cellStyle name="Millares 10 6 2 5" xfId="10323" xr:uid="{00000000-0005-0000-0000-0000CC0C0000}"/>
    <cellStyle name="Millares 10 6 2 6" xfId="17099" xr:uid="{00000000-0005-0000-0000-0000CD0C0000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3" xfId="22775" xr:uid="{00000000-0005-0000-0000-0000D20C0000}"/>
    <cellStyle name="Millares 10 6 3 2 3" xfId="12860" xr:uid="{00000000-0005-0000-0000-0000D30C0000}"/>
    <cellStyle name="Millares 10 6 3 2 4" xfId="19547" xr:uid="{00000000-0005-0000-0000-0000D40C0000}"/>
    <cellStyle name="Millares 10 6 3 3" xfId="8279" xr:uid="{00000000-0005-0000-0000-0000D50C0000}"/>
    <cellStyle name="Millares 10 6 3 3 2" xfId="14857" xr:uid="{00000000-0005-0000-0000-0000D60C0000}"/>
    <cellStyle name="Millares 10 6 3 3 3" xfId="21544" xr:uid="{00000000-0005-0000-0000-0000D70C0000}"/>
    <cellStyle name="Millares 10 6 3 4" xfId="11609" xr:uid="{00000000-0005-0000-0000-0000D80C0000}"/>
    <cellStyle name="Millares 10 6 3 5" xfId="18316" xr:uid="{00000000-0005-0000-0000-0000D90C0000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3" xfId="20619" xr:uid="{00000000-0005-0000-0000-0000DD0C0000}"/>
    <cellStyle name="Millares 10 6 4 3" xfId="10616" xr:uid="{00000000-0005-0000-0000-0000DE0C0000}"/>
    <cellStyle name="Millares 10 6 4 4" xfId="17391" xr:uid="{00000000-0005-0000-0000-0000DF0C0000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3" xfId="21850" xr:uid="{00000000-0005-0000-0000-0000E30C0000}"/>
    <cellStyle name="Millares 10 6 5 3" xfId="11935" xr:uid="{00000000-0005-0000-0000-0000E40C0000}"/>
    <cellStyle name="Millares 10 6 5 4" xfId="18622" xr:uid="{00000000-0005-0000-0000-0000E50C0000}"/>
    <cellStyle name="Millares 10 6 6" xfId="6674" xr:uid="{00000000-0005-0000-0000-0000E60C0000}"/>
    <cellStyle name="Millares 10 6 6 2" xfId="13252" xr:uid="{00000000-0005-0000-0000-0000E70C0000}"/>
    <cellStyle name="Millares 10 6 6 3" xfId="19939" xr:uid="{00000000-0005-0000-0000-0000E80C0000}"/>
    <cellStyle name="Millares 10 6 7" xfId="9920" xr:uid="{00000000-0005-0000-0000-0000E90C0000}"/>
    <cellStyle name="Millares 10 6 8" xfId="16711" xr:uid="{00000000-0005-0000-0000-0000EA0C0000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3" xfId="22342" xr:uid="{00000000-0005-0000-0000-0000F00C0000}"/>
    <cellStyle name="Millares 10 7 2 2 3" xfId="12427" xr:uid="{00000000-0005-0000-0000-0000F10C0000}"/>
    <cellStyle name="Millares 10 7 2 2 4" xfId="19114" xr:uid="{00000000-0005-0000-0000-0000F20C0000}"/>
    <cellStyle name="Millares 10 7 2 3" xfId="7846" xr:uid="{00000000-0005-0000-0000-0000F30C0000}"/>
    <cellStyle name="Millares 10 7 2 3 2" xfId="14424" xr:uid="{00000000-0005-0000-0000-0000F40C0000}"/>
    <cellStyle name="Millares 10 7 2 3 3" xfId="21111" xr:uid="{00000000-0005-0000-0000-0000F50C0000}"/>
    <cellStyle name="Millares 10 7 2 4" xfId="11133" xr:uid="{00000000-0005-0000-0000-0000F60C0000}"/>
    <cellStyle name="Millares 10 7 2 5" xfId="17883" xr:uid="{00000000-0005-0000-0000-0000F70C0000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3" xfId="20715" xr:uid="{00000000-0005-0000-0000-0000FB0C0000}"/>
    <cellStyle name="Millares 10 7 3 3" xfId="10712" xr:uid="{00000000-0005-0000-0000-0000FC0C0000}"/>
    <cellStyle name="Millares 10 7 3 4" xfId="17487" xr:uid="{00000000-0005-0000-0000-0000FD0C0000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3" xfId="21946" xr:uid="{00000000-0005-0000-0000-0000010D0000}"/>
    <cellStyle name="Millares 10 7 4 3" xfId="12031" xr:uid="{00000000-0005-0000-0000-0000020D0000}"/>
    <cellStyle name="Millares 10 7 4 4" xfId="18718" xr:uid="{00000000-0005-0000-0000-0000030D0000}"/>
    <cellStyle name="Millares 10 7 5" xfId="6869" xr:uid="{00000000-0005-0000-0000-0000040D0000}"/>
    <cellStyle name="Millares 10 7 5 2" xfId="13447" xr:uid="{00000000-0005-0000-0000-0000050D0000}"/>
    <cellStyle name="Millares 10 7 5 3" xfId="20134" xr:uid="{00000000-0005-0000-0000-0000060D0000}"/>
    <cellStyle name="Millares 10 7 6" xfId="10130" xr:uid="{00000000-0005-0000-0000-0000070D0000}"/>
    <cellStyle name="Millares 10 7 7" xfId="16906" xr:uid="{00000000-0005-0000-0000-0000080D000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3" xfId="22441" xr:uid="{00000000-0005-0000-0000-00000E0D0000}"/>
    <cellStyle name="Millares 10 8 2 2 3" xfId="12526" xr:uid="{00000000-0005-0000-0000-00000F0D0000}"/>
    <cellStyle name="Millares 10 8 2 2 4" xfId="19213" xr:uid="{00000000-0005-0000-0000-0000100D0000}"/>
    <cellStyle name="Millares 10 8 2 3" xfId="7945" xr:uid="{00000000-0005-0000-0000-0000110D0000}"/>
    <cellStyle name="Millares 10 8 2 3 2" xfId="14523" xr:uid="{00000000-0005-0000-0000-0000120D0000}"/>
    <cellStyle name="Millares 10 8 2 3 3" xfId="21210" xr:uid="{00000000-0005-0000-0000-0000130D0000}"/>
    <cellStyle name="Millares 10 8 2 4" xfId="11238" xr:uid="{00000000-0005-0000-0000-0000140D0000}"/>
    <cellStyle name="Millares 10 8 2 5" xfId="17982" xr:uid="{00000000-0005-0000-0000-0000150D000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3" xfId="22045" xr:uid="{00000000-0005-0000-0000-0000190D0000}"/>
    <cellStyle name="Millares 10 8 3 3" xfId="12130" xr:uid="{00000000-0005-0000-0000-00001A0D0000}"/>
    <cellStyle name="Millares 10 8 3 4" xfId="18817" xr:uid="{00000000-0005-0000-0000-00001B0D0000}"/>
    <cellStyle name="Millares 10 8 4" xfId="7549" xr:uid="{00000000-0005-0000-0000-00001C0D0000}"/>
    <cellStyle name="Millares 10 8 4 2" xfId="14127" xr:uid="{00000000-0005-0000-0000-00001D0D0000}"/>
    <cellStyle name="Millares 10 8 4 3" xfId="20814" xr:uid="{00000000-0005-0000-0000-00001E0D0000}"/>
    <cellStyle name="Millares 10 8 5" xfId="10811" xr:uid="{00000000-0005-0000-0000-00001F0D0000}"/>
    <cellStyle name="Millares 10 8 6" xfId="17586" xr:uid="{00000000-0005-0000-0000-0000200D0000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3" xfId="22140" xr:uid="{00000000-0005-0000-0000-0000250D0000}"/>
    <cellStyle name="Millares 10 9 2 3" xfId="12225" xr:uid="{00000000-0005-0000-0000-0000260D0000}"/>
    <cellStyle name="Millares 10 9 2 4" xfId="18912" xr:uid="{00000000-0005-0000-0000-0000270D0000}"/>
    <cellStyle name="Millares 10 9 3" xfId="7644" xr:uid="{00000000-0005-0000-0000-0000280D0000}"/>
    <cellStyle name="Millares 10 9 3 2" xfId="14222" xr:uid="{00000000-0005-0000-0000-0000290D0000}"/>
    <cellStyle name="Millares 10 9 3 3" xfId="20909" xr:uid="{00000000-0005-0000-0000-00002A0D0000}"/>
    <cellStyle name="Millares 10 9 4" xfId="10915" xr:uid="{00000000-0005-0000-0000-00002B0D0000}"/>
    <cellStyle name="Millares 10 9 5" xfId="17681" xr:uid="{00000000-0005-0000-0000-00002C0D0000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3" xfId="21767" xr:uid="{00000000-0005-0000-0000-0000310D0000}"/>
    <cellStyle name="Millares 11 10 3" xfId="11852" xr:uid="{00000000-0005-0000-0000-0000320D0000}"/>
    <cellStyle name="Millares 11 10 4" xfId="18539" xr:uid="{00000000-0005-0000-0000-0000330D0000}"/>
    <cellStyle name="Millares 11 11" xfId="6492" xr:uid="{00000000-0005-0000-0000-0000340D0000}"/>
    <cellStyle name="Millares 11 11 2" xfId="13070" xr:uid="{00000000-0005-0000-0000-0000350D0000}"/>
    <cellStyle name="Millares 11 11 3" xfId="19757" xr:uid="{00000000-0005-0000-0000-0000360D0000}"/>
    <cellStyle name="Millares 11 12" xfId="9725" xr:uid="{00000000-0005-0000-0000-0000370D0000}"/>
    <cellStyle name="Millares 11 13" xfId="16287" xr:uid="{00000000-0005-0000-0000-0000380D0000}"/>
    <cellStyle name="Millares 11 14" xfId="16529" xr:uid="{00000000-0005-0000-0000-0000390D0000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3" xfId="19780" xr:uid="{00000000-0005-0000-0000-00003D0D0000}"/>
    <cellStyle name="Millares 11 2 11" xfId="9750" xr:uid="{00000000-0005-0000-0000-00003E0D0000}"/>
    <cellStyle name="Millares 11 2 12" xfId="11704" xr:uid="{00000000-0005-0000-0000-00003F0D0000}"/>
    <cellStyle name="Millares 11 2 13" xfId="16552" xr:uid="{00000000-0005-0000-0000-0000400D0000}"/>
    <cellStyle name="Millares 11 2 2" xfId="395" xr:uid="{00000000-0005-0000-0000-0000410D0000}"/>
    <cellStyle name="Millares 11 2 2 10" xfId="9798" xr:uid="{00000000-0005-0000-0000-0000420D0000}"/>
    <cellStyle name="Millares 11 2 2 11" xfId="11611" xr:uid="{00000000-0005-0000-0000-0000430D0000}"/>
    <cellStyle name="Millares 11 2 2 12" xfId="16598" xr:uid="{00000000-0005-0000-0000-0000440D0000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3" xfId="21716" xr:uid="{00000000-0005-0000-0000-00004B0D0000}"/>
    <cellStyle name="Millares 11 2 2 2 2 2 2 3" xfId="11801" xr:uid="{00000000-0005-0000-0000-00004C0D0000}"/>
    <cellStyle name="Millares 11 2 2 2 2 2 2 4" xfId="18488" xr:uid="{00000000-0005-0000-0000-00004D0D0000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3" xfId="22947" xr:uid="{00000000-0005-0000-0000-0000510D0000}"/>
    <cellStyle name="Millares 11 2 2 2 2 2 3 3" xfId="13032" xr:uid="{00000000-0005-0000-0000-0000520D0000}"/>
    <cellStyle name="Millares 11 2 2 2 2 2 3 4" xfId="19719" xr:uid="{00000000-0005-0000-0000-0000530D0000}"/>
    <cellStyle name="Millares 11 2 2 2 2 2 4" xfId="7234" xr:uid="{00000000-0005-0000-0000-0000540D0000}"/>
    <cellStyle name="Millares 11 2 2 2 2 2 4 2" xfId="13812" xr:uid="{00000000-0005-0000-0000-0000550D0000}"/>
    <cellStyle name="Millares 11 2 2 2 2 2 4 3" xfId="20499" xr:uid="{00000000-0005-0000-0000-0000560D0000}"/>
    <cellStyle name="Millares 11 2 2 2 2 2 5" xfId="10495" xr:uid="{00000000-0005-0000-0000-0000570D0000}"/>
    <cellStyle name="Millares 11 2 2 2 2 2 6" xfId="17271" xr:uid="{00000000-0005-0000-0000-0000580D0000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3" xfId="21106" xr:uid="{00000000-0005-0000-0000-00005C0D0000}"/>
    <cellStyle name="Millares 11 2 2 2 2 3 3" xfId="11123" xr:uid="{00000000-0005-0000-0000-00005D0D0000}"/>
    <cellStyle name="Millares 11 2 2 2 2 3 4" xfId="17878" xr:uid="{00000000-0005-0000-0000-00005E0D0000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3" xfId="22337" xr:uid="{00000000-0005-0000-0000-0000620D0000}"/>
    <cellStyle name="Millares 11 2 2 2 2 4 3" xfId="12422" xr:uid="{00000000-0005-0000-0000-0000630D0000}"/>
    <cellStyle name="Millares 11 2 2 2 2 4 4" xfId="19109" xr:uid="{00000000-0005-0000-0000-0000640D0000}"/>
    <cellStyle name="Millares 11 2 2 2 2 5" xfId="6846" xr:uid="{00000000-0005-0000-0000-0000650D0000}"/>
    <cellStyle name="Millares 11 2 2 2 2 5 2" xfId="13424" xr:uid="{00000000-0005-0000-0000-0000660D0000}"/>
    <cellStyle name="Millares 11 2 2 2 2 5 3" xfId="20111" xr:uid="{00000000-0005-0000-0000-0000670D0000}"/>
    <cellStyle name="Millares 11 2 2 2 2 6" xfId="10106" xr:uid="{00000000-0005-0000-0000-0000680D0000}"/>
    <cellStyle name="Millares 11 2 2 2 2 7" xfId="16883" xr:uid="{00000000-0005-0000-0000-0000690D0000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3" xfId="21472" xr:uid="{00000000-0005-0000-0000-00006E0D0000}"/>
    <cellStyle name="Millares 11 2 2 2 3 2 3" xfId="11536" xr:uid="{00000000-0005-0000-0000-00006F0D0000}"/>
    <cellStyle name="Millares 11 2 2 2 3 2 4" xfId="18244" xr:uid="{00000000-0005-0000-0000-0000700D0000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3" xfId="22703" xr:uid="{00000000-0005-0000-0000-0000740D0000}"/>
    <cellStyle name="Millares 11 2 2 2 3 3 3" xfId="12788" xr:uid="{00000000-0005-0000-0000-0000750D0000}"/>
    <cellStyle name="Millares 11 2 2 2 3 3 4" xfId="19475" xr:uid="{00000000-0005-0000-0000-0000760D0000}"/>
    <cellStyle name="Millares 11 2 2 2 3 4" xfId="7041" xr:uid="{00000000-0005-0000-0000-0000770D0000}"/>
    <cellStyle name="Millares 11 2 2 2 3 4 2" xfId="13619" xr:uid="{00000000-0005-0000-0000-0000780D0000}"/>
    <cellStyle name="Millares 11 2 2 2 3 4 3" xfId="20306" xr:uid="{00000000-0005-0000-0000-0000790D0000}"/>
    <cellStyle name="Millares 11 2 2 2 3 5" xfId="10302" xr:uid="{00000000-0005-0000-0000-00007A0D0000}"/>
    <cellStyle name="Millares 11 2 2 2 3 6" xfId="17078" xr:uid="{00000000-0005-0000-0000-00007B0D0000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3" xfId="20710" xr:uid="{00000000-0005-0000-0000-00007F0D0000}"/>
    <cellStyle name="Millares 11 2 2 2 4 3" xfId="10707" xr:uid="{00000000-0005-0000-0000-0000800D0000}"/>
    <cellStyle name="Millares 11 2 2 2 4 4" xfId="17482" xr:uid="{00000000-0005-0000-0000-0000810D0000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3" xfId="21941" xr:uid="{00000000-0005-0000-0000-0000850D0000}"/>
    <cellStyle name="Millares 11 2 2 2 5 3" xfId="12026" xr:uid="{00000000-0005-0000-0000-0000860D0000}"/>
    <cellStyle name="Millares 11 2 2 2 5 4" xfId="18713" xr:uid="{00000000-0005-0000-0000-0000870D0000}"/>
    <cellStyle name="Millares 11 2 2 2 6" xfId="6653" xr:uid="{00000000-0005-0000-0000-0000880D0000}"/>
    <cellStyle name="Millares 11 2 2 2 6 2" xfId="13231" xr:uid="{00000000-0005-0000-0000-0000890D0000}"/>
    <cellStyle name="Millares 11 2 2 2 6 3" xfId="19918" xr:uid="{00000000-0005-0000-0000-00008A0D0000}"/>
    <cellStyle name="Millares 11 2 2 2 7" xfId="9899" xr:uid="{00000000-0005-0000-0000-00008B0D0000}"/>
    <cellStyle name="Millares 11 2 2 2 8" xfId="16690" xr:uid="{00000000-0005-0000-0000-00008C0D0000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3" xfId="21121" xr:uid="{00000000-0005-0000-0000-0000920D0000}"/>
    <cellStyle name="Millares 11 2 2 3 2 2 3" xfId="11143" xr:uid="{00000000-0005-0000-0000-0000930D0000}"/>
    <cellStyle name="Millares 11 2 2 3 2 2 4" xfId="17893" xr:uid="{00000000-0005-0000-0000-0000940D0000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3" xfId="22352" xr:uid="{00000000-0005-0000-0000-0000980D0000}"/>
    <cellStyle name="Millares 11 2 2 3 2 3 3" xfId="12437" xr:uid="{00000000-0005-0000-0000-0000990D0000}"/>
    <cellStyle name="Millares 11 2 2 3 2 3 4" xfId="19124" xr:uid="{00000000-0005-0000-0000-00009A0D0000}"/>
    <cellStyle name="Millares 11 2 2 3 2 4" xfId="7142" xr:uid="{00000000-0005-0000-0000-00009B0D0000}"/>
    <cellStyle name="Millares 11 2 2 3 2 4 2" xfId="13720" xr:uid="{00000000-0005-0000-0000-00009C0D0000}"/>
    <cellStyle name="Millares 11 2 2 3 2 4 3" xfId="20407" xr:uid="{00000000-0005-0000-0000-00009D0D0000}"/>
    <cellStyle name="Millares 11 2 2 3 2 5" xfId="10403" xr:uid="{00000000-0005-0000-0000-00009E0D0000}"/>
    <cellStyle name="Millares 11 2 2 3 2 6" xfId="17179" xr:uid="{00000000-0005-0000-0000-00009F0D0000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3" xfId="22855" xr:uid="{00000000-0005-0000-0000-0000A40D0000}"/>
    <cellStyle name="Millares 11 2 2 3 3 2 3" xfId="12940" xr:uid="{00000000-0005-0000-0000-0000A50D0000}"/>
    <cellStyle name="Millares 11 2 2 3 3 2 4" xfId="19627" xr:uid="{00000000-0005-0000-0000-0000A60D0000}"/>
    <cellStyle name="Millares 11 2 2 3 3 3" xfId="8359" xr:uid="{00000000-0005-0000-0000-0000A70D0000}"/>
    <cellStyle name="Millares 11 2 2 3 3 3 2" xfId="14937" xr:uid="{00000000-0005-0000-0000-0000A80D0000}"/>
    <cellStyle name="Millares 11 2 2 3 3 3 3" xfId="21624" xr:uid="{00000000-0005-0000-0000-0000A90D0000}"/>
    <cellStyle name="Millares 11 2 2 3 3 4" xfId="11700" xr:uid="{00000000-0005-0000-0000-0000AA0D0000}"/>
    <cellStyle name="Millares 11 2 2 3 3 5" xfId="18396" xr:uid="{00000000-0005-0000-0000-0000AB0D0000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3" xfId="20725" xr:uid="{00000000-0005-0000-0000-0000AF0D0000}"/>
    <cellStyle name="Millares 11 2 2 3 4 3" xfId="10722" xr:uid="{00000000-0005-0000-0000-0000B00D0000}"/>
    <cellStyle name="Millares 11 2 2 3 4 4" xfId="17497" xr:uid="{00000000-0005-0000-0000-0000B10D0000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3" xfId="21956" xr:uid="{00000000-0005-0000-0000-0000B50D0000}"/>
    <cellStyle name="Millares 11 2 2 3 5 3" xfId="12041" xr:uid="{00000000-0005-0000-0000-0000B60D0000}"/>
    <cellStyle name="Millares 11 2 2 3 5 4" xfId="18728" xr:uid="{00000000-0005-0000-0000-0000B70D0000}"/>
    <cellStyle name="Millares 11 2 2 3 6" xfId="6754" xr:uid="{00000000-0005-0000-0000-0000B80D0000}"/>
    <cellStyle name="Millares 11 2 2 3 6 2" xfId="13332" xr:uid="{00000000-0005-0000-0000-0000B90D0000}"/>
    <cellStyle name="Millares 11 2 2 3 6 3" xfId="20019" xr:uid="{00000000-0005-0000-0000-0000BA0D0000}"/>
    <cellStyle name="Millares 11 2 2 3 7" xfId="10006" xr:uid="{00000000-0005-0000-0000-0000BB0D0000}"/>
    <cellStyle name="Millares 11 2 2 3 8" xfId="16791" xr:uid="{00000000-0005-0000-0000-0000BC0D0000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3" xfId="22519" xr:uid="{00000000-0005-0000-0000-0000C20D0000}"/>
    <cellStyle name="Millares 11 2 2 4 2 2 3" xfId="12604" xr:uid="{00000000-0005-0000-0000-0000C30D0000}"/>
    <cellStyle name="Millares 11 2 2 4 2 2 4" xfId="19291" xr:uid="{00000000-0005-0000-0000-0000C40D0000}"/>
    <cellStyle name="Millares 11 2 2 4 2 3" xfId="8023" xr:uid="{00000000-0005-0000-0000-0000C50D0000}"/>
    <cellStyle name="Millares 11 2 2 4 2 3 2" xfId="14601" xr:uid="{00000000-0005-0000-0000-0000C60D0000}"/>
    <cellStyle name="Millares 11 2 2 4 2 3 3" xfId="21288" xr:uid="{00000000-0005-0000-0000-0000C70D0000}"/>
    <cellStyle name="Millares 11 2 2 4 2 4" xfId="11322" xr:uid="{00000000-0005-0000-0000-0000C80D0000}"/>
    <cellStyle name="Millares 11 2 2 4 2 5" xfId="18060" xr:uid="{00000000-0005-0000-0000-0000C90D0000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3" xfId="20892" xr:uid="{00000000-0005-0000-0000-0000CD0D0000}"/>
    <cellStyle name="Millares 11 2 2 4 3 3" xfId="10897" xr:uid="{00000000-0005-0000-0000-0000CE0D0000}"/>
    <cellStyle name="Millares 11 2 2 4 3 4" xfId="17664" xr:uid="{00000000-0005-0000-0000-0000CF0D0000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3" xfId="22123" xr:uid="{00000000-0005-0000-0000-0000D30D0000}"/>
    <cellStyle name="Millares 11 2 2 4 4 3" xfId="12208" xr:uid="{00000000-0005-0000-0000-0000D40D0000}"/>
    <cellStyle name="Millares 11 2 2 4 4 4" xfId="18895" xr:uid="{00000000-0005-0000-0000-0000D50D0000}"/>
    <cellStyle name="Millares 11 2 2 4 5" xfId="6949" xr:uid="{00000000-0005-0000-0000-0000D60D0000}"/>
    <cellStyle name="Millares 11 2 2 4 5 2" xfId="13527" xr:uid="{00000000-0005-0000-0000-0000D70D0000}"/>
    <cellStyle name="Millares 11 2 2 4 5 3" xfId="20214" xr:uid="{00000000-0005-0000-0000-0000D80D0000}"/>
    <cellStyle name="Millares 11 2 2 4 6" xfId="10210" xr:uid="{00000000-0005-0000-0000-0000D90D0000}"/>
    <cellStyle name="Millares 11 2 2 4 7" xfId="16986" xr:uid="{00000000-0005-0000-0000-0000DA0D0000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3" xfId="22231" xr:uid="{00000000-0005-0000-0000-0000DF0D0000}"/>
    <cellStyle name="Millares 11 2 2 5 2 3" xfId="12316" xr:uid="{00000000-0005-0000-0000-0000E00D0000}"/>
    <cellStyle name="Millares 11 2 2 5 2 4" xfId="19003" xr:uid="{00000000-0005-0000-0000-0000E10D0000}"/>
    <cellStyle name="Millares 11 2 2 5 3" xfId="7735" xr:uid="{00000000-0005-0000-0000-0000E20D0000}"/>
    <cellStyle name="Millares 11 2 2 5 3 2" xfId="14313" xr:uid="{00000000-0005-0000-0000-0000E30D0000}"/>
    <cellStyle name="Millares 11 2 2 5 3 3" xfId="21000" xr:uid="{00000000-0005-0000-0000-0000E40D0000}"/>
    <cellStyle name="Millares 11 2 2 5 4" xfId="11016" xr:uid="{00000000-0005-0000-0000-0000E50D0000}"/>
    <cellStyle name="Millares 11 2 2 5 5" xfId="17772" xr:uid="{00000000-0005-0000-0000-0000E60D0000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3" xfId="22611" xr:uid="{00000000-0005-0000-0000-0000EB0D0000}"/>
    <cellStyle name="Millares 11 2 2 6 2 3" xfId="12696" xr:uid="{00000000-0005-0000-0000-0000EC0D0000}"/>
    <cellStyle name="Millares 11 2 2 6 2 4" xfId="19383" xr:uid="{00000000-0005-0000-0000-0000ED0D0000}"/>
    <cellStyle name="Millares 11 2 2 6 3" xfId="8115" xr:uid="{00000000-0005-0000-0000-0000EE0D0000}"/>
    <cellStyle name="Millares 11 2 2 6 3 2" xfId="14693" xr:uid="{00000000-0005-0000-0000-0000EF0D0000}"/>
    <cellStyle name="Millares 11 2 2 6 3 3" xfId="21380" xr:uid="{00000000-0005-0000-0000-0000F00D0000}"/>
    <cellStyle name="Millares 11 2 2 6 4" xfId="11426" xr:uid="{00000000-0005-0000-0000-0000F10D0000}"/>
    <cellStyle name="Millares 11 2 2 6 5" xfId="18152" xr:uid="{00000000-0005-0000-0000-0000F20D0000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3" xfId="20604" xr:uid="{00000000-0005-0000-0000-0000F60D0000}"/>
    <cellStyle name="Millares 11 2 2 7 3" xfId="10601" xr:uid="{00000000-0005-0000-0000-0000F70D0000}"/>
    <cellStyle name="Millares 11 2 2 7 4" xfId="17376" xr:uid="{00000000-0005-0000-0000-0000F80D0000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3" xfId="21835" xr:uid="{00000000-0005-0000-0000-0000FC0D0000}"/>
    <cellStyle name="Millares 11 2 2 8 3" xfId="11920" xr:uid="{00000000-0005-0000-0000-0000FD0D0000}"/>
    <cellStyle name="Millares 11 2 2 8 4" xfId="18607" xr:uid="{00000000-0005-0000-0000-0000FE0D0000}"/>
    <cellStyle name="Millares 11 2 2 9" xfId="6561" xr:uid="{00000000-0005-0000-0000-0000FF0D0000}"/>
    <cellStyle name="Millares 11 2 2 9 2" xfId="13139" xr:uid="{00000000-0005-0000-0000-0000000E0000}"/>
    <cellStyle name="Millares 11 2 2 9 3" xfId="19826" xr:uid="{00000000-0005-0000-0000-0000010E0000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3" xfId="21671" xr:uid="{00000000-0005-0000-0000-0000080E0000}"/>
    <cellStyle name="Millares 11 2 3 2 2 2 3" xfId="11751" xr:uid="{00000000-0005-0000-0000-0000090E0000}"/>
    <cellStyle name="Millares 11 2 3 2 2 2 4" xfId="18443" xr:uid="{00000000-0005-0000-0000-00000A0E0000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3" xfId="22902" xr:uid="{00000000-0005-0000-0000-00000E0E0000}"/>
    <cellStyle name="Millares 11 2 3 2 2 3 3" xfId="12987" xr:uid="{00000000-0005-0000-0000-00000F0E0000}"/>
    <cellStyle name="Millares 11 2 3 2 2 3 4" xfId="19674" xr:uid="{00000000-0005-0000-0000-0000100E0000}"/>
    <cellStyle name="Millares 11 2 3 2 2 4" xfId="7189" xr:uid="{00000000-0005-0000-0000-0000110E0000}"/>
    <cellStyle name="Millares 11 2 3 2 2 4 2" xfId="13767" xr:uid="{00000000-0005-0000-0000-0000120E0000}"/>
    <cellStyle name="Millares 11 2 3 2 2 4 3" xfId="20454" xr:uid="{00000000-0005-0000-0000-0000130E0000}"/>
    <cellStyle name="Millares 11 2 3 2 2 5" xfId="10450" xr:uid="{00000000-0005-0000-0000-0000140E0000}"/>
    <cellStyle name="Millares 11 2 3 2 2 6" xfId="17226" xr:uid="{00000000-0005-0000-0000-0000150E0000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3" xfId="21061" xr:uid="{00000000-0005-0000-0000-0000190E0000}"/>
    <cellStyle name="Millares 11 2 3 2 3 3" xfId="11077" xr:uid="{00000000-0005-0000-0000-00001A0E0000}"/>
    <cellStyle name="Millares 11 2 3 2 3 4" xfId="17833" xr:uid="{00000000-0005-0000-0000-00001B0E0000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3" xfId="22292" xr:uid="{00000000-0005-0000-0000-00001F0E0000}"/>
    <cellStyle name="Millares 11 2 3 2 4 3" xfId="12377" xr:uid="{00000000-0005-0000-0000-0000200E0000}"/>
    <cellStyle name="Millares 11 2 3 2 4 4" xfId="19064" xr:uid="{00000000-0005-0000-0000-0000210E0000}"/>
    <cellStyle name="Millares 11 2 3 2 5" xfId="6801" xr:uid="{00000000-0005-0000-0000-0000220E0000}"/>
    <cellStyle name="Millares 11 2 3 2 5 2" xfId="13379" xr:uid="{00000000-0005-0000-0000-0000230E0000}"/>
    <cellStyle name="Millares 11 2 3 2 5 3" xfId="20066" xr:uid="{00000000-0005-0000-0000-0000240E0000}"/>
    <cellStyle name="Millares 11 2 3 2 6" xfId="10057" xr:uid="{00000000-0005-0000-0000-0000250E0000}"/>
    <cellStyle name="Millares 11 2 3 2 7" xfId="16838" xr:uid="{00000000-0005-0000-0000-0000260E0000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3" xfId="21427" xr:uid="{00000000-0005-0000-0000-00002B0E0000}"/>
    <cellStyle name="Millares 11 2 3 3 2 3" xfId="11481" xr:uid="{00000000-0005-0000-0000-00002C0E0000}"/>
    <cellStyle name="Millares 11 2 3 3 2 4" xfId="18199" xr:uid="{00000000-0005-0000-0000-00002D0E0000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3" xfId="22658" xr:uid="{00000000-0005-0000-0000-0000310E0000}"/>
    <cellStyle name="Millares 11 2 3 3 3 3" xfId="12743" xr:uid="{00000000-0005-0000-0000-0000320E0000}"/>
    <cellStyle name="Millares 11 2 3 3 3 4" xfId="19430" xr:uid="{00000000-0005-0000-0000-0000330E0000}"/>
    <cellStyle name="Millares 11 2 3 3 4" xfId="6996" xr:uid="{00000000-0005-0000-0000-0000340E0000}"/>
    <cellStyle name="Millares 11 2 3 3 4 2" xfId="13574" xr:uid="{00000000-0005-0000-0000-0000350E0000}"/>
    <cellStyle name="Millares 11 2 3 3 4 3" xfId="20261" xr:uid="{00000000-0005-0000-0000-0000360E0000}"/>
    <cellStyle name="Millares 11 2 3 3 5" xfId="10257" xr:uid="{00000000-0005-0000-0000-0000370E0000}"/>
    <cellStyle name="Millares 11 2 3 3 6" xfId="17033" xr:uid="{00000000-0005-0000-0000-0000380E0000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3" xfId="20665" xr:uid="{00000000-0005-0000-0000-00003C0E0000}"/>
    <cellStyle name="Millares 11 2 3 4 3" xfId="10662" xr:uid="{00000000-0005-0000-0000-00003D0E0000}"/>
    <cellStyle name="Millares 11 2 3 4 4" xfId="17437" xr:uid="{00000000-0005-0000-0000-00003E0E0000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3" xfId="21896" xr:uid="{00000000-0005-0000-0000-0000420E0000}"/>
    <cellStyle name="Millares 11 2 3 5 3" xfId="11981" xr:uid="{00000000-0005-0000-0000-0000430E0000}"/>
    <cellStyle name="Millares 11 2 3 5 4" xfId="18668" xr:uid="{00000000-0005-0000-0000-0000440E0000}"/>
    <cellStyle name="Millares 11 2 3 6" xfId="6608" xr:uid="{00000000-0005-0000-0000-0000450E0000}"/>
    <cellStyle name="Millares 11 2 3 6 2" xfId="13186" xr:uid="{00000000-0005-0000-0000-0000460E0000}"/>
    <cellStyle name="Millares 11 2 3 6 3" xfId="19873" xr:uid="{00000000-0005-0000-0000-0000470E0000}"/>
    <cellStyle name="Millares 11 2 3 7" xfId="9848" xr:uid="{00000000-0005-0000-0000-0000480E0000}"/>
    <cellStyle name="Millares 11 2 3 8" xfId="16645" xr:uid="{00000000-0005-0000-0000-0000490E0000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3" xfId="21120" xr:uid="{00000000-0005-0000-0000-00004F0E0000}"/>
    <cellStyle name="Millares 11 2 4 2 2 3" xfId="11142" xr:uid="{00000000-0005-0000-0000-0000500E0000}"/>
    <cellStyle name="Millares 11 2 4 2 2 4" xfId="17892" xr:uid="{00000000-0005-0000-0000-0000510E0000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3" xfId="22351" xr:uid="{00000000-0005-0000-0000-0000550E0000}"/>
    <cellStyle name="Millares 11 2 4 2 3 3" xfId="12436" xr:uid="{00000000-0005-0000-0000-0000560E0000}"/>
    <cellStyle name="Millares 11 2 4 2 3 4" xfId="19123" xr:uid="{00000000-0005-0000-0000-0000570E0000}"/>
    <cellStyle name="Millares 11 2 4 2 4" xfId="7096" xr:uid="{00000000-0005-0000-0000-0000580E0000}"/>
    <cellStyle name="Millares 11 2 4 2 4 2" xfId="13674" xr:uid="{00000000-0005-0000-0000-0000590E0000}"/>
    <cellStyle name="Millares 11 2 4 2 4 3" xfId="20361" xr:uid="{00000000-0005-0000-0000-00005A0E0000}"/>
    <cellStyle name="Millares 11 2 4 2 5" xfId="10357" xr:uid="{00000000-0005-0000-0000-00005B0E0000}"/>
    <cellStyle name="Millares 11 2 4 2 6" xfId="17133" xr:uid="{00000000-0005-0000-0000-00005C0E0000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3" xfId="22809" xr:uid="{00000000-0005-0000-0000-0000610E0000}"/>
    <cellStyle name="Millares 11 2 4 3 2 3" xfId="12894" xr:uid="{00000000-0005-0000-0000-0000620E0000}"/>
    <cellStyle name="Millares 11 2 4 3 2 4" xfId="19581" xr:uid="{00000000-0005-0000-0000-0000630E0000}"/>
    <cellStyle name="Millares 11 2 4 3 3" xfId="8313" xr:uid="{00000000-0005-0000-0000-0000640E0000}"/>
    <cellStyle name="Millares 11 2 4 3 3 2" xfId="14891" xr:uid="{00000000-0005-0000-0000-0000650E0000}"/>
    <cellStyle name="Millares 11 2 4 3 3 3" xfId="21578" xr:uid="{00000000-0005-0000-0000-0000660E0000}"/>
    <cellStyle name="Millares 11 2 4 3 4" xfId="11647" xr:uid="{00000000-0005-0000-0000-0000670E0000}"/>
    <cellStyle name="Millares 11 2 4 3 5" xfId="18350" xr:uid="{00000000-0005-0000-0000-0000680E0000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3" xfId="20724" xr:uid="{00000000-0005-0000-0000-00006C0E0000}"/>
    <cellStyle name="Millares 11 2 4 4 3" xfId="10721" xr:uid="{00000000-0005-0000-0000-00006D0E0000}"/>
    <cellStyle name="Millares 11 2 4 4 4" xfId="17496" xr:uid="{00000000-0005-0000-0000-00006E0E0000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3" xfId="21955" xr:uid="{00000000-0005-0000-0000-0000720E0000}"/>
    <cellStyle name="Millares 11 2 4 5 3" xfId="12040" xr:uid="{00000000-0005-0000-0000-0000730E0000}"/>
    <cellStyle name="Millares 11 2 4 5 4" xfId="18727" xr:uid="{00000000-0005-0000-0000-0000740E0000}"/>
    <cellStyle name="Millares 11 2 4 6" xfId="6708" xr:uid="{00000000-0005-0000-0000-0000750E0000}"/>
    <cellStyle name="Millares 11 2 4 6 2" xfId="13286" xr:uid="{00000000-0005-0000-0000-0000760E0000}"/>
    <cellStyle name="Millares 11 2 4 6 3" xfId="19973" xr:uid="{00000000-0005-0000-0000-0000770E0000}"/>
    <cellStyle name="Millares 11 2 4 7" xfId="9956" xr:uid="{00000000-0005-0000-0000-0000780E0000}"/>
    <cellStyle name="Millares 11 2 4 8" xfId="16745" xr:uid="{00000000-0005-0000-0000-0000790E0000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3" xfId="22474" xr:uid="{00000000-0005-0000-0000-00007F0E0000}"/>
    <cellStyle name="Millares 11 2 5 2 2 3" xfId="12559" xr:uid="{00000000-0005-0000-0000-0000800E0000}"/>
    <cellStyle name="Millares 11 2 5 2 2 4" xfId="19246" xr:uid="{00000000-0005-0000-0000-0000810E0000}"/>
    <cellStyle name="Millares 11 2 5 2 3" xfId="7978" xr:uid="{00000000-0005-0000-0000-0000820E0000}"/>
    <cellStyle name="Millares 11 2 5 2 3 2" xfId="14556" xr:uid="{00000000-0005-0000-0000-0000830E0000}"/>
    <cellStyle name="Millares 11 2 5 2 3 3" xfId="21243" xr:uid="{00000000-0005-0000-0000-0000840E0000}"/>
    <cellStyle name="Millares 11 2 5 2 4" xfId="11274" xr:uid="{00000000-0005-0000-0000-0000850E0000}"/>
    <cellStyle name="Millares 11 2 5 2 5" xfId="18015" xr:uid="{00000000-0005-0000-0000-0000860E000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3" xfId="20847" xr:uid="{00000000-0005-0000-0000-00008A0E0000}"/>
    <cellStyle name="Millares 11 2 5 3 3" xfId="10845" xr:uid="{00000000-0005-0000-0000-00008B0E0000}"/>
    <cellStyle name="Millares 11 2 5 3 4" xfId="17619" xr:uid="{00000000-0005-0000-0000-00008C0E0000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3" xfId="22078" xr:uid="{00000000-0005-0000-0000-0000900E0000}"/>
    <cellStyle name="Millares 11 2 5 4 3" xfId="12163" xr:uid="{00000000-0005-0000-0000-0000910E0000}"/>
    <cellStyle name="Millares 11 2 5 4 4" xfId="18850" xr:uid="{00000000-0005-0000-0000-0000920E0000}"/>
    <cellStyle name="Millares 11 2 5 5" xfId="6903" xr:uid="{00000000-0005-0000-0000-0000930E0000}"/>
    <cellStyle name="Millares 11 2 5 5 2" xfId="13481" xr:uid="{00000000-0005-0000-0000-0000940E0000}"/>
    <cellStyle name="Millares 11 2 5 5 3" xfId="20168" xr:uid="{00000000-0005-0000-0000-0000950E0000}"/>
    <cellStyle name="Millares 11 2 5 6" xfId="10164" xr:uid="{00000000-0005-0000-0000-0000960E0000}"/>
    <cellStyle name="Millares 11 2 5 7" xfId="16940" xr:uid="{00000000-0005-0000-0000-0000970E0000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3" xfId="22186" xr:uid="{00000000-0005-0000-0000-00009C0E0000}"/>
    <cellStyle name="Millares 11 2 6 2 3" xfId="12271" xr:uid="{00000000-0005-0000-0000-00009D0E0000}"/>
    <cellStyle name="Millares 11 2 6 2 4" xfId="18958" xr:uid="{00000000-0005-0000-0000-00009E0E0000}"/>
    <cellStyle name="Millares 11 2 6 3" xfId="7690" xr:uid="{00000000-0005-0000-0000-00009F0E0000}"/>
    <cellStyle name="Millares 11 2 6 3 2" xfId="14268" xr:uid="{00000000-0005-0000-0000-0000A00E0000}"/>
    <cellStyle name="Millares 11 2 6 3 3" xfId="20955" xr:uid="{00000000-0005-0000-0000-0000A10E0000}"/>
    <cellStyle name="Millares 11 2 6 4" xfId="10963" xr:uid="{00000000-0005-0000-0000-0000A20E0000}"/>
    <cellStyle name="Millares 11 2 6 5" xfId="17727" xr:uid="{00000000-0005-0000-0000-0000A30E0000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3" xfId="22566" xr:uid="{00000000-0005-0000-0000-0000A80E0000}"/>
    <cellStyle name="Millares 11 2 7 2 3" xfId="12651" xr:uid="{00000000-0005-0000-0000-0000A90E0000}"/>
    <cellStyle name="Millares 11 2 7 2 4" xfId="19338" xr:uid="{00000000-0005-0000-0000-0000AA0E0000}"/>
    <cellStyle name="Millares 11 2 7 3" xfId="8070" xr:uid="{00000000-0005-0000-0000-0000AB0E0000}"/>
    <cellStyle name="Millares 11 2 7 3 2" xfId="14648" xr:uid="{00000000-0005-0000-0000-0000AC0E0000}"/>
    <cellStyle name="Millares 11 2 7 3 3" xfId="21335" xr:uid="{00000000-0005-0000-0000-0000AD0E0000}"/>
    <cellStyle name="Millares 11 2 7 4" xfId="11372" xr:uid="{00000000-0005-0000-0000-0000AE0E0000}"/>
    <cellStyle name="Millares 11 2 7 5" xfId="18107" xr:uid="{00000000-0005-0000-0000-0000AF0E0000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3" xfId="20559" xr:uid="{00000000-0005-0000-0000-0000B30E0000}"/>
    <cellStyle name="Millares 11 2 8 3" xfId="10556" xr:uid="{00000000-0005-0000-0000-0000B40E0000}"/>
    <cellStyle name="Millares 11 2 8 4" xfId="17331" xr:uid="{00000000-0005-0000-0000-0000B50E0000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3" xfId="21790" xr:uid="{00000000-0005-0000-0000-0000B90E0000}"/>
    <cellStyle name="Millares 11 2 9 3" xfId="11875" xr:uid="{00000000-0005-0000-0000-0000BA0E0000}"/>
    <cellStyle name="Millares 11 2 9 4" xfId="18562" xr:uid="{00000000-0005-0000-0000-0000BB0E0000}"/>
    <cellStyle name="Millares 11 3" xfId="309" xr:uid="{00000000-0005-0000-0000-0000BC0E0000}"/>
    <cellStyle name="Millares 11 3 10" xfId="9776" xr:uid="{00000000-0005-0000-0000-0000BD0E0000}"/>
    <cellStyle name="Millares 11 3 11" xfId="11758" xr:uid="{00000000-0005-0000-0000-0000BE0E0000}"/>
    <cellStyle name="Millares 11 3 12" xfId="16576" xr:uid="{00000000-0005-0000-0000-0000BF0E0000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3" xfId="21694" xr:uid="{00000000-0005-0000-0000-0000C60E0000}"/>
    <cellStyle name="Millares 11 3 2 2 2 2 3" xfId="11777" xr:uid="{00000000-0005-0000-0000-0000C70E0000}"/>
    <cellStyle name="Millares 11 3 2 2 2 2 4" xfId="18466" xr:uid="{00000000-0005-0000-0000-0000C80E0000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3" xfId="22925" xr:uid="{00000000-0005-0000-0000-0000CC0E0000}"/>
    <cellStyle name="Millares 11 3 2 2 2 3 3" xfId="13010" xr:uid="{00000000-0005-0000-0000-0000CD0E0000}"/>
    <cellStyle name="Millares 11 3 2 2 2 3 4" xfId="19697" xr:uid="{00000000-0005-0000-0000-0000CE0E0000}"/>
    <cellStyle name="Millares 11 3 2 2 2 4" xfId="7212" xr:uid="{00000000-0005-0000-0000-0000CF0E0000}"/>
    <cellStyle name="Millares 11 3 2 2 2 4 2" xfId="13790" xr:uid="{00000000-0005-0000-0000-0000D00E0000}"/>
    <cellStyle name="Millares 11 3 2 2 2 4 3" xfId="20477" xr:uid="{00000000-0005-0000-0000-0000D10E0000}"/>
    <cellStyle name="Millares 11 3 2 2 2 5" xfId="10473" xr:uid="{00000000-0005-0000-0000-0000D20E0000}"/>
    <cellStyle name="Millares 11 3 2 2 2 6" xfId="17249" xr:uid="{00000000-0005-0000-0000-0000D30E0000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3" xfId="21084" xr:uid="{00000000-0005-0000-0000-0000D70E0000}"/>
    <cellStyle name="Millares 11 3 2 2 3 3" xfId="11101" xr:uid="{00000000-0005-0000-0000-0000D80E0000}"/>
    <cellStyle name="Millares 11 3 2 2 3 4" xfId="17856" xr:uid="{00000000-0005-0000-0000-0000D90E0000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3" xfId="22315" xr:uid="{00000000-0005-0000-0000-0000DD0E0000}"/>
    <cellStyle name="Millares 11 3 2 2 4 3" xfId="12400" xr:uid="{00000000-0005-0000-0000-0000DE0E0000}"/>
    <cellStyle name="Millares 11 3 2 2 4 4" xfId="19087" xr:uid="{00000000-0005-0000-0000-0000DF0E0000}"/>
    <cellStyle name="Millares 11 3 2 2 5" xfId="6824" xr:uid="{00000000-0005-0000-0000-0000E00E0000}"/>
    <cellStyle name="Millares 11 3 2 2 5 2" xfId="13402" xr:uid="{00000000-0005-0000-0000-0000E10E0000}"/>
    <cellStyle name="Millares 11 3 2 2 5 3" xfId="20089" xr:uid="{00000000-0005-0000-0000-0000E20E0000}"/>
    <cellStyle name="Millares 11 3 2 2 6" xfId="10082" xr:uid="{00000000-0005-0000-0000-0000E30E0000}"/>
    <cellStyle name="Millares 11 3 2 2 7" xfId="16861" xr:uid="{00000000-0005-0000-0000-0000E40E0000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3" xfId="21450" xr:uid="{00000000-0005-0000-0000-0000E90E0000}"/>
    <cellStyle name="Millares 11 3 2 3 2 3" xfId="11511" xr:uid="{00000000-0005-0000-0000-0000EA0E0000}"/>
    <cellStyle name="Millares 11 3 2 3 2 4" xfId="18222" xr:uid="{00000000-0005-0000-0000-0000EB0E0000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3" xfId="22681" xr:uid="{00000000-0005-0000-0000-0000EF0E0000}"/>
    <cellStyle name="Millares 11 3 2 3 3 3" xfId="12766" xr:uid="{00000000-0005-0000-0000-0000F00E0000}"/>
    <cellStyle name="Millares 11 3 2 3 3 4" xfId="19453" xr:uid="{00000000-0005-0000-0000-0000F10E0000}"/>
    <cellStyle name="Millares 11 3 2 3 4" xfId="7019" xr:uid="{00000000-0005-0000-0000-0000F20E0000}"/>
    <cellStyle name="Millares 11 3 2 3 4 2" xfId="13597" xr:uid="{00000000-0005-0000-0000-0000F30E0000}"/>
    <cellStyle name="Millares 11 3 2 3 4 3" xfId="20284" xr:uid="{00000000-0005-0000-0000-0000F40E0000}"/>
    <cellStyle name="Millares 11 3 2 3 5" xfId="10280" xr:uid="{00000000-0005-0000-0000-0000F50E0000}"/>
    <cellStyle name="Millares 11 3 2 3 6" xfId="17056" xr:uid="{00000000-0005-0000-0000-0000F60E0000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3" xfId="20688" xr:uid="{00000000-0005-0000-0000-0000FA0E0000}"/>
    <cellStyle name="Millares 11 3 2 4 3" xfId="10685" xr:uid="{00000000-0005-0000-0000-0000FB0E0000}"/>
    <cellStyle name="Millares 11 3 2 4 4" xfId="17460" xr:uid="{00000000-0005-0000-0000-0000FC0E0000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3" xfId="21919" xr:uid="{00000000-0005-0000-0000-0000000F0000}"/>
    <cellStyle name="Millares 11 3 2 5 3" xfId="12004" xr:uid="{00000000-0005-0000-0000-0000010F0000}"/>
    <cellStyle name="Millares 11 3 2 5 4" xfId="18691" xr:uid="{00000000-0005-0000-0000-0000020F0000}"/>
    <cellStyle name="Millares 11 3 2 6" xfId="6631" xr:uid="{00000000-0005-0000-0000-0000030F0000}"/>
    <cellStyle name="Millares 11 3 2 6 2" xfId="13209" xr:uid="{00000000-0005-0000-0000-0000040F0000}"/>
    <cellStyle name="Millares 11 3 2 6 3" xfId="19896" xr:uid="{00000000-0005-0000-0000-0000050F0000}"/>
    <cellStyle name="Millares 11 3 2 7" xfId="9874" xr:uid="{00000000-0005-0000-0000-0000060F0000}"/>
    <cellStyle name="Millares 11 3 2 8" xfId="16668" xr:uid="{00000000-0005-0000-0000-0000070F0000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3" xfId="21122" xr:uid="{00000000-0005-0000-0000-00000D0F0000}"/>
    <cellStyle name="Millares 11 3 3 2 2 3" xfId="11144" xr:uid="{00000000-0005-0000-0000-00000E0F0000}"/>
    <cellStyle name="Millares 11 3 3 2 2 4" xfId="17894" xr:uid="{00000000-0005-0000-0000-00000F0F0000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3" xfId="22353" xr:uid="{00000000-0005-0000-0000-0000130F0000}"/>
    <cellStyle name="Millares 11 3 3 2 3 3" xfId="12438" xr:uid="{00000000-0005-0000-0000-0000140F0000}"/>
    <cellStyle name="Millares 11 3 3 2 3 4" xfId="19125" xr:uid="{00000000-0005-0000-0000-0000150F0000}"/>
    <cellStyle name="Millares 11 3 3 2 4" xfId="7120" xr:uid="{00000000-0005-0000-0000-0000160F0000}"/>
    <cellStyle name="Millares 11 3 3 2 4 2" xfId="13698" xr:uid="{00000000-0005-0000-0000-0000170F0000}"/>
    <cellStyle name="Millares 11 3 3 2 4 3" xfId="20385" xr:uid="{00000000-0005-0000-0000-0000180F0000}"/>
    <cellStyle name="Millares 11 3 3 2 5" xfId="10381" xr:uid="{00000000-0005-0000-0000-0000190F0000}"/>
    <cellStyle name="Millares 11 3 3 2 6" xfId="17157" xr:uid="{00000000-0005-0000-0000-00001A0F0000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3" xfId="22833" xr:uid="{00000000-0005-0000-0000-00001F0F0000}"/>
    <cellStyle name="Millares 11 3 3 3 2 3" xfId="12918" xr:uid="{00000000-0005-0000-0000-0000200F0000}"/>
    <cellStyle name="Millares 11 3 3 3 2 4" xfId="19605" xr:uid="{00000000-0005-0000-0000-0000210F0000}"/>
    <cellStyle name="Millares 11 3 3 3 3" xfId="8337" xr:uid="{00000000-0005-0000-0000-0000220F0000}"/>
    <cellStyle name="Millares 11 3 3 3 3 2" xfId="14915" xr:uid="{00000000-0005-0000-0000-0000230F0000}"/>
    <cellStyle name="Millares 11 3 3 3 3 3" xfId="21602" xr:uid="{00000000-0005-0000-0000-0000240F0000}"/>
    <cellStyle name="Millares 11 3 3 3 4" xfId="11672" xr:uid="{00000000-0005-0000-0000-0000250F0000}"/>
    <cellStyle name="Millares 11 3 3 3 5" xfId="18374" xr:uid="{00000000-0005-0000-0000-0000260F0000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3" xfId="20726" xr:uid="{00000000-0005-0000-0000-00002A0F0000}"/>
    <cellStyle name="Millares 11 3 3 4 3" xfId="10723" xr:uid="{00000000-0005-0000-0000-00002B0F0000}"/>
    <cellStyle name="Millares 11 3 3 4 4" xfId="17498" xr:uid="{00000000-0005-0000-0000-00002C0F0000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3" xfId="21957" xr:uid="{00000000-0005-0000-0000-0000300F0000}"/>
    <cellStyle name="Millares 11 3 3 5 3" xfId="12042" xr:uid="{00000000-0005-0000-0000-0000310F0000}"/>
    <cellStyle name="Millares 11 3 3 5 4" xfId="18729" xr:uid="{00000000-0005-0000-0000-0000320F0000}"/>
    <cellStyle name="Millares 11 3 3 6" xfId="6732" xr:uid="{00000000-0005-0000-0000-0000330F0000}"/>
    <cellStyle name="Millares 11 3 3 6 2" xfId="13310" xr:uid="{00000000-0005-0000-0000-0000340F0000}"/>
    <cellStyle name="Millares 11 3 3 6 3" xfId="19997" xr:uid="{00000000-0005-0000-0000-0000350F0000}"/>
    <cellStyle name="Millares 11 3 3 7" xfId="9981" xr:uid="{00000000-0005-0000-0000-0000360F0000}"/>
    <cellStyle name="Millares 11 3 3 8" xfId="16769" xr:uid="{00000000-0005-0000-0000-0000370F0000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3" xfId="22497" xr:uid="{00000000-0005-0000-0000-00003D0F0000}"/>
    <cellStyle name="Millares 11 3 4 2 2 3" xfId="12582" xr:uid="{00000000-0005-0000-0000-00003E0F0000}"/>
    <cellStyle name="Millares 11 3 4 2 2 4" xfId="19269" xr:uid="{00000000-0005-0000-0000-00003F0F0000}"/>
    <cellStyle name="Millares 11 3 4 2 3" xfId="8001" xr:uid="{00000000-0005-0000-0000-0000400F0000}"/>
    <cellStyle name="Millares 11 3 4 2 3 2" xfId="14579" xr:uid="{00000000-0005-0000-0000-0000410F0000}"/>
    <cellStyle name="Millares 11 3 4 2 3 3" xfId="21266" xr:uid="{00000000-0005-0000-0000-0000420F0000}"/>
    <cellStyle name="Millares 11 3 4 2 4" xfId="11299" xr:uid="{00000000-0005-0000-0000-0000430F0000}"/>
    <cellStyle name="Millares 11 3 4 2 5" xfId="18038" xr:uid="{00000000-0005-0000-0000-0000440F0000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3" xfId="20870" xr:uid="{00000000-0005-0000-0000-0000480F0000}"/>
    <cellStyle name="Millares 11 3 4 3 3" xfId="10873" xr:uid="{00000000-0005-0000-0000-0000490F0000}"/>
    <cellStyle name="Millares 11 3 4 3 4" xfId="17642" xr:uid="{00000000-0005-0000-0000-00004A0F0000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3" xfId="22101" xr:uid="{00000000-0005-0000-0000-00004E0F0000}"/>
    <cellStyle name="Millares 11 3 4 4 3" xfId="12186" xr:uid="{00000000-0005-0000-0000-00004F0F0000}"/>
    <cellStyle name="Millares 11 3 4 4 4" xfId="18873" xr:uid="{00000000-0005-0000-0000-0000500F0000}"/>
    <cellStyle name="Millares 11 3 4 5" xfId="6927" xr:uid="{00000000-0005-0000-0000-0000510F0000}"/>
    <cellStyle name="Millares 11 3 4 5 2" xfId="13505" xr:uid="{00000000-0005-0000-0000-0000520F0000}"/>
    <cellStyle name="Millares 11 3 4 5 3" xfId="20192" xr:uid="{00000000-0005-0000-0000-0000530F0000}"/>
    <cellStyle name="Millares 11 3 4 6" xfId="10188" xr:uid="{00000000-0005-0000-0000-0000540F0000}"/>
    <cellStyle name="Millares 11 3 4 7" xfId="16964" xr:uid="{00000000-0005-0000-0000-0000550F0000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3" xfId="22209" xr:uid="{00000000-0005-0000-0000-00005A0F0000}"/>
    <cellStyle name="Millares 11 3 5 2 3" xfId="12294" xr:uid="{00000000-0005-0000-0000-00005B0F0000}"/>
    <cellStyle name="Millares 11 3 5 2 4" xfId="18981" xr:uid="{00000000-0005-0000-0000-00005C0F0000}"/>
    <cellStyle name="Millares 11 3 5 3" xfId="7713" xr:uid="{00000000-0005-0000-0000-00005D0F0000}"/>
    <cellStyle name="Millares 11 3 5 3 2" xfId="14291" xr:uid="{00000000-0005-0000-0000-00005E0F0000}"/>
    <cellStyle name="Millares 11 3 5 3 3" xfId="20978" xr:uid="{00000000-0005-0000-0000-00005F0F0000}"/>
    <cellStyle name="Millares 11 3 5 4" xfId="10989" xr:uid="{00000000-0005-0000-0000-0000600F0000}"/>
    <cellStyle name="Millares 11 3 5 5" xfId="17750" xr:uid="{00000000-0005-0000-0000-0000610F000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3" xfId="22589" xr:uid="{00000000-0005-0000-0000-0000660F0000}"/>
    <cellStyle name="Millares 11 3 6 2 3" xfId="12674" xr:uid="{00000000-0005-0000-0000-0000670F0000}"/>
    <cellStyle name="Millares 11 3 6 2 4" xfId="19361" xr:uid="{00000000-0005-0000-0000-0000680F0000}"/>
    <cellStyle name="Millares 11 3 6 3" xfId="8093" xr:uid="{00000000-0005-0000-0000-0000690F0000}"/>
    <cellStyle name="Millares 11 3 6 3 2" xfId="14671" xr:uid="{00000000-0005-0000-0000-00006A0F0000}"/>
    <cellStyle name="Millares 11 3 6 3 3" xfId="21358" xr:uid="{00000000-0005-0000-0000-00006B0F0000}"/>
    <cellStyle name="Millares 11 3 6 4" xfId="11399" xr:uid="{00000000-0005-0000-0000-00006C0F0000}"/>
    <cellStyle name="Millares 11 3 6 5" xfId="18130" xr:uid="{00000000-0005-0000-0000-00006D0F0000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3" xfId="20582" xr:uid="{00000000-0005-0000-0000-0000710F0000}"/>
    <cellStyle name="Millares 11 3 7 3" xfId="10579" xr:uid="{00000000-0005-0000-0000-0000720F0000}"/>
    <cellStyle name="Millares 11 3 7 4" xfId="17354" xr:uid="{00000000-0005-0000-0000-0000730F0000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3" xfId="21813" xr:uid="{00000000-0005-0000-0000-0000770F0000}"/>
    <cellStyle name="Millares 11 3 8 3" xfId="11898" xr:uid="{00000000-0005-0000-0000-0000780F0000}"/>
    <cellStyle name="Millares 11 3 8 4" xfId="18585" xr:uid="{00000000-0005-0000-0000-0000790F0000}"/>
    <cellStyle name="Millares 11 3 9" xfId="6539" xr:uid="{00000000-0005-0000-0000-00007A0F0000}"/>
    <cellStyle name="Millares 11 3 9 2" xfId="13117" xr:uid="{00000000-0005-0000-0000-00007B0F0000}"/>
    <cellStyle name="Millares 11 3 9 3" xfId="19804" xr:uid="{00000000-0005-0000-0000-00007C0F0000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3" xfId="21649" xr:uid="{00000000-0005-0000-0000-0000830F0000}"/>
    <cellStyle name="Millares 11 4 2 2 2 3" xfId="11727" xr:uid="{00000000-0005-0000-0000-0000840F0000}"/>
    <cellStyle name="Millares 11 4 2 2 2 4" xfId="18421" xr:uid="{00000000-0005-0000-0000-0000850F0000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3" xfId="22880" xr:uid="{00000000-0005-0000-0000-0000890F0000}"/>
    <cellStyle name="Millares 11 4 2 2 3 3" xfId="12965" xr:uid="{00000000-0005-0000-0000-00008A0F0000}"/>
    <cellStyle name="Millares 11 4 2 2 3 4" xfId="19652" xr:uid="{00000000-0005-0000-0000-00008B0F0000}"/>
    <cellStyle name="Millares 11 4 2 2 4" xfId="7167" xr:uid="{00000000-0005-0000-0000-00008C0F0000}"/>
    <cellStyle name="Millares 11 4 2 2 4 2" xfId="13745" xr:uid="{00000000-0005-0000-0000-00008D0F0000}"/>
    <cellStyle name="Millares 11 4 2 2 4 3" xfId="20432" xr:uid="{00000000-0005-0000-0000-00008E0F0000}"/>
    <cellStyle name="Millares 11 4 2 2 5" xfId="10428" xr:uid="{00000000-0005-0000-0000-00008F0F0000}"/>
    <cellStyle name="Millares 11 4 2 2 6" xfId="17204" xr:uid="{00000000-0005-0000-0000-0000900F0000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3" xfId="21038" xr:uid="{00000000-0005-0000-0000-0000940F0000}"/>
    <cellStyle name="Millares 11 4 2 3 3" xfId="11054" xr:uid="{00000000-0005-0000-0000-0000950F0000}"/>
    <cellStyle name="Millares 11 4 2 3 4" xfId="17810" xr:uid="{00000000-0005-0000-0000-0000960F0000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3" xfId="22269" xr:uid="{00000000-0005-0000-0000-00009A0F0000}"/>
    <cellStyle name="Millares 11 4 2 4 3" xfId="12354" xr:uid="{00000000-0005-0000-0000-00009B0F0000}"/>
    <cellStyle name="Millares 11 4 2 4 4" xfId="19041" xr:uid="{00000000-0005-0000-0000-00009C0F0000}"/>
    <cellStyle name="Millares 11 4 2 5" xfId="6779" xr:uid="{00000000-0005-0000-0000-00009D0F0000}"/>
    <cellStyle name="Millares 11 4 2 5 2" xfId="13357" xr:uid="{00000000-0005-0000-0000-00009E0F0000}"/>
    <cellStyle name="Millares 11 4 2 5 3" xfId="20044" xr:uid="{00000000-0005-0000-0000-00009F0F0000}"/>
    <cellStyle name="Millares 11 4 2 6" xfId="10034" xr:uid="{00000000-0005-0000-0000-0000A00F0000}"/>
    <cellStyle name="Millares 11 4 2 7" xfId="16816" xr:uid="{00000000-0005-0000-0000-0000A10F0000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3" xfId="21405" xr:uid="{00000000-0005-0000-0000-0000A60F0000}"/>
    <cellStyle name="Millares 11 4 3 2 3" xfId="11453" xr:uid="{00000000-0005-0000-0000-0000A70F0000}"/>
    <cellStyle name="Millares 11 4 3 2 4" xfId="18177" xr:uid="{00000000-0005-0000-0000-0000A80F0000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3" xfId="22636" xr:uid="{00000000-0005-0000-0000-0000AC0F0000}"/>
    <cellStyle name="Millares 11 4 3 3 3" xfId="12721" xr:uid="{00000000-0005-0000-0000-0000AD0F0000}"/>
    <cellStyle name="Millares 11 4 3 3 4" xfId="19408" xr:uid="{00000000-0005-0000-0000-0000AE0F0000}"/>
    <cellStyle name="Millares 11 4 3 4" xfId="6974" xr:uid="{00000000-0005-0000-0000-0000AF0F0000}"/>
    <cellStyle name="Millares 11 4 3 4 2" xfId="13552" xr:uid="{00000000-0005-0000-0000-0000B00F0000}"/>
    <cellStyle name="Millares 11 4 3 4 3" xfId="20239" xr:uid="{00000000-0005-0000-0000-0000B10F0000}"/>
    <cellStyle name="Millares 11 4 3 5" xfId="10235" xr:uid="{00000000-0005-0000-0000-0000B20F0000}"/>
    <cellStyle name="Millares 11 4 3 6" xfId="17011" xr:uid="{00000000-0005-0000-0000-0000B30F0000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3" xfId="20642" xr:uid="{00000000-0005-0000-0000-0000B70F0000}"/>
    <cellStyle name="Millares 11 4 4 3" xfId="10639" xr:uid="{00000000-0005-0000-0000-0000B80F0000}"/>
    <cellStyle name="Millares 11 4 4 4" xfId="17414" xr:uid="{00000000-0005-0000-0000-0000B90F000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3" xfId="21873" xr:uid="{00000000-0005-0000-0000-0000BD0F0000}"/>
    <cellStyle name="Millares 11 4 5 3" xfId="11958" xr:uid="{00000000-0005-0000-0000-0000BE0F0000}"/>
    <cellStyle name="Millares 11 4 5 4" xfId="18645" xr:uid="{00000000-0005-0000-0000-0000BF0F0000}"/>
    <cellStyle name="Millares 11 4 6" xfId="6586" xr:uid="{00000000-0005-0000-0000-0000C00F0000}"/>
    <cellStyle name="Millares 11 4 6 2" xfId="13164" xr:uid="{00000000-0005-0000-0000-0000C10F0000}"/>
    <cellStyle name="Millares 11 4 6 3" xfId="19851" xr:uid="{00000000-0005-0000-0000-0000C20F0000}"/>
    <cellStyle name="Millares 11 4 7" xfId="9824" xr:uid="{00000000-0005-0000-0000-0000C30F0000}"/>
    <cellStyle name="Millares 11 4 8" xfId="16623" xr:uid="{00000000-0005-0000-0000-0000C40F0000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3" xfId="21119" xr:uid="{00000000-0005-0000-0000-0000CA0F0000}"/>
    <cellStyle name="Millares 11 5 2 2 3" xfId="11141" xr:uid="{00000000-0005-0000-0000-0000CB0F0000}"/>
    <cellStyle name="Millares 11 5 2 2 4" xfId="17891" xr:uid="{00000000-0005-0000-0000-0000CC0F0000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3" xfId="22350" xr:uid="{00000000-0005-0000-0000-0000D00F0000}"/>
    <cellStyle name="Millares 11 5 2 3 3" xfId="12435" xr:uid="{00000000-0005-0000-0000-0000D10F0000}"/>
    <cellStyle name="Millares 11 5 2 3 4" xfId="19122" xr:uid="{00000000-0005-0000-0000-0000D20F0000}"/>
    <cellStyle name="Millares 11 5 2 4" xfId="7073" xr:uid="{00000000-0005-0000-0000-0000D30F0000}"/>
    <cellStyle name="Millares 11 5 2 4 2" xfId="13651" xr:uid="{00000000-0005-0000-0000-0000D40F0000}"/>
    <cellStyle name="Millares 11 5 2 4 3" xfId="20338" xr:uid="{00000000-0005-0000-0000-0000D50F0000}"/>
    <cellStyle name="Millares 11 5 2 5" xfId="10334" xr:uid="{00000000-0005-0000-0000-0000D60F0000}"/>
    <cellStyle name="Millares 11 5 2 6" xfId="17110" xr:uid="{00000000-0005-0000-0000-0000D70F0000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3" xfId="22786" xr:uid="{00000000-0005-0000-0000-0000DC0F0000}"/>
    <cellStyle name="Millares 11 5 3 2 3" xfId="12871" xr:uid="{00000000-0005-0000-0000-0000DD0F0000}"/>
    <cellStyle name="Millares 11 5 3 2 4" xfId="19558" xr:uid="{00000000-0005-0000-0000-0000DE0F0000}"/>
    <cellStyle name="Millares 11 5 3 3" xfId="8290" xr:uid="{00000000-0005-0000-0000-0000DF0F0000}"/>
    <cellStyle name="Millares 11 5 3 3 2" xfId="14868" xr:uid="{00000000-0005-0000-0000-0000E00F0000}"/>
    <cellStyle name="Millares 11 5 3 3 3" xfId="21555" xr:uid="{00000000-0005-0000-0000-0000E10F0000}"/>
    <cellStyle name="Millares 11 5 3 4" xfId="11621" xr:uid="{00000000-0005-0000-0000-0000E20F0000}"/>
    <cellStyle name="Millares 11 5 3 5" xfId="18327" xr:uid="{00000000-0005-0000-0000-0000E30F0000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3" xfId="20723" xr:uid="{00000000-0005-0000-0000-0000E70F0000}"/>
    <cellStyle name="Millares 11 5 4 3" xfId="10720" xr:uid="{00000000-0005-0000-0000-0000E80F0000}"/>
    <cellStyle name="Millares 11 5 4 4" xfId="17495" xr:uid="{00000000-0005-0000-0000-0000E90F0000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3" xfId="21954" xr:uid="{00000000-0005-0000-0000-0000ED0F0000}"/>
    <cellStyle name="Millares 11 5 5 3" xfId="12039" xr:uid="{00000000-0005-0000-0000-0000EE0F0000}"/>
    <cellStyle name="Millares 11 5 5 4" xfId="18726" xr:uid="{00000000-0005-0000-0000-0000EF0F0000}"/>
    <cellStyle name="Millares 11 5 6" xfId="6685" xr:uid="{00000000-0005-0000-0000-0000F00F0000}"/>
    <cellStyle name="Millares 11 5 6 2" xfId="13263" xr:uid="{00000000-0005-0000-0000-0000F10F0000}"/>
    <cellStyle name="Millares 11 5 6 3" xfId="19950" xr:uid="{00000000-0005-0000-0000-0000F20F0000}"/>
    <cellStyle name="Millares 11 5 7" xfId="9931" xr:uid="{00000000-0005-0000-0000-0000F30F0000}"/>
    <cellStyle name="Millares 11 5 8" xfId="16722" xr:uid="{00000000-0005-0000-0000-0000F40F0000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3" xfId="22452" xr:uid="{00000000-0005-0000-0000-0000FA0F0000}"/>
    <cellStyle name="Millares 11 6 2 2 3" xfId="12537" xr:uid="{00000000-0005-0000-0000-0000FB0F0000}"/>
    <cellStyle name="Millares 11 6 2 2 4" xfId="19224" xr:uid="{00000000-0005-0000-0000-0000FC0F0000}"/>
    <cellStyle name="Millares 11 6 2 3" xfId="7956" xr:uid="{00000000-0005-0000-0000-0000FD0F0000}"/>
    <cellStyle name="Millares 11 6 2 3 2" xfId="14534" xr:uid="{00000000-0005-0000-0000-0000FE0F0000}"/>
    <cellStyle name="Millares 11 6 2 3 3" xfId="21221" xr:uid="{00000000-0005-0000-0000-0000FF0F0000}"/>
    <cellStyle name="Millares 11 6 2 4" xfId="11250" xr:uid="{00000000-0005-0000-0000-000000100000}"/>
    <cellStyle name="Millares 11 6 2 5" xfId="17993" xr:uid="{00000000-0005-0000-0000-000001100000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3" xfId="20825" xr:uid="{00000000-0005-0000-0000-000005100000}"/>
    <cellStyle name="Millares 11 6 3 3" xfId="10823" xr:uid="{00000000-0005-0000-0000-000006100000}"/>
    <cellStyle name="Millares 11 6 3 4" xfId="17597" xr:uid="{00000000-0005-0000-0000-000007100000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3" xfId="22056" xr:uid="{00000000-0005-0000-0000-00000B100000}"/>
    <cellStyle name="Millares 11 6 4 3" xfId="12141" xr:uid="{00000000-0005-0000-0000-00000C100000}"/>
    <cellStyle name="Millares 11 6 4 4" xfId="18828" xr:uid="{00000000-0005-0000-0000-00000D100000}"/>
    <cellStyle name="Millares 11 6 5" xfId="6880" xr:uid="{00000000-0005-0000-0000-00000E100000}"/>
    <cellStyle name="Millares 11 6 5 2" xfId="13458" xr:uid="{00000000-0005-0000-0000-00000F100000}"/>
    <cellStyle name="Millares 11 6 5 3" xfId="20145" xr:uid="{00000000-0005-0000-0000-000010100000}"/>
    <cellStyle name="Millares 11 6 6" xfId="10141" xr:uid="{00000000-0005-0000-0000-000011100000}"/>
    <cellStyle name="Millares 11 6 7" xfId="16917" xr:uid="{00000000-0005-0000-0000-000012100000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3" xfId="22163" xr:uid="{00000000-0005-0000-0000-000017100000}"/>
    <cellStyle name="Millares 11 7 2 3" xfId="12248" xr:uid="{00000000-0005-0000-0000-000018100000}"/>
    <cellStyle name="Millares 11 7 2 4" xfId="18935" xr:uid="{00000000-0005-0000-0000-000019100000}"/>
    <cellStyle name="Millares 11 7 3" xfId="7667" xr:uid="{00000000-0005-0000-0000-00001A100000}"/>
    <cellStyle name="Millares 11 7 3 2" xfId="14245" xr:uid="{00000000-0005-0000-0000-00001B100000}"/>
    <cellStyle name="Millares 11 7 3 3" xfId="20932" xr:uid="{00000000-0005-0000-0000-00001C100000}"/>
    <cellStyle name="Millares 11 7 4" xfId="10939" xr:uid="{00000000-0005-0000-0000-00001D100000}"/>
    <cellStyle name="Millares 11 7 5" xfId="17704" xr:uid="{00000000-0005-0000-0000-00001E100000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3" xfId="22544" xr:uid="{00000000-0005-0000-0000-000023100000}"/>
    <cellStyle name="Millares 11 8 2 3" xfId="12629" xr:uid="{00000000-0005-0000-0000-000024100000}"/>
    <cellStyle name="Millares 11 8 2 4" xfId="19316" xr:uid="{00000000-0005-0000-0000-000025100000}"/>
    <cellStyle name="Millares 11 8 3" xfId="8048" xr:uid="{00000000-0005-0000-0000-000026100000}"/>
    <cellStyle name="Millares 11 8 3 2" xfId="14626" xr:uid="{00000000-0005-0000-0000-000027100000}"/>
    <cellStyle name="Millares 11 8 3 3" xfId="21313" xr:uid="{00000000-0005-0000-0000-000028100000}"/>
    <cellStyle name="Millares 11 8 4" xfId="11349" xr:uid="{00000000-0005-0000-0000-000029100000}"/>
    <cellStyle name="Millares 11 8 5" xfId="18085" xr:uid="{00000000-0005-0000-0000-00002A100000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3" xfId="20536" xr:uid="{00000000-0005-0000-0000-00002E100000}"/>
    <cellStyle name="Millares 11 9 3" xfId="10533" xr:uid="{00000000-0005-0000-0000-00002F100000}"/>
    <cellStyle name="Millares 11 9 4" xfId="17308" xr:uid="{00000000-0005-0000-0000-000030100000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3" xfId="21768" xr:uid="{00000000-0005-0000-0000-000035100000}"/>
    <cellStyle name="Millares 12 10 3" xfId="11853" xr:uid="{00000000-0005-0000-0000-000036100000}"/>
    <cellStyle name="Millares 12 10 4" xfId="18540" xr:uid="{00000000-0005-0000-0000-000037100000}"/>
    <cellStyle name="Millares 12 11" xfId="6493" xr:uid="{00000000-0005-0000-0000-000038100000}"/>
    <cellStyle name="Millares 12 11 2" xfId="13071" xr:uid="{00000000-0005-0000-0000-000039100000}"/>
    <cellStyle name="Millares 12 11 3" xfId="19758" xr:uid="{00000000-0005-0000-0000-00003A100000}"/>
    <cellStyle name="Millares 12 12" xfId="9726" xr:uid="{00000000-0005-0000-0000-00003B100000}"/>
    <cellStyle name="Millares 12 13" xfId="11247" xr:uid="{00000000-0005-0000-0000-00003C100000}"/>
    <cellStyle name="Millares 12 14" xfId="16530" xr:uid="{00000000-0005-0000-0000-00003D100000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3" xfId="19781" xr:uid="{00000000-0005-0000-0000-000041100000}"/>
    <cellStyle name="Millares 12 2 11" xfId="9751" xr:uid="{00000000-0005-0000-0000-000042100000}"/>
    <cellStyle name="Millares 12 2 12" xfId="16456" xr:uid="{00000000-0005-0000-0000-000043100000}"/>
    <cellStyle name="Millares 12 2 13" xfId="16553" xr:uid="{00000000-0005-0000-0000-000044100000}"/>
    <cellStyle name="Millares 12 2 2" xfId="397" xr:uid="{00000000-0005-0000-0000-000045100000}"/>
    <cellStyle name="Millares 12 2 2 10" xfId="9799" xr:uid="{00000000-0005-0000-0000-000046100000}"/>
    <cellStyle name="Millares 12 2 2 11" xfId="9701" xr:uid="{00000000-0005-0000-0000-000047100000}"/>
    <cellStyle name="Millares 12 2 2 12" xfId="16599" xr:uid="{00000000-0005-0000-0000-000048100000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3" xfId="21717" xr:uid="{00000000-0005-0000-0000-00004F100000}"/>
    <cellStyle name="Millares 12 2 2 2 2 2 2 3" xfId="11802" xr:uid="{00000000-0005-0000-0000-000050100000}"/>
    <cellStyle name="Millares 12 2 2 2 2 2 2 4" xfId="18489" xr:uid="{00000000-0005-0000-0000-000051100000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3" xfId="22948" xr:uid="{00000000-0005-0000-0000-000055100000}"/>
    <cellStyle name="Millares 12 2 2 2 2 2 3 3" xfId="13033" xr:uid="{00000000-0005-0000-0000-000056100000}"/>
    <cellStyle name="Millares 12 2 2 2 2 2 3 4" xfId="19720" xr:uid="{00000000-0005-0000-0000-000057100000}"/>
    <cellStyle name="Millares 12 2 2 2 2 2 4" xfId="7235" xr:uid="{00000000-0005-0000-0000-000058100000}"/>
    <cellStyle name="Millares 12 2 2 2 2 2 4 2" xfId="13813" xr:uid="{00000000-0005-0000-0000-000059100000}"/>
    <cellStyle name="Millares 12 2 2 2 2 2 4 3" xfId="20500" xr:uid="{00000000-0005-0000-0000-00005A100000}"/>
    <cellStyle name="Millares 12 2 2 2 2 2 5" xfId="10496" xr:uid="{00000000-0005-0000-0000-00005B100000}"/>
    <cellStyle name="Millares 12 2 2 2 2 2 6" xfId="17272" xr:uid="{00000000-0005-0000-0000-00005C100000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3" xfId="21107" xr:uid="{00000000-0005-0000-0000-000060100000}"/>
    <cellStyle name="Millares 12 2 2 2 2 3 3" xfId="11124" xr:uid="{00000000-0005-0000-0000-000061100000}"/>
    <cellStyle name="Millares 12 2 2 2 2 3 4" xfId="17879" xr:uid="{00000000-0005-0000-0000-000062100000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3" xfId="22338" xr:uid="{00000000-0005-0000-0000-000066100000}"/>
    <cellStyle name="Millares 12 2 2 2 2 4 3" xfId="12423" xr:uid="{00000000-0005-0000-0000-000067100000}"/>
    <cellStyle name="Millares 12 2 2 2 2 4 4" xfId="19110" xr:uid="{00000000-0005-0000-0000-000068100000}"/>
    <cellStyle name="Millares 12 2 2 2 2 5" xfId="6847" xr:uid="{00000000-0005-0000-0000-000069100000}"/>
    <cellStyle name="Millares 12 2 2 2 2 5 2" xfId="13425" xr:uid="{00000000-0005-0000-0000-00006A100000}"/>
    <cellStyle name="Millares 12 2 2 2 2 5 3" xfId="20112" xr:uid="{00000000-0005-0000-0000-00006B100000}"/>
    <cellStyle name="Millares 12 2 2 2 2 6" xfId="10107" xr:uid="{00000000-0005-0000-0000-00006C100000}"/>
    <cellStyle name="Millares 12 2 2 2 2 7" xfId="16884" xr:uid="{00000000-0005-0000-0000-00006D100000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3" xfId="21473" xr:uid="{00000000-0005-0000-0000-000072100000}"/>
    <cellStyle name="Millares 12 2 2 2 3 2 3" xfId="11537" xr:uid="{00000000-0005-0000-0000-000073100000}"/>
    <cellStyle name="Millares 12 2 2 2 3 2 4" xfId="18245" xr:uid="{00000000-0005-0000-0000-00007410000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3" xfId="22704" xr:uid="{00000000-0005-0000-0000-000078100000}"/>
    <cellStyle name="Millares 12 2 2 2 3 3 3" xfId="12789" xr:uid="{00000000-0005-0000-0000-000079100000}"/>
    <cellStyle name="Millares 12 2 2 2 3 3 4" xfId="19476" xr:uid="{00000000-0005-0000-0000-00007A100000}"/>
    <cellStyle name="Millares 12 2 2 2 3 4" xfId="7042" xr:uid="{00000000-0005-0000-0000-00007B100000}"/>
    <cellStyle name="Millares 12 2 2 2 3 4 2" xfId="13620" xr:uid="{00000000-0005-0000-0000-00007C100000}"/>
    <cellStyle name="Millares 12 2 2 2 3 4 3" xfId="20307" xr:uid="{00000000-0005-0000-0000-00007D100000}"/>
    <cellStyle name="Millares 12 2 2 2 3 5" xfId="10303" xr:uid="{00000000-0005-0000-0000-00007E100000}"/>
    <cellStyle name="Millares 12 2 2 2 3 6" xfId="17079" xr:uid="{00000000-0005-0000-0000-00007F100000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3" xfId="20711" xr:uid="{00000000-0005-0000-0000-000083100000}"/>
    <cellStyle name="Millares 12 2 2 2 4 3" xfId="10708" xr:uid="{00000000-0005-0000-0000-000084100000}"/>
    <cellStyle name="Millares 12 2 2 2 4 4" xfId="17483" xr:uid="{00000000-0005-0000-0000-000085100000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3" xfId="21942" xr:uid="{00000000-0005-0000-0000-000089100000}"/>
    <cellStyle name="Millares 12 2 2 2 5 3" xfId="12027" xr:uid="{00000000-0005-0000-0000-00008A100000}"/>
    <cellStyle name="Millares 12 2 2 2 5 4" xfId="18714" xr:uid="{00000000-0005-0000-0000-00008B100000}"/>
    <cellStyle name="Millares 12 2 2 2 6" xfId="6654" xr:uid="{00000000-0005-0000-0000-00008C100000}"/>
    <cellStyle name="Millares 12 2 2 2 6 2" xfId="13232" xr:uid="{00000000-0005-0000-0000-00008D100000}"/>
    <cellStyle name="Millares 12 2 2 2 6 3" xfId="19919" xr:uid="{00000000-0005-0000-0000-00008E100000}"/>
    <cellStyle name="Millares 12 2 2 2 7" xfId="9900" xr:uid="{00000000-0005-0000-0000-00008F100000}"/>
    <cellStyle name="Millares 12 2 2 2 8" xfId="16691" xr:uid="{00000000-0005-0000-0000-000090100000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3" xfId="21125" xr:uid="{00000000-0005-0000-0000-000096100000}"/>
    <cellStyle name="Millares 12 2 2 3 2 2 3" xfId="11147" xr:uid="{00000000-0005-0000-0000-000097100000}"/>
    <cellStyle name="Millares 12 2 2 3 2 2 4" xfId="17897" xr:uid="{00000000-0005-0000-0000-00009810000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3" xfId="22356" xr:uid="{00000000-0005-0000-0000-00009C100000}"/>
    <cellStyle name="Millares 12 2 2 3 2 3 3" xfId="12441" xr:uid="{00000000-0005-0000-0000-00009D100000}"/>
    <cellStyle name="Millares 12 2 2 3 2 3 4" xfId="19128" xr:uid="{00000000-0005-0000-0000-00009E100000}"/>
    <cellStyle name="Millares 12 2 2 3 2 4" xfId="7143" xr:uid="{00000000-0005-0000-0000-00009F100000}"/>
    <cellStyle name="Millares 12 2 2 3 2 4 2" xfId="13721" xr:uid="{00000000-0005-0000-0000-0000A0100000}"/>
    <cellStyle name="Millares 12 2 2 3 2 4 3" xfId="20408" xr:uid="{00000000-0005-0000-0000-0000A1100000}"/>
    <cellStyle name="Millares 12 2 2 3 2 5" xfId="10404" xr:uid="{00000000-0005-0000-0000-0000A2100000}"/>
    <cellStyle name="Millares 12 2 2 3 2 6" xfId="17180" xr:uid="{00000000-0005-0000-0000-0000A310000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3" xfId="22856" xr:uid="{00000000-0005-0000-0000-0000A8100000}"/>
    <cellStyle name="Millares 12 2 2 3 3 2 3" xfId="12941" xr:uid="{00000000-0005-0000-0000-0000A9100000}"/>
    <cellStyle name="Millares 12 2 2 3 3 2 4" xfId="19628" xr:uid="{00000000-0005-0000-0000-0000AA100000}"/>
    <cellStyle name="Millares 12 2 2 3 3 3" xfId="8360" xr:uid="{00000000-0005-0000-0000-0000AB100000}"/>
    <cellStyle name="Millares 12 2 2 3 3 3 2" xfId="14938" xr:uid="{00000000-0005-0000-0000-0000AC100000}"/>
    <cellStyle name="Millares 12 2 2 3 3 3 3" xfId="21625" xr:uid="{00000000-0005-0000-0000-0000AD100000}"/>
    <cellStyle name="Millares 12 2 2 3 3 4" xfId="11701" xr:uid="{00000000-0005-0000-0000-0000AE100000}"/>
    <cellStyle name="Millares 12 2 2 3 3 5" xfId="18397" xr:uid="{00000000-0005-0000-0000-0000AF100000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3" xfId="20729" xr:uid="{00000000-0005-0000-0000-0000B3100000}"/>
    <cellStyle name="Millares 12 2 2 3 4 3" xfId="10726" xr:uid="{00000000-0005-0000-0000-0000B4100000}"/>
    <cellStyle name="Millares 12 2 2 3 4 4" xfId="17501" xr:uid="{00000000-0005-0000-0000-0000B5100000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3" xfId="21960" xr:uid="{00000000-0005-0000-0000-0000B9100000}"/>
    <cellStyle name="Millares 12 2 2 3 5 3" xfId="12045" xr:uid="{00000000-0005-0000-0000-0000BA100000}"/>
    <cellStyle name="Millares 12 2 2 3 5 4" xfId="18732" xr:uid="{00000000-0005-0000-0000-0000BB100000}"/>
    <cellStyle name="Millares 12 2 2 3 6" xfId="6755" xr:uid="{00000000-0005-0000-0000-0000BC100000}"/>
    <cellStyle name="Millares 12 2 2 3 6 2" xfId="13333" xr:uid="{00000000-0005-0000-0000-0000BD100000}"/>
    <cellStyle name="Millares 12 2 2 3 6 3" xfId="20020" xr:uid="{00000000-0005-0000-0000-0000BE100000}"/>
    <cellStyle name="Millares 12 2 2 3 7" xfId="10007" xr:uid="{00000000-0005-0000-0000-0000BF100000}"/>
    <cellStyle name="Millares 12 2 2 3 8" xfId="16792" xr:uid="{00000000-0005-0000-0000-0000C010000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3" xfId="22520" xr:uid="{00000000-0005-0000-0000-0000C6100000}"/>
    <cellStyle name="Millares 12 2 2 4 2 2 3" xfId="12605" xr:uid="{00000000-0005-0000-0000-0000C7100000}"/>
    <cellStyle name="Millares 12 2 2 4 2 2 4" xfId="19292" xr:uid="{00000000-0005-0000-0000-0000C8100000}"/>
    <cellStyle name="Millares 12 2 2 4 2 3" xfId="8024" xr:uid="{00000000-0005-0000-0000-0000C9100000}"/>
    <cellStyle name="Millares 12 2 2 4 2 3 2" xfId="14602" xr:uid="{00000000-0005-0000-0000-0000CA100000}"/>
    <cellStyle name="Millares 12 2 2 4 2 3 3" xfId="21289" xr:uid="{00000000-0005-0000-0000-0000CB100000}"/>
    <cellStyle name="Millares 12 2 2 4 2 4" xfId="11323" xr:uid="{00000000-0005-0000-0000-0000CC100000}"/>
    <cellStyle name="Millares 12 2 2 4 2 5" xfId="18061" xr:uid="{00000000-0005-0000-0000-0000CD100000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3" xfId="20893" xr:uid="{00000000-0005-0000-0000-0000D1100000}"/>
    <cellStyle name="Millares 12 2 2 4 3 3" xfId="10898" xr:uid="{00000000-0005-0000-0000-0000D2100000}"/>
    <cellStyle name="Millares 12 2 2 4 3 4" xfId="17665" xr:uid="{00000000-0005-0000-0000-0000D3100000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3" xfId="22124" xr:uid="{00000000-0005-0000-0000-0000D7100000}"/>
    <cellStyle name="Millares 12 2 2 4 4 3" xfId="12209" xr:uid="{00000000-0005-0000-0000-0000D8100000}"/>
    <cellStyle name="Millares 12 2 2 4 4 4" xfId="18896" xr:uid="{00000000-0005-0000-0000-0000D9100000}"/>
    <cellStyle name="Millares 12 2 2 4 5" xfId="6950" xr:uid="{00000000-0005-0000-0000-0000DA100000}"/>
    <cellStyle name="Millares 12 2 2 4 5 2" xfId="13528" xr:uid="{00000000-0005-0000-0000-0000DB100000}"/>
    <cellStyle name="Millares 12 2 2 4 5 3" xfId="20215" xr:uid="{00000000-0005-0000-0000-0000DC100000}"/>
    <cellStyle name="Millares 12 2 2 4 6" xfId="10211" xr:uid="{00000000-0005-0000-0000-0000DD100000}"/>
    <cellStyle name="Millares 12 2 2 4 7" xfId="16987" xr:uid="{00000000-0005-0000-0000-0000DE100000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3" xfId="22232" xr:uid="{00000000-0005-0000-0000-0000E3100000}"/>
    <cellStyle name="Millares 12 2 2 5 2 3" xfId="12317" xr:uid="{00000000-0005-0000-0000-0000E4100000}"/>
    <cellStyle name="Millares 12 2 2 5 2 4" xfId="19004" xr:uid="{00000000-0005-0000-0000-0000E5100000}"/>
    <cellStyle name="Millares 12 2 2 5 3" xfId="7736" xr:uid="{00000000-0005-0000-0000-0000E6100000}"/>
    <cellStyle name="Millares 12 2 2 5 3 2" xfId="14314" xr:uid="{00000000-0005-0000-0000-0000E7100000}"/>
    <cellStyle name="Millares 12 2 2 5 3 3" xfId="21001" xr:uid="{00000000-0005-0000-0000-0000E8100000}"/>
    <cellStyle name="Millares 12 2 2 5 4" xfId="11017" xr:uid="{00000000-0005-0000-0000-0000E9100000}"/>
    <cellStyle name="Millares 12 2 2 5 5" xfId="17773" xr:uid="{00000000-0005-0000-0000-0000EA100000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3" xfId="22612" xr:uid="{00000000-0005-0000-0000-0000EF100000}"/>
    <cellStyle name="Millares 12 2 2 6 2 3" xfId="12697" xr:uid="{00000000-0005-0000-0000-0000F0100000}"/>
    <cellStyle name="Millares 12 2 2 6 2 4" xfId="19384" xr:uid="{00000000-0005-0000-0000-0000F1100000}"/>
    <cellStyle name="Millares 12 2 2 6 3" xfId="8116" xr:uid="{00000000-0005-0000-0000-0000F2100000}"/>
    <cellStyle name="Millares 12 2 2 6 3 2" xfId="14694" xr:uid="{00000000-0005-0000-0000-0000F3100000}"/>
    <cellStyle name="Millares 12 2 2 6 3 3" xfId="21381" xr:uid="{00000000-0005-0000-0000-0000F4100000}"/>
    <cellStyle name="Millares 12 2 2 6 4" xfId="11427" xr:uid="{00000000-0005-0000-0000-0000F5100000}"/>
    <cellStyle name="Millares 12 2 2 6 5" xfId="18153" xr:uid="{00000000-0005-0000-0000-0000F6100000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3" xfId="20605" xr:uid="{00000000-0005-0000-0000-0000FA100000}"/>
    <cellStyle name="Millares 12 2 2 7 3" xfId="10602" xr:uid="{00000000-0005-0000-0000-0000FB100000}"/>
    <cellStyle name="Millares 12 2 2 7 4" xfId="17377" xr:uid="{00000000-0005-0000-0000-0000FC100000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3" xfId="21836" xr:uid="{00000000-0005-0000-0000-000000110000}"/>
    <cellStyle name="Millares 12 2 2 8 3" xfId="11921" xr:uid="{00000000-0005-0000-0000-000001110000}"/>
    <cellStyle name="Millares 12 2 2 8 4" xfId="18608" xr:uid="{00000000-0005-0000-0000-000002110000}"/>
    <cellStyle name="Millares 12 2 2 9" xfId="6562" xr:uid="{00000000-0005-0000-0000-000003110000}"/>
    <cellStyle name="Millares 12 2 2 9 2" xfId="13140" xr:uid="{00000000-0005-0000-0000-000004110000}"/>
    <cellStyle name="Millares 12 2 2 9 3" xfId="19827" xr:uid="{00000000-0005-0000-0000-000005110000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3" xfId="21672" xr:uid="{00000000-0005-0000-0000-00000C110000}"/>
    <cellStyle name="Millares 12 2 3 2 2 2 3" xfId="11752" xr:uid="{00000000-0005-0000-0000-00000D110000}"/>
    <cellStyle name="Millares 12 2 3 2 2 2 4" xfId="18444" xr:uid="{00000000-0005-0000-0000-00000E110000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3" xfId="22903" xr:uid="{00000000-0005-0000-0000-000012110000}"/>
    <cellStyle name="Millares 12 2 3 2 2 3 3" xfId="12988" xr:uid="{00000000-0005-0000-0000-000013110000}"/>
    <cellStyle name="Millares 12 2 3 2 2 3 4" xfId="19675" xr:uid="{00000000-0005-0000-0000-000014110000}"/>
    <cellStyle name="Millares 12 2 3 2 2 4" xfId="7190" xr:uid="{00000000-0005-0000-0000-000015110000}"/>
    <cellStyle name="Millares 12 2 3 2 2 4 2" xfId="13768" xr:uid="{00000000-0005-0000-0000-000016110000}"/>
    <cellStyle name="Millares 12 2 3 2 2 4 3" xfId="20455" xr:uid="{00000000-0005-0000-0000-000017110000}"/>
    <cellStyle name="Millares 12 2 3 2 2 5" xfId="10451" xr:uid="{00000000-0005-0000-0000-000018110000}"/>
    <cellStyle name="Millares 12 2 3 2 2 6" xfId="17227" xr:uid="{00000000-0005-0000-0000-000019110000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3" xfId="21062" xr:uid="{00000000-0005-0000-0000-00001D110000}"/>
    <cellStyle name="Millares 12 2 3 2 3 3" xfId="11078" xr:uid="{00000000-0005-0000-0000-00001E110000}"/>
    <cellStyle name="Millares 12 2 3 2 3 4" xfId="17834" xr:uid="{00000000-0005-0000-0000-00001F110000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3" xfId="22293" xr:uid="{00000000-0005-0000-0000-000023110000}"/>
    <cellStyle name="Millares 12 2 3 2 4 3" xfId="12378" xr:uid="{00000000-0005-0000-0000-000024110000}"/>
    <cellStyle name="Millares 12 2 3 2 4 4" xfId="19065" xr:uid="{00000000-0005-0000-0000-000025110000}"/>
    <cellStyle name="Millares 12 2 3 2 5" xfId="6802" xr:uid="{00000000-0005-0000-0000-000026110000}"/>
    <cellStyle name="Millares 12 2 3 2 5 2" xfId="13380" xr:uid="{00000000-0005-0000-0000-000027110000}"/>
    <cellStyle name="Millares 12 2 3 2 5 3" xfId="20067" xr:uid="{00000000-0005-0000-0000-000028110000}"/>
    <cellStyle name="Millares 12 2 3 2 6" xfId="10058" xr:uid="{00000000-0005-0000-0000-000029110000}"/>
    <cellStyle name="Millares 12 2 3 2 7" xfId="16839" xr:uid="{00000000-0005-0000-0000-00002A110000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3" xfId="21428" xr:uid="{00000000-0005-0000-0000-00002F110000}"/>
    <cellStyle name="Millares 12 2 3 3 2 3" xfId="11482" xr:uid="{00000000-0005-0000-0000-000030110000}"/>
    <cellStyle name="Millares 12 2 3 3 2 4" xfId="18200" xr:uid="{00000000-0005-0000-0000-000031110000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3" xfId="22659" xr:uid="{00000000-0005-0000-0000-000035110000}"/>
    <cellStyle name="Millares 12 2 3 3 3 3" xfId="12744" xr:uid="{00000000-0005-0000-0000-000036110000}"/>
    <cellStyle name="Millares 12 2 3 3 3 4" xfId="19431" xr:uid="{00000000-0005-0000-0000-000037110000}"/>
    <cellStyle name="Millares 12 2 3 3 4" xfId="6997" xr:uid="{00000000-0005-0000-0000-000038110000}"/>
    <cellStyle name="Millares 12 2 3 3 4 2" xfId="13575" xr:uid="{00000000-0005-0000-0000-000039110000}"/>
    <cellStyle name="Millares 12 2 3 3 4 3" xfId="20262" xr:uid="{00000000-0005-0000-0000-00003A110000}"/>
    <cellStyle name="Millares 12 2 3 3 5" xfId="10258" xr:uid="{00000000-0005-0000-0000-00003B110000}"/>
    <cellStyle name="Millares 12 2 3 3 6" xfId="17034" xr:uid="{00000000-0005-0000-0000-00003C110000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3" xfId="20666" xr:uid="{00000000-0005-0000-0000-000040110000}"/>
    <cellStyle name="Millares 12 2 3 4 3" xfId="10663" xr:uid="{00000000-0005-0000-0000-000041110000}"/>
    <cellStyle name="Millares 12 2 3 4 4" xfId="17438" xr:uid="{00000000-0005-0000-0000-000042110000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3" xfId="21897" xr:uid="{00000000-0005-0000-0000-000046110000}"/>
    <cellStyle name="Millares 12 2 3 5 3" xfId="11982" xr:uid="{00000000-0005-0000-0000-000047110000}"/>
    <cellStyle name="Millares 12 2 3 5 4" xfId="18669" xr:uid="{00000000-0005-0000-0000-000048110000}"/>
    <cellStyle name="Millares 12 2 3 6" xfId="6609" xr:uid="{00000000-0005-0000-0000-000049110000}"/>
    <cellStyle name="Millares 12 2 3 6 2" xfId="13187" xr:uid="{00000000-0005-0000-0000-00004A110000}"/>
    <cellStyle name="Millares 12 2 3 6 3" xfId="19874" xr:uid="{00000000-0005-0000-0000-00004B110000}"/>
    <cellStyle name="Millares 12 2 3 7" xfId="9849" xr:uid="{00000000-0005-0000-0000-00004C110000}"/>
    <cellStyle name="Millares 12 2 3 8" xfId="16646" xr:uid="{00000000-0005-0000-0000-00004D110000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3" xfId="21124" xr:uid="{00000000-0005-0000-0000-000053110000}"/>
    <cellStyle name="Millares 12 2 4 2 2 3" xfId="11146" xr:uid="{00000000-0005-0000-0000-000054110000}"/>
    <cellStyle name="Millares 12 2 4 2 2 4" xfId="17896" xr:uid="{00000000-0005-0000-0000-000055110000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3" xfId="22355" xr:uid="{00000000-0005-0000-0000-000059110000}"/>
    <cellStyle name="Millares 12 2 4 2 3 3" xfId="12440" xr:uid="{00000000-0005-0000-0000-00005A110000}"/>
    <cellStyle name="Millares 12 2 4 2 3 4" xfId="19127" xr:uid="{00000000-0005-0000-0000-00005B110000}"/>
    <cellStyle name="Millares 12 2 4 2 4" xfId="7097" xr:uid="{00000000-0005-0000-0000-00005C110000}"/>
    <cellStyle name="Millares 12 2 4 2 4 2" xfId="13675" xr:uid="{00000000-0005-0000-0000-00005D110000}"/>
    <cellStyle name="Millares 12 2 4 2 4 3" xfId="20362" xr:uid="{00000000-0005-0000-0000-00005E110000}"/>
    <cellStyle name="Millares 12 2 4 2 5" xfId="10358" xr:uid="{00000000-0005-0000-0000-00005F110000}"/>
    <cellStyle name="Millares 12 2 4 2 6" xfId="17134" xr:uid="{00000000-0005-0000-0000-000060110000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3" xfId="22810" xr:uid="{00000000-0005-0000-0000-000065110000}"/>
    <cellStyle name="Millares 12 2 4 3 2 3" xfId="12895" xr:uid="{00000000-0005-0000-0000-000066110000}"/>
    <cellStyle name="Millares 12 2 4 3 2 4" xfId="19582" xr:uid="{00000000-0005-0000-0000-000067110000}"/>
    <cellStyle name="Millares 12 2 4 3 3" xfId="8314" xr:uid="{00000000-0005-0000-0000-000068110000}"/>
    <cellStyle name="Millares 12 2 4 3 3 2" xfId="14892" xr:uid="{00000000-0005-0000-0000-000069110000}"/>
    <cellStyle name="Millares 12 2 4 3 3 3" xfId="21579" xr:uid="{00000000-0005-0000-0000-00006A110000}"/>
    <cellStyle name="Millares 12 2 4 3 4" xfId="11648" xr:uid="{00000000-0005-0000-0000-00006B110000}"/>
    <cellStyle name="Millares 12 2 4 3 5" xfId="18351" xr:uid="{00000000-0005-0000-0000-00006C110000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3" xfId="20728" xr:uid="{00000000-0005-0000-0000-000070110000}"/>
    <cellStyle name="Millares 12 2 4 4 3" xfId="10725" xr:uid="{00000000-0005-0000-0000-000071110000}"/>
    <cellStyle name="Millares 12 2 4 4 4" xfId="17500" xr:uid="{00000000-0005-0000-0000-000072110000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3" xfId="21959" xr:uid="{00000000-0005-0000-0000-000076110000}"/>
    <cellStyle name="Millares 12 2 4 5 3" xfId="12044" xr:uid="{00000000-0005-0000-0000-000077110000}"/>
    <cellStyle name="Millares 12 2 4 5 4" xfId="18731" xr:uid="{00000000-0005-0000-0000-000078110000}"/>
    <cellStyle name="Millares 12 2 4 6" xfId="6709" xr:uid="{00000000-0005-0000-0000-000079110000}"/>
    <cellStyle name="Millares 12 2 4 6 2" xfId="13287" xr:uid="{00000000-0005-0000-0000-00007A110000}"/>
    <cellStyle name="Millares 12 2 4 6 3" xfId="19974" xr:uid="{00000000-0005-0000-0000-00007B110000}"/>
    <cellStyle name="Millares 12 2 4 7" xfId="9957" xr:uid="{00000000-0005-0000-0000-00007C110000}"/>
    <cellStyle name="Millares 12 2 4 8" xfId="16746" xr:uid="{00000000-0005-0000-0000-00007D110000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3" xfId="22475" xr:uid="{00000000-0005-0000-0000-000083110000}"/>
    <cellStyle name="Millares 12 2 5 2 2 3" xfId="12560" xr:uid="{00000000-0005-0000-0000-000084110000}"/>
    <cellStyle name="Millares 12 2 5 2 2 4" xfId="19247" xr:uid="{00000000-0005-0000-0000-000085110000}"/>
    <cellStyle name="Millares 12 2 5 2 3" xfId="7979" xr:uid="{00000000-0005-0000-0000-000086110000}"/>
    <cellStyle name="Millares 12 2 5 2 3 2" xfId="14557" xr:uid="{00000000-0005-0000-0000-000087110000}"/>
    <cellStyle name="Millares 12 2 5 2 3 3" xfId="21244" xr:uid="{00000000-0005-0000-0000-000088110000}"/>
    <cellStyle name="Millares 12 2 5 2 4" xfId="11275" xr:uid="{00000000-0005-0000-0000-000089110000}"/>
    <cellStyle name="Millares 12 2 5 2 5" xfId="18016" xr:uid="{00000000-0005-0000-0000-00008A110000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3" xfId="20848" xr:uid="{00000000-0005-0000-0000-00008E110000}"/>
    <cellStyle name="Millares 12 2 5 3 3" xfId="10846" xr:uid="{00000000-0005-0000-0000-00008F110000}"/>
    <cellStyle name="Millares 12 2 5 3 4" xfId="17620" xr:uid="{00000000-0005-0000-0000-000090110000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3" xfId="22079" xr:uid="{00000000-0005-0000-0000-000094110000}"/>
    <cellStyle name="Millares 12 2 5 4 3" xfId="12164" xr:uid="{00000000-0005-0000-0000-000095110000}"/>
    <cellStyle name="Millares 12 2 5 4 4" xfId="18851" xr:uid="{00000000-0005-0000-0000-000096110000}"/>
    <cellStyle name="Millares 12 2 5 5" xfId="6904" xr:uid="{00000000-0005-0000-0000-000097110000}"/>
    <cellStyle name="Millares 12 2 5 5 2" xfId="13482" xr:uid="{00000000-0005-0000-0000-000098110000}"/>
    <cellStyle name="Millares 12 2 5 5 3" xfId="20169" xr:uid="{00000000-0005-0000-0000-000099110000}"/>
    <cellStyle name="Millares 12 2 5 6" xfId="10165" xr:uid="{00000000-0005-0000-0000-00009A110000}"/>
    <cellStyle name="Millares 12 2 5 7" xfId="16941" xr:uid="{00000000-0005-0000-0000-00009B110000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3" xfId="22187" xr:uid="{00000000-0005-0000-0000-0000A0110000}"/>
    <cellStyle name="Millares 12 2 6 2 3" xfId="12272" xr:uid="{00000000-0005-0000-0000-0000A1110000}"/>
    <cellStyle name="Millares 12 2 6 2 4" xfId="18959" xr:uid="{00000000-0005-0000-0000-0000A2110000}"/>
    <cellStyle name="Millares 12 2 6 3" xfId="7691" xr:uid="{00000000-0005-0000-0000-0000A3110000}"/>
    <cellStyle name="Millares 12 2 6 3 2" xfId="14269" xr:uid="{00000000-0005-0000-0000-0000A4110000}"/>
    <cellStyle name="Millares 12 2 6 3 3" xfId="20956" xr:uid="{00000000-0005-0000-0000-0000A5110000}"/>
    <cellStyle name="Millares 12 2 6 4" xfId="10964" xr:uid="{00000000-0005-0000-0000-0000A6110000}"/>
    <cellStyle name="Millares 12 2 6 5" xfId="17728" xr:uid="{00000000-0005-0000-0000-0000A7110000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3" xfId="22567" xr:uid="{00000000-0005-0000-0000-0000AC110000}"/>
    <cellStyle name="Millares 12 2 7 2 3" xfId="12652" xr:uid="{00000000-0005-0000-0000-0000AD110000}"/>
    <cellStyle name="Millares 12 2 7 2 4" xfId="19339" xr:uid="{00000000-0005-0000-0000-0000AE110000}"/>
    <cellStyle name="Millares 12 2 7 3" xfId="8071" xr:uid="{00000000-0005-0000-0000-0000AF110000}"/>
    <cellStyle name="Millares 12 2 7 3 2" xfId="14649" xr:uid="{00000000-0005-0000-0000-0000B0110000}"/>
    <cellStyle name="Millares 12 2 7 3 3" xfId="21336" xr:uid="{00000000-0005-0000-0000-0000B1110000}"/>
    <cellStyle name="Millares 12 2 7 4" xfId="11373" xr:uid="{00000000-0005-0000-0000-0000B2110000}"/>
    <cellStyle name="Millares 12 2 7 5" xfId="18108" xr:uid="{00000000-0005-0000-0000-0000B3110000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3" xfId="20560" xr:uid="{00000000-0005-0000-0000-0000B7110000}"/>
    <cellStyle name="Millares 12 2 8 3" xfId="10557" xr:uid="{00000000-0005-0000-0000-0000B8110000}"/>
    <cellStyle name="Millares 12 2 8 4" xfId="17332" xr:uid="{00000000-0005-0000-0000-0000B9110000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3" xfId="21791" xr:uid="{00000000-0005-0000-0000-0000BD110000}"/>
    <cellStyle name="Millares 12 2 9 3" xfId="11876" xr:uid="{00000000-0005-0000-0000-0000BE110000}"/>
    <cellStyle name="Millares 12 2 9 4" xfId="18563" xr:uid="{00000000-0005-0000-0000-0000BF110000}"/>
    <cellStyle name="Millares 12 3" xfId="311" xr:uid="{00000000-0005-0000-0000-0000C0110000}"/>
    <cellStyle name="Millares 12 3 10" xfId="9777" xr:uid="{00000000-0005-0000-0000-0000C1110000}"/>
    <cellStyle name="Millares 12 3 11" xfId="11415" xr:uid="{00000000-0005-0000-0000-0000C2110000}"/>
    <cellStyle name="Millares 12 3 12" xfId="16577" xr:uid="{00000000-0005-0000-0000-0000C3110000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3" xfId="21695" xr:uid="{00000000-0005-0000-0000-0000CA110000}"/>
    <cellStyle name="Millares 12 3 2 2 2 2 3" xfId="11778" xr:uid="{00000000-0005-0000-0000-0000CB110000}"/>
    <cellStyle name="Millares 12 3 2 2 2 2 4" xfId="18467" xr:uid="{00000000-0005-0000-0000-0000CC110000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3" xfId="22926" xr:uid="{00000000-0005-0000-0000-0000D0110000}"/>
    <cellStyle name="Millares 12 3 2 2 2 3 3" xfId="13011" xr:uid="{00000000-0005-0000-0000-0000D1110000}"/>
    <cellStyle name="Millares 12 3 2 2 2 3 4" xfId="19698" xr:uid="{00000000-0005-0000-0000-0000D2110000}"/>
    <cellStyle name="Millares 12 3 2 2 2 4" xfId="7213" xr:uid="{00000000-0005-0000-0000-0000D3110000}"/>
    <cellStyle name="Millares 12 3 2 2 2 4 2" xfId="13791" xr:uid="{00000000-0005-0000-0000-0000D4110000}"/>
    <cellStyle name="Millares 12 3 2 2 2 4 3" xfId="20478" xr:uid="{00000000-0005-0000-0000-0000D5110000}"/>
    <cellStyle name="Millares 12 3 2 2 2 5" xfId="10474" xr:uid="{00000000-0005-0000-0000-0000D6110000}"/>
    <cellStyle name="Millares 12 3 2 2 2 6" xfId="17250" xr:uid="{00000000-0005-0000-0000-0000D7110000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3" xfId="21085" xr:uid="{00000000-0005-0000-0000-0000DB110000}"/>
    <cellStyle name="Millares 12 3 2 2 3 3" xfId="11102" xr:uid="{00000000-0005-0000-0000-0000DC110000}"/>
    <cellStyle name="Millares 12 3 2 2 3 4" xfId="17857" xr:uid="{00000000-0005-0000-0000-0000DD110000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3" xfId="22316" xr:uid="{00000000-0005-0000-0000-0000E1110000}"/>
    <cellStyle name="Millares 12 3 2 2 4 3" xfId="12401" xr:uid="{00000000-0005-0000-0000-0000E2110000}"/>
    <cellStyle name="Millares 12 3 2 2 4 4" xfId="19088" xr:uid="{00000000-0005-0000-0000-0000E3110000}"/>
    <cellStyle name="Millares 12 3 2 2 5" xfId="6825" xr:uid="{00000000-0005-0000-0000-0000E4110000}"/>
    <cellStyle name="Millares 12 3 2 2 5 2" xfId="13403" xr:uid="{00000000-0005-0000-0000-0000E5110000}"/>
    <cellStyle name="Millares 12 3 2 2 5 3" xfId="20090" xr:uid="{00000000-0005-0000-0000-0000E6110000}"/>
    <cellStyle name="Millares 12 3 2 2 6" xfId="10083" xr:uid="{00000000-0005-0000-0000-0000E7110000}"/>
    <cellStyle name="Millares 12 3 2 2 7" xfId="16862" xr:uid="{00000000-0005-0000-0000-0000E8110000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3" xfId="21451" xr:uid="{00000000-0005-0000-0000-0000ED110000}"/>
    <cellStyle name="Millares 12 3 2 3 2 3" xfId="11512" xr:uid="{00000000-0005-0000-0000-0000EE110000}"/>
    <cellStyle name="Millares 12 3 2 3 2 4" xfId="18223" xr:uid="{00000000-0005-0000-0000-0000EF11000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3" xfId="22682" xr:uid="{00000000-0005-0000-0000-0000F3110000}"/>
    <cellStyle name="Millares 12 3 2 3 3 3" xfId="12767" xr:uid="{00000000-0005-0000-0000-0000F4110000}"/>
    <cellStyle name="Millares 12 3 2 3 3 4" xfId="19454" xr:uid="{00000000-0005-0000-0000-0000F5110000}"/>
    <cellStyle name="Millares 12 3 2 3 4" xfId="7020" xr:uid="{00000000-0005-0000-0000-0000F6110000}"/>
    <cellStyle name="Millares 12 3 2 3 4 2" xfId="13598" xr:uid="{00000000-0005-0000-0000-0000F7110000}"/>
    <cellStyle name="Millares 12 3 2 3 4 3" xfId="20285" xr:uid="{00000000-0005-0000-0000-0000F8110000}"/>
    <cellStyle name="Millares 12 3 2 3 5" xfId="10281" xr:uid="{00000000-0005-0000-0000-0000F9110000}"/>
    <cellStyle name="Millares 12 3 2 3 6" xfId="17057" xr:uid="{00000000-0005-0000-0000-0000FA110000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3" xfId="20689" xr:uid="{00000000-0005-0000-0000-0000FE110000}"/>
    <cellStyle name="Millares 12 3 2 4 3" xfId="10686" xr:uid="{00000000-0005-0000-0000-0000FF110000}"/>
    <cellStyle name="Millares 12 3 2 4 4" xfId="17461" xr:uid="{00000000-0005-0000-0000-000000120000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3" xfId="21920" xr:uid="{00000000-0005-0000-0000-000004120000}"/>
    <cellStyle name="Millares 12 3 2 5 3" xfId="12005" xr:uid="{00000000-0005-0000-0000-000005120000}"/>
    <cellStyle name="Millares 12 3 2 5 4" xfId="18692" xr:uid="{00000000-0005-0000-0000-000006120000}"/>
    <cellStyle name="Millares 12 3 2 6" xfId="6632" xr:uid="{00000000-0005-0000-0000-000007120000}"/>
    <cellStyle name="Millares 12 3 2 6 2" xfId="13210" xr:uid="{00000000-0005-0000-0000-000008120000}"/>
    <cellStyle name="Millares 12 3 2 6 3" xfId="19897" xr:uid="{00000000-0005-0000-0000-000009120000}"/>
    <cellStyle name="Millares 12 3 2 7" xfId="9875" xr:uid="{00000000-0005-0000-0000-00000A120000}"/>
    <cellStyle name="Millares 12 3 2 8" xfId="16669" xr:uid="{00000000-0005-0000-0000-00000B120000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3" xfId="21126" xr:uid="{00000000-0005-0000-0000-000011120000}"/>
    <cellStyle name="Millares 12 3 3 2 2 3" xfId="11148" xr:uid="{00000000-0005-0000-0000-000012120000}"/>
    <cellStyle name="Millares 12 3 3 2 2 4" xfId="17898" xr:uid="{00000000-0005-0000-0000-000013120000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3" xfId="22357" xr:uid="{00000000-0005-0000-0000-000017120000}"/>
    <cellStyle name="Millares 12 3 3 2 3 3" xfId="12442" xr:uid="{00000000-0005-0000-0000-000018120000}"/>
    <cellStyle name="Millares 12 3 3 2 3 4" xfId="19129" xr:uid="{00000000-0005-0000-0000-000019120000}"/>
    <cellStyle name="Millares 12 3 3 2 4" xfId="7121" xr:uid="{00000000-0005-0000-0000-00001A120000}"/>
    <cellStyle name="Millares 12 3 3 2 4 2" xfId="13699" xr:uid="{00000000-0005-0000-0000-00001B120000}"/>
    <cellStyle name="Millares 12 3 3 2 4 3" xfId="20386" xr:uid="{00000000-0005-0000-0000-00001C120000}"/>
    <cellStyle name="Millares 12 3 3 2 5" xfId="10382" xr:uid="{00000000-0005-0000-0000-00001D120000}"/>
    <cellStyle name="Millares 12 3 3 2 6" xfId="17158" xr:uid="{00000000-0005-0000-0000-00001E120000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3" xfId="22834" xr:uid="{00000000-0005-0000-0000-000023120000}"/>
    <cellStyle name="Millares 12 3 3 3 2 3" xfId="12919" xr:uid="{00000000-0005-0000-0000-000024120000}"/>
    <cellStyle name="Millares 12 3 3 3 2 4" xfId="19606" xr:uid="{00000000-0005-0000-0000-000025120000}"/>
    <cellStyle name="Millares 12 3 3 3 3" xfId="8338" xr:uid="{00000000-0005-0000-0000-000026120000}"/>
    <cellStyle name="Millares 12 3 3 3 3 2" xfId="14916" xr:uid="{00000000-0005-0000-0000-000027120000}"/>
    <cellStyle name="Millares 12 3 3 3 3 3" xfId="21603" xr:uid="{00000000-0005-0000-0000-000028120000}"/>
    <cellStyle name="Millares 12 3 3 3 4" xfId="11673" xr:uid="{00000000-0005-0000-0000-000029120000}"/>
    <cellStyle name="Millares 12 3 3 3 5" xfId="18375" xr:uid="{00000000-0005-0000-0000-00002A120000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3" xfId="20730" xr:uid="{00000000-0005-0000-0000-00002E120000}"/>
    <cellStyle name="Millares 12 3 3 4 3" xfId="10727" xr:uid="{00000000-0005-0000-0000-00002F120000}"/>
    <cellStyle name="Millares 12 3 3 4 4" xfId="17502" xr:uid="{00000000-0005-0000-0000-000030120000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3" xfId="21961" xr:uid="{00000000-0005-0000-0000-000034120000}"/>
    <cellStyle name="Millares 12 3 3 5 3" xfId="12046" xr:uid="{00000000-0005-0000-0000-000035120000}"/>
    <cellStyle name="Millares 12 3 3 5 4" xfId="18733" xr:uid="{00000000-0005-0000-0000-000036120000}"/>
    <cellStyle name="Millares 12 3 3 6" xfId="6733" xr:uid="{00000000-0005-0000-0000-000037120000}"/>
    <cellStyle name="Millares 12 3 3 6 2" xfId="13311" xr:uid="{00000000-0005-0000-0000-000038120000}"/>
    <cellStyle name="Millares 12 3 3 6 3" xfId="19998" xr:uid="{00000000-0005-0000-0000-000039120000}"/>
    <cellStyle name="Millares 12 3 3 7" xfId="9982" xr:uid="{00000000-0005-0000-0000-00003A120000}"/>
    <cellStyle name="Millares 12 3 3 8" xfId="16770" xr:uid="{00000000-0005-0000-0000-00003B120000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3" xfId="22498" xr:uid="{00000000-0005-0000-0000-000041120000}"/>
    <cellStyle name="Millares 12 3 4 2 2 3" xfId="12583" xr:uid="{00000000-0005-0000-0000-000042120000}"/>
    <cellStyle name="Millares 12 3 4 2 2 4" xfId="19270" xr:uid="{00000000-0005-0000-0000-000043120000}"/>
    <cellStyle name="Millares 12 3 4 2 3" xfId="8002" xr:uid="{00000000-0005-0000-0000-000044120000}"/>
    <cellStyle name="Millares 12 3 4 2 3 2" xfId="14580" xr:uid="{00000000-0005-0000-0000-000045120000}"/>
    <cellStyle name="Millares 12 3 4 2 3 3" xfId="21267" xr:uid="{00000000-0005-0000-0000-000046120000}"/>
    <cellStyle name="Millares 12 3 4 2 4" xfId="11300" xr:uid="{00000000-0005-0000-0000-000047120000}"/>
    <cellStyle name="Millares 12 3 4 2 5" xfId="18039" xr:uid="{00000000-0005-0000-0000-000048120000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3" xfId="20871" xr:uid="{00000000-0005-0000-0000-00004C120000}"/>
    <cellStyle name="Millares 12 3 4 3 3" xfId="10874" xr:uid="{00000000-0005-0000-0000-00004D120000}"/>
    <cellStyle name="Millares 12 3 4 3 4" xfId="17643" xr:uid="{00000000-0005-0000-0000-00004E120000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3" xfId="22102" xr:uid="{00000000-0005-0000-0000-000052120000}"/>
    <cellStyle name="Millares 12 3 4 4 3" xfId="12187" xr:uid="{00000000-0005-0000-0000-000053120000}"/>
    <cellStyle name="Millares 12 3 4 4 4" xfId="18874" xr:uid="{00000000-0005-0000-0000-000054120000}"/>
    <cellStyle name="Millares 12 3 4 5" xfId="6928" xr:uid="{00000000-0005-0000-0000-000055120000}"/>
    <cellStyle name="Millares 12 3 4 5 2" xfId="13506" xr:uid="{00000000-0005-0000-0000-000056120000}"/>
    <cellStyle name="Millares 12 3 4 5 3" xfId="20193" xr:uid="{00000000-0005-0000-0000-000057120000}"/>
    <cellStyle name="Millares 12 3 4 6" xfId="10189" xr:uid="{00000000-0005-0000-0000-000058120000}"/>
    <cellStyle name="Millares 12 3 4 7" xfId="16965" xr:uid="{00000000-0005-0000-0000-000059120000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3" xfId="22210" xr:uid="{00000000-0005-0000-0000-00005E120000}"/>
    <cellStyle name="Millares 12 3 5 2 3" xfId="12295" xr:uid="{00000000-0005-0000-0000-00005F120000}"/>
    <cellStyle name="Millares 12 3 5 2 4" xfId="18982" xr:uid="{00000000-0005-0000-0000-000060120000}"/>
    <cellStyle name="Millares 12 3 5 3" xfId="7714" xr:uid="{00000000-0005-0000-0000-000061120000}"/>
    <cellStyle name="Millares 12 3 5 3 2" xfId="14292" xr:uid="{00000000-0005-0000-0000-000062120000}"/>
    <cellStyle name="Millares 12 3 5 3 3" xfId="20979" xr:uid="{00000000-0005-0000-0000-000063120000}"/>
    <cellStyle name="Millares 12 3 5 4" xfId="10990" xr:uid="{00000000-0005-0000-0000-000064120000}"/>
    <cellStyle name="Millares 12 3 5 5" xfId="17751" xr:uid="{00000000-0005-0000-0000-000065120000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3" xfId="22590" xr:uid="{00000000-0005-0000-0000-00006A120000}"/>
    <cellStyle name="Millares 12 3 6 2 3" xfId="12675" xr:uid="{00000000-0005-0000-0000-00006B120000}"/>
    <cellStyle name="Millares 12 3 6 2 4" xfId="19362" xr:uid="{00000000-0005-0000-0000-00006C120000}"/>
    <cellStyle name="Millares 12 3 6 3" xfId="8094" xr:uid="{00000000-0005-0000-0000-00006D120000}"/>
    <cellStyle name="Millares 12 3 6 3 2" xfId="14672" xr:uid="{00000000-0005-0000-0000-00006E120000}"/>
    <cellStyle name="Millares 12 3 6 3 3" xfId="21359" xr:uid="{00000000-0005-0000-0000-00006F120000}"/>
    <cellStyle name="Millares 12 3 6 4" xfId="11400" xr:uid="{00000000-0005-0000-0000-000070120000}"/>
    <cellStyle name="Millares 12 3 6 5" xfId="18131" xr:uid="{00000000-0005-0000-0000-000071120000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3" xfId="20583" xr:uid="{00000000-0005-0000-0000-000075120000}"/>
    <cellStyle name="Millares 12 3 7 3" xfId="10580" xr:uid="{00000000-0005-0000-0000-000076120000}"/>
    <cellStyle name="Millares 12 3 7 4" xfId="17355" xr:uid="{00000000-0005-0000-0000-000077120000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3" xfId="21814" xr:uid="{00000000-0005-0000-0000-00007B120000}"/>
    <cellStyle name="Millares 12 3 8 3" xfId="11899" xr:uid="{00000000-0005-0000-0000-00007C120000}"/>
    <cellStyle name="Millares 12 3 8 4" xfId="18586" xr:uid="{00000000-0005-0000-0000-00007D120000}"/>
    <cellStyle name="Millares 12 3 9" xfId="6540" xr:uid="{00000000-0005-0000-0000-00007E120000}"/>
    <cellStyle name="Millares 12 3 9 2" xfId="13118" xr:uid="{00000000-0005-0000-0000-00007F120000}"/>
    <cellStyle name="Millares 12 3 9 3" xfId="19805" xr:uid="{00000000-0005-0000-0000-000080120000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3" xfId="21650" xr:uid="{00000000-0005-0000-0000-000087120000}"/>
    <cellStyle name="Millares 12 4 2 2 2 3" xfId="11728" xr:uid="{00000000-0005-0000-0000-000088120000}"/>
    <cellStyle name="Millares 12 4 2 2 2 4" xfId="18422" xr:uid="{00000000-0005-0000-0000-000089120000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3" xfId="22881" xr:uid="{00000000-0005-0000-0000-00008D120000}"/>
    <cellStyle name="Millares 12 4 2 2 3 3" xfId="12966" xr:uid="{00000000-0005-0000-0000-00008E120000}"/>
    <cellStyle name="Millares 12 4 2 2 3 4" xfId="19653" xr:uid="{00000000-0005-0000-0000-00008F120000}"/>
    <cellStyle name="Millares 12 4 2 2 4" xfId="7168" xr:uid="{00000000-0005-0000-0000-000090120000}"/>
    <cellStyle name="Millares 12 4 2 2 4 2" xfId="13746" xr:uid="{00000000-0005-0000-0000-000091120000}"/>
    <cellStyle name="Millares 12 4 2 2 4 3" xfId="20433" xr:uid="{00000000-0005-0000-0000-000092120000}"/>
    <cellStyle name="Millares 12 4 2 2 5" xfId="10429" xr:uid="{00000000-0005-0000-0000-000093120000}"/>
    <cellStyle name="Millares 12 4 2 2 6" xfId="17205" xr:uid="{00000000-0005-0000-0000-000094120000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3" xfId="21039" xr:uid="{00000000-0005-0000-0000-000098120000}"/>
    <cellStyle name="Millares 12 4 2 3 3" xfId="11055" xr:uid="{00000000-0005-0000-0000-000099120000}"/>
    <cellStyle name="Millares 12 4 2 3 4" xfId="17811" xr:uid="{00000000-0005-0000-0000-00009A12000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3" xfId="22270" xr:uid="{00000000-0005-0000-0000-00009E120000}"/>
    <cellStyle name="Millares 12 4 2 4 3" xfId="12355" xr:uid="{00000000-0005-0000-0000-00009F120000}"/>
    <cellStyle name="Millares 12 4 2 4 4" xfId="19042" xr:uid="{00000000-0005-0000-0000-0000A0120000}"/>
    <cellStyle name="Millares 12 4 2 5" xfId="6780" xr:uid="{00000000-0005-0000-0000-0000A1120000}"/>
    <cellStyle name="Millares 12 4 2 5 2" xfId="13358" xr:uid="{00000000-0005-0000-0000-0000A2120000}"/>
    <cellStyle name="Millares 12 4 2 5 3" xfId="20045" xr:uid="{00000000-0005-0000-0000-0000A3120000}"/>
    <cellStyle name="Millares 12 4 2 6" xfId="10035" xr:uid="{00000000-0005-0000-0000-0000A4120000}"/>
    <cellStyle name="Millares 12 4 2 7" xfId="16817" xr:uid="{00000000-0005-0000-0000-0000A5120000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3" xfId="21406" xr:uid="{00000000-0005-0000-0000-0000AA120000}"/>
    <cellStyle name="Millares 12 4 3 2 3" xfId="11454" xr:uid="{00000000-0005-0000-0000-0000AB120000}"/>
    <cellStyle name="Millares 12 4 3 2 4" xfId="18178" xr:uid="{00000000-0005-0000-0000-0000AC120000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3" xfId="22637" xr:uid="{00000000-0005-0000-0000-0000B0120000}"/>
    <cellStyle name="Millares 12 4 3 3 3" xfId="12722" xr:uid="{00000000-0005-0000-0000-0000B1120000}"/>
    <cellStyle name="Millares 12 4 3 3 4" xfId="19409" xr:uid="{00000000-0005-0000-0000-0000B2120000}"/>
    <cellStyle name="Millares 12 4 3 4" xfId="6975" xr:uid="{00000000-0005-0000-0000-0000B3120000}"/>
    <cellStyle name="Millares 12 4 3 4 2" xfId="13553" xr:uid="{00000000-0005-0000-0000-0000B4120000}"/>
    <cellStyle name="Millares 12 4 3 4 3" xfId="20240" xr:uid="{00000000-0005-0000-0000-0000B5120000}"/>
    <cellStyle name="Millares 12 4 3 5" xfId="10236" xr:uid="{00000000-0005-0000-0000-0000B6120000}"/>
    <cellStyle name="Millares 12 4 3 6" xfId="17012" xr:uid="{00000000-0005-0000-0000-0000B7120000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3" xfId="20643" xr:uid="{00000000-0005-0000-0000-0000BB120000}"/>
    <cellStyle name="Millares 12 4 4 3" xfId="10640" xr:uid="{00000000-0005-0000-0000-0000BC120000}"/>
    <cellStyle name="Millares 12 4 4 4" xfId="17415" xr:uid="{00000000-0005-0000-0000-0000BD120000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3" xfId="21874" xr:uid="{00000000-0005-0000-0000-0000C1120000}"/>
    <cellStyle name="Millares 12 4 5 3" xfId="11959" xr:uid="{00000000-0005-0000-0000-0000C2120000}"/>
    <cellStyle name="Millares 12 4 5 4" xfId="18646" xr:uid="{00000000-0005-0000-0000-0000C3120000}"/>
    <cellStyle name="Millares 12 4 6" xfId="6587" xr:uid="{00000000-0005-0000-0000-0000C4120000}"/>
    <cellStyle name="Millares 12 4 6 2" xfId="13165" xr:uid="{00000000-0005-0000-0000-0000C5120000}"/>
    <cellStyle name="Millares 12 4 6 3" xfId="19852" xr:uid="{00000000-0005-0000-0000-0000C6120000}"/>
    <cellStyle name="Millares 12 4 7" xfId="9825" xr:uid="{00000000-0005-0000-0000-0000C7120000}"/>
    <cellStyle name="Millares 12 4 8" xfId="16624" xr:uid="{00000000-0005-0000-0000-0000C8120000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3" xfId="21123" xr:uid="{00000000-0005-0000-0000-0000CE120000}"/>
    <cellStyle name="Millares 12 5 2 2 3" xfId="11145" xr:uid="{00000000-0005-0000-0000-0000CF120000}"/>
    <cellStyle name="Millares 12 5 2 2 4" xfId="17895" xr:uid="{00000000-0005-0000-0000-0000D0120000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3" xfId="22354" xr:uid="{00000000-0005-0000-0000-0000D4120000}"/>
    <cellStyle name="Millares 12 5 2 3 3" xfId="12439" xr:uid="{00000000-0005-0000-0000-0000D5120000}"/>
    <cellStyle name="Millares 12 5 2 3 4" xfId="19126" xr:uid="{00000000-0005-0000-0000-0000D6120000}"/>
    <cellStyle name="Millares 12 5 2 4" xfId="7074" xr:uid="{00000000-0005-0000-0000-0000D7120000}"/>
    <cellStyle name="Millares 12 5 2 4 2" xfId="13652" xr:uid="{00000000-0005-0000-0000-0000D8120000}"/>
    <cellStyle name="Millares 12 5 2 4 3" xfId="20339" xr:uid="{00000000-0005-0000-0000-0000D9120000}"/>
    <cellStyle name="Millares 12 5 2 5" xfId="10335" xr:uid="{00000000-0005-0000-0000-0000DA120000}"/>
    <cellStyle name="Millares 12 5 2 6" xfId="17111" xr:uid="{00000000-0005-0000-0000-0000DB120000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3" xfId="22787" xr:uid="{00000000-0005-0000-0000-0000E0120000}"/>
    <cellStyle name="Millares 12 5 3 2 3" xfId="12872" xr:uid="{00000000-0005-0000-0000-0000E1120000}"/>
    <cellStyle name="Millares 12 5 3 2 4" xfId="19559" xr:uid="{00000000-0005-0000-0000-0000E2120000}"/>
    <cellStyle name="Millares 12 5 3 3" xfId="8291" xr:uid="{00000000-0005-0000-0000-0000E3120000}"/>
    <cellStyle name="Millares 12 5 3 3 2" xfId="14869" xr:uid="{00000000-0005-0000-0000-0000E4120000}"/>
    <cellStyle name="Millares 12 5 3 3 3" xfId="21556" xr:uid="{00000000-0005-0000-0000-0000E5120000}"/>
    <cellStyle name="Millares 12 5 3 4" xfId="11622" xr:uid="{00000000-0005-0000-0000-0000E6120000}"/>
    <cellStyle name="Millares 12 5 3 5" xfId="18328" xr:uid="{00000000-0005-0000-0000-0000E7120000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3" xfId="20727" xr:uid="{00000000-0005-0000-0000-0000EB120000}"/>
    <cellStyle name="Millares 12 5 4 3" xfId="10724" xr:uid="{00000000-0005-0000-0000-0000EC120000}"/>
    <cellStyle name="Millares 12 5 4 4" xfId="17499" xr:uid="{00000000-0005-0000-0000-0000ED120000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3" xfId="21958" xr:uid="{00000000-0005-0000-0000-0000F1120000}"/>
    <cellStyle name="Millares 12 5 5 3" xfId="12043" xr:uid="{00000000-0005-0000-0000-0000F2120000}"/>
    <cellStyle name="Millares 12 5 5 4" xfId="18730" xr:uid="{00000000-0005-0000-0000-0000F3120000}"/>
    <cellStyle name="Millares 12 5 6" xfId="6686" xr:uid="{00000000-0005-0000-0000-0000F4120000}"/>
    <cellStyle name="Millares 12 5 6 2" xfId="13264" xr:uid="{00000000-0005-0000-0000-0000F5120000}"/>
    <cellStyle name="Millares 12 5 6 3" xfId="19951" xr:uid="{00000000-0005-0000-0000-0000F6120000}"/>
    <cellStyle name="Millares 12 5 7" xfId="9932" xr:uid="{00000000-0005-0000-0000-0000F7120000}"/>
    <cellStyle name="Millares 12 5 8" xfId="16723" xr:uid="{00000000-0005-0000-0000-0000F812000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3" xfId="22453" xr:uid="{00000000-0005-0000-0000-0000FE120000}"/>
    <cellStyle name="Millares 12 6 2 2 3" xfId="12538" xr:uid="{00000000-0005-0000-0000-0000FF120000}"/>
    <cellStyle name="Millares 12 6 2 2 4" xfId="19225" xr:uid="{00000000-0005-0000-0000-000000130000}"/>
    <cellStyle name="Millares 12 6 2 3" xfId="7957" xr:uid="{00000000-0005-0000-0000-000001130000}"/>
    <cellStyle name="Millares 12 6 2 3 2" xfId="14535" xr:uid="{00000000-0005-0000-0000-000002130000}"/>
    <cellStyle name="Millares 12 6 2 3 3" xfId="21222" xr:uid="{00000000-0005-0000-0000-000003130000}"/>
    <cellStyle name="Millares 12 6 2 4" xfId="11251" xr:uid="{00000000-0005-0000-0000-000004130000}"/>
    <cellStyle name="Millares 12 6 2 5" xfId="17994" xr:uid="{00000000-0005-0000-0000-000005130000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3" xfId="20826" xr:uid="{00000000-0005-0000-0000-000009130000}"/>
    <cellStyle name="Millares 12 6 3 3" xfId="10824" xr:uid="{00000000-0005-0000-0000-00000A130000}"/>
    <cellStyle name="Millares 12 6 3 4" xfId="17598" xr:uid="{00000000-0005-0000-0000-00000B130000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3" xfId="22057" xr:uid="{00000000-0005-0000-0000-00000F130000}"/>
    <cellStyle name="Millares 12 6 4 3" xfId="12142" xr:uid="{00000000-0005-0000-0000-000010130000}"/>
    <cellStyle name="Millares 12 6 4 4" xfId="18829" xr:uid="{00000000-0005-0000-0000-000011130000}"/>
    <cellStyle name="Millares 12 6 5" xfId="6881" xr:uid="{00000000-0005-0000-0000-000012130000}"/>
    <cellStyle name="Millares 12 6 5 2" xfId="13459" xr:uid="{00000000-0005-0000-0000-000013130000}"/>
    <cellStyle name="Millares 12 6 5 3" xfId="20146" xr:uid="{00000000-0005-0000-0000-000014130000}"/>
    <cellStyle name="Millares 12 6 6" xfId="10142" xr:uid="{00000000-0005-0000-0000-000015130000}"/>
    <cellStyle name="Millares 12 6 7" xfId="16918" xr:uid="{00000000-0005-0000-0000-000016130000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3" xfId="22164" xr:uid="{00000000-0005-0000-0000-00001B130000}"/>
    <cellStyle name="Millares 12 7 2 3" xfId="12249" xr:uid="{00000000-0005-0000-0000-00001C130000}"/>
    <cellStyle name="Millares 12 7 2 4" xfId="18936" xr:uid="{00000000-0005-0000-0000-00001D130000}"/>
    <cellStyle name="Millares 12 7 3" xfId="7668" xr:uid="{00000000-0005-0000-0000-00001E130000}"/>
    <cellStyle name="Millares 12 7 3 2" xfId="14246" xr:uid="{00000000-0005-0000-0000-00001F130000}"/>
    <cellStyle name="Millares 12 7 3 3" xfId="20933" xr:uid="{00000000-0005-0000-0000-000020130000}"/>
    <cellStyle name="Millares 12 7 4" xfId="10940" xr:uid="{00000000-0005-0000-0000-000021130000}"/>
    <cellStyle name="Millares 12 7 5" xfId="17705" xr:uid="{00000000-0005-0000-0000-000022130000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3" xfId="22545" xr:uid="{00000000-0005-0000-0000-000027130000}"/>
    <cellStyle name="Millares 12 8 2 3" xfId="12630" xr:uid="{00000000-0005-0000-0000-000028130000}"/>
    <cellStyle name="Millares 12 8 2 4" xfId="19317" xr:uid="{00000000-0005-0000-0000-000029130000}"/>
    <cellStyle name="Millares 12 8 3" xfId="8049" xr:uid="{00000000-0005-0000-0000-00002A130000}"/>
    <cellStyle name="Millares 12 8 3 2" xfId="14627" xr:uid="{00000000-0005-0000-0000-00002B130000}"/>
    <cellStyle name="Millares 12 8 3 3" xfId="21314" xr:uid="{00000000-0005-0000-0000-00002C130000}"/>
    <cellStyle name="Millares 12 8 4" xfId="11350" xr:uid="{00000000-0005-0000-0000-00002D130000}"/>
    <cellStyle name="Millares 12 8 5" xfId="18086" xr:uid="{00000000-0005-0000-0000-00002E130000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3" xfId="20537" xr:uid="{00000000-0005-0000-0000-000032130000}"/>
    <cellStyle name="Millares 12 9 3" xfId="10534" xr:uid="{00000000-0005-0000-0000-000033130000}"/>
    <cellStyle name="Millares 12 9 4" xfId="17309" xr:uid="{00000000-0005-0000-0000-000034130000}"/>
    <cellStyle name="Millares 13" xfId="146" xr:uid="{00000000-0005-0000-0000-000035130000}"/>
    <cellStyle name="Millares 13 2" xfId="869" xr:uid="{00000000-0005-0000-0000-000036130000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3" xfId="21040" xr:uid="{00000000-0005-0000-0000-00003B130000}"/>
    <cellStyle name="Millares 13 2 2 2 3" xfId="11056" xr:uid="{00000000-0005-0000-0000-00003C130000}"/>
    <cellStyle name="Millares 13 2 2 2 4" xfId="17812" xr:uid="{00000000-0005-0000-0000-00003D130000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3" xfId="22271" xr:uid="{00000000-0005-0000-0000-000041130000}"/>
    <cellStyle name="Millares 13 2 2 3 3" xfId="12356" xr:uid="{00000000-0005-0000-0000-000042130000}"/>
    <cellStyle name="Millares 13 2 2 3 4" xfId="19043" xr:uid="{00000000-0005-0000-0000-000043130000}"/>
    <cellStyle name="Millares 13 2 2 4" xfId="7075" xr:uid="{00000000-0005-0000-0000-000044130000}"/>
    <cellStyle name="Millares 13 2 2 4 2" xfId="13653" xr:uid="{00000000-0005-0000-0000-000045130000}"/>
    <cellStyle name="Millares 13 2 2 4 3" xfId="20340" xr:uid="{00000000-0005-0000-0000-000046130000}"/>
    <cellStyle name="Millares 13 2 2 5" xfId="10336" xr:uid="{00000000-0005-0000-0000-000047130000}"/>
    <cellStyle name="Millares 13 2 2 6" xfId="16382" xr:uid="{00000000-0005-0000-0000-000048130000}"/>
    <cellStyle name="Millares 13 2 2 7" xfId="17112" xr:uid="{00000000-0005-0000-0000-000049130000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3" xfId="22788" xr:uid="{00000000-0005-0000-0000-00004E130000}"/>
    <cellStyle name="Millares 13 2 3 2 3" xfId="12873" xr:uid="{00000000-0005-0000-0000-00004F130000}"/>
    <cellStyle name="Millares 13 2 3 2 4" xfId="19560" xr:uid="{00000000-0005-0000-0000-000050130000}"/>
    <cellStyle name="Millares 13 2 3 3" xfId="8292" xr:uid="{00000000-0005-0000-0000-000051130000}"/>
    <cellStyle name="Millares 13 2 3 3 2" xfId="14870" xr:uid="{00000000-0005-0000-0000-000052130000}"/>
    <cellStyle name="Millares 13 2 3 3 3" xfId="21557" xr:uid="{00000000-0005-0000-0000-000053130000}"/>
    <cellStyle name="Millares 13 2 3 4" xfId="11623" xr:uid="{00000000-0005-0000-0000-000054130000}"/>
    <cellStyle name="Millares 13 2 3 5" xfId="18329" xr:uid="{00000000-0005-0000-0000-000055130000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3" xfId="20644" xr:uid="{00000000-0005-0000-0000-000059130000}"/>
    <cellStyle name="Millares 13 2 4 3" xfId="10641" xr:uid="{00000000-0005-0000-0000-00005A130000}"/>
    <cellStyle name="Millares 13 2 4 4" xfId="17416" xr:uid="{00000000-0005-0000-0000-00005B130000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3" xfId="21875" xr:uid="{00000000-0005-0000-0000-00005F130000}"/>
    <cellStyle name="Millares 13 2 5 3" xfId="11960" xr:uid="{00000000-0005-0000-0000-000060130000}"/>
    <cellStyle name="Millares 13 2 5 4" xfId="18647" xr:uid="{00000000-0005-0000-0000-000061130000}"/>
    <cellStyle name="Millares 13 2 6" xfId="6687" xr:uid="{00000000-0005-0000-0000-000062130000}"/>
    <cellStyle name="Millares 13 2 6 2" xfId="13265" xr:uid="{00000000-0005-0000-0000-000063130000}"/>
    <cellStyle name="Millares 13 2 6 3" xfId="19952" xr:uid="{00000000-0005-0000-0000-000064130000}"/>
    <cellStyle name="Millares 13 2 7" xfId="9935" xr:uid="{00000000-0005-0000-0000-000065130000}"/>
    <cellStyle name="Millares 13 2 8" xfId="16466" xr:uid="{00000000-0005-0000-0000-000066130000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3" xfId="20934" xr:uid="{00000000-0005-0000-0000-00006C130000}"/>
    <cellStyle name="Millares 13 3 2 3" xfId="10941" xr:uid="{00000000-0005-0000-0000-00006D130000}"/>
    <cellStyle name="Millares 13 3 2 4" xfId="17706" xr:uid="{00000000-0005-0000-0000-00006E130000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3" xfId="22165" xr:uid="{00000000-0005-0000-0000-000072130000}"/>
    <cellStyle name="Millares 13 3 3 3" xfId="12250" xr:uid="{00000000-0005-0000-0000-000073130000}"/>
    <cellStyle name="Millares 13 3 3 4" xfId="18937" xr:uid="{00000000-0005-0000-0000-000074130000}"/>
    <cellStyle name="Millares 13 3 4" xfId="6882" xr:uid="{00000000-0005-0000-0000-000075130000}"/>
    <cellStyle name="Millares 13 3 4 2" xfId="13460" xr:uid="{00000000-0005-0000-0000-000076130000}"/>
    <cellStyle name="Millares 13 3 4 3" xfId="20147" xr:uid="{00000000-0005-0000-0000-000077130000}"/>
    <cellStyle name="Millares 13 3 5" xfId="10143" xr:uid="{00000000-0005-0000-0000-000078130000}"/>
    <cellStyle name="Millares 13 3 6" xfId="16290" xr:uid="{00000000-0005-0000-0000-000079130000}"/>
    <cellStyle name="Millares 13 3 7" xfId="16919" xr:uid="{00000000-0005-0000-0000-00007A130000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3" xfId="20538" xr:uid="{00000000-0005-0000-0000-00007E130000}"/>
    <cellStyle name="Millares 13 4 3" xfId="10535" xr:uid="{00000000-0005-0000-0000-00007F130000}"/>
    <cellStyle name="Millares 13 4 4" xfId="17310" xr:uid="{00000000-0005-0000-0000-000080130000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3" xfId="21769" xr:uid="{00000000-0005-0000-0000-000084130000}"/>
    <cellStyle name="Millares 13 5 3" xfId="11854" xr:uid="{00000000-0005-0000-0000-000085130000}"/>
    <cellStyle name="Millares 13 5 4" xfId="18541" xr:uid="{00000000-0005-0000-0000-000086130000}"/>
    <cellStyle name="Millares 13 6" xfId="6494" xr:uid="{00000000-0005-0000-0000-000087130000}"/>
    <cellStyle name="Millares 13 6 2" xfId="13072" xr:uid="{00000000-0005-0000-0000-000088130000}"/>
    <cellStyle name="Millares 13 6 3" xfId="19759" xr:uid="{00000000-0005-0000-0000-000089130000}"/>
    <cellStyle name="Millares 13 7" xfId="9728" xr:uid="{00000000-0005-0000-0000-00008A130000}"/>
    <cellStyle name="Millares 13 8" xfId="11629" xr:uid="{00000000-0005-0000-0000-00008B13000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3" xfId="19782" xr:uid="{00000000-0005-0000-0000-000090130000}"/>
    <cellStyle name="Millares 14 11" xfId="9752" xr:uid="{00000000-0005-0000-0000-000091130000}"/>
    <cellStyle name="Millares 14 12" xfId="16491" xr:uid="{00000000-0005-0000-0000-000092130000}"/>
    <cellStyle name="Millares 14 13" xfId="16554" xr:uid="{00000000-0005-0000-0000-000093130000}"/>
    <cellStyle name="Millares 14 2" xfId="399" xr:uid="{00000000-0005-0000-0000-000094130000}"/>
    <cellStyle name="Millares 14 2 10" xfId="9800" xr:uid="{00000000-0005-0000-0000-000095130000}"/>
    <cellStyle name="Millares 14 2 11" xfId="10903" xr:uid="{00000000-0005-0000-0000-000096130000}"/>
    <cellStyle name="Millares 14 2 12" xfId="16600" xr:uid="{00000000-0005-0000-0000-000097130000}"/>
    <cellStyle name="Millares 14 2 2" xfId="752" xr:uid="{00000000-0005-0000-0000-000098130000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3" xfId="21718" xr:uid="{00000000-0005-0000-0000-00009E130000}"/>
    <cellStyle name="Millares 14 2 2 2 2 2 3" xfId="11803" xr:uid="{00000000-0005-0000-0000-00009F130000}"/>
    <cellStyle name="Millares 14 2 2 2 2 2 4" xfId="18490" xr:uid="{00000000-0005-0000-0000-0000A0130000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3" xfId="22949" xr:uid="{00000000-0005-0000-0000-0000A4130000}"/>
    <cellStyle name="Millares 14 2 2 2 2 3 3" xfId="13034" xr:uid="{00000000-0005-0000-0000-0000A5130000}"/>
    <cellStyle name="Millares 14 2 2 2 2 3 4" xfId="19721" xr:uid="{00000000-0005-0000-0000-0000A6130000}"/>
    <cellStyle name="Millares 14 2 2 2 2 4" xfId="7236" xr:uid="{00000000-0005-0000-0000-0000A7130000}"/>
    <cellStyle name="Millares 14 2 2 2 2 4 2" xfId="13814" xr:uid="{00000000-0005-0000-0000-0000A8130000}"/>
    <cellStyle name="Millares 14 2 2 2 2 4 3" xfId="20501" xr:uid="{00000000-0005-0000-0000-0000A9130000}"/>
    <cellStyle name="Millares 14 2 2 2 2 5" xfId="10497" xr:uid="{00000000-0005-0000-0000-0000AA130000}"/>
    <cellStyle name="Millares 14 2 2 2 2 6" xfId="17273" xr:uid="{00000000-0005-0000-0000-0000AB130000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3" xfId="21108" xr:uid="{00000000-0005-0000-0000-0000AF130000}"/>
    <cellStyle name="Millares 14 2 2 2 3 3" xfId="11125" xr:uid="{00000000-0005-0000-0000-0000B0130000}"/>
    <cellStyle name="Millares 14 2 2 2 3 4" xfId="17880" xr:uid="{00000000-0005-0000-0000-0000B1130000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3" xfId="22339" xr:uid="{00000000-0005-0000-0000-0000B5130000}"/>
    <cellStyle name="Millares 14 2 2 2 4 3" xfId="12424" xr:uid="{00000000-0005-0000-0000-0000B6130000}"/>
    <cellStyle name="Millares 14 2 2 2 4 4" xfId="19111" xr:uid="{00000000-0005-0000-0000-0000B7130000}"/>
    <cellStyle name="Millares 14 2 2 2 5" xfId="6848" xr:uid="{00000000-0005-0000-0000-0000B8130000}"/>
    <cellStyle name="Millares 14 2 2 2 5 2" xfId="13426" xr:uid="{00000000-0005-0000-0000-0000B9130000}"/>
    <cellStyle name="Millares 14 2 2 2 5 3" xfId="20113" xr:uid="{00000000-0005-0000-0000-0000BA130000}"/>
    <cellStyle name="Millares 14 2 2 2 6" xfId="10108" xr:uid="{00000000-0005-0000-0000-0000BB130000}"/>
    <cellStyle name="Millares 14 2 2 2 7" xfId="16885" xr:uid="{00000000-0005-0000-0000-0000BC130000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3" xfId="21474" xr:uid="{00000000-0005-0000-0000-0000C1130000}"/>
    <cellStyle name="Millares 14 2 2 3 2 3" xfId="11538" xr:uid="{00000000-0005-0000-0000-0000C2130000}"/>
    <cellStyle name="Millares 14 2 2 3 2 4" xfId="18246" xr:uid="{00000000-0005-0000-0000-0000C3130000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3" xfId="22705" xr:uid="{00000000-0005-0000-0000-0000C7130000}"/>
    <cellStyle name="Millares 14 2 2 3 3 3" xfId="12790" xr:uid="{00000000-0005-0000-0000-0000C8130000}"/>
    <cellStyle name="Millares 14 2 2 3 3 4" xfId="19477" xr:uid="{00000000-0005-0000-0000-0000C9130000}"/>
    <cellStyle name="Millares 14 2 2 3 4" xfId="7043" xr:uid="{00000000-0005-0000-0000-0000CA130000}"/>
    <cellStyle name="Millares 14 2 2 3 4 2" xfId="13621" xr:uid="{00000000-0005-0000-0000-0000CB130000}"/>
    <cellStyle name="Millares 14 2 2 3 4 3" xfId="20308" xr:uid="{00000000-0005-0000-0000-0000CC130000}"/>
    <cellStyle name="Millares 14 2 2 3 5" xfId="10304" xr:uid="{00000000-0005-0000-0000-0000CD130000}"/>
    <cellStyle name="Millares 14 2 2 3 6" xfId="17080" xr:uid="{00000000-0005-0000-0000-0000CE130000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3" xfId="20712" xr:uid="{00000000-0005-0000-0000-0000D2130000}"/>
    <cellStyle name="Millares 14 2 2 4 3" xfId="10709" xr:uid="{00000000-0005-0000-0000-0000D3130000}"/>
    <cellStyle name="Millares 14 2 2 4 4" xfId="17484" xr:uid="{00000000-0005-0000-0000-0000D4130000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3" xfId="21943" xr:uid="{00000000-0005-0000-0000-0000D8130000}"/>
    <cellStyle name="Millares 14 2 2 5 3" xfId="12028" xr:uid="{00000000-0005-0000-0000-0000D9130000}"/>
    <cellStyle name="Millares 14 2 2 5 4" xfId="18715" xr:uid="{00000000-0005-0000-0000-0000DA130000}"/>
    <cellStyle name="Millares 14 2 2 6" xfId="6655" xr:uid="{00000000-0005-0000-0000-0000DB130000}"/>
    <cellStyle name="Millares 14 2 2 6 2" xfId="13233" xr:uid="{00000000-0005-0000-0000-0000DC130000}"/>
    <cellStyle name="Millares 14 2 2 6 3" xfId="19920" xr:uid="{00000000-0005-0000-0000-0000DD130000}"/>
    <cellStyle name="Millares 14 2 2 7" xfId="9901" xr:uid="{00000000-0005-0000-0000-0000DE130000}"/>
    <cellStyle name="Millares 14 2 2 8" xfId="16355" xr:uid="{00000000-0005-0000-0000-0000DF13000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3" xfId="21128" xr:uid="{00000000-0005-0000-0000-0000E6130000}"/>
    <cellStyle name="Millares 14 2 3 2 2 3" xfId="11150" xr:uid="{00000000-0005-0000-0000-0000E7130000}"/>
    <cellStyle name="Millares 14 2 3 2 2 4" xfId="17900" xr:uid="{00000000-0005-0000-0000-0000E8130000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3" xfId="22359" xr:uid="{00000000-0005-0000-0000-0000EC130000}"/>
    <cellStyle name="Millares 14 2 3 2 3 3" xfId="12444" xr:uid="{00000000-0005-0000-0000-0000ED130000}"/>
    <cellStyle name="Millares 14 2 3 2 3 4" xfId="19131" xr:uid="{00000000-0005-0000-0000-0000EE130000}"/>
    <cellStyle name="Millares 14 2 3 2 4" xfId="7144" xr:uid="{00000000-0005-0000-0000-0000EF130000}"/>
    <cellStyle name="Millares 14 2 3 2 4 2" xfId="13722" xr:uid="{00000000-0005-0000-0000-0000F0130000}"/>
    <cellStyle name="Millares 14 2 3 2 4 3" xfId="20409" xr:uid="{00000000-0005-0000-0000-0000F1130000}"/>
    <cellStyle name="Millares 14 2 3 2 5" xfId="10405" xr:uid="{00000000-0005-0000-0000-0000F2130000}"/>
    <cellStyle name="Millares 14 2 3 2 6" xfId="17181" xr:uid="{00000000-0005-0000-0000-0000F3130000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3" xfId="22857" xr:uid="{00000000-0005-0000-0000-0000F8130000}"/>
    <cellStyle name="Millares 14 2 3 3 2 3" xfId="12942" xr:uid="{00000000-0005-0000-0000-0000F9130000}"/>
    <cellStyle name="Millares 14 2 3 3 2 4" xfId="19629" xr:uid="{00000000-0005-0000-0000-0000FA130000}"/>
    <cellStyle name="Millares 14 2 3 3 3" xfId="8361" xr:uid="{00000000-0005-0000-0000-0000FB130000}"/>
    <cellStyle name="Millares 14 2 3 3 3 2" xfId="14939" xr:uid="{00000000-0005-0000-0000-0000FC130000}"/>
    <cellStyle name="Millares 14 2 3 3 3 3" xfId="21626" xr:uid="{00000000-0005-0000-0000-0000FD130000}"/>
    <cellStyle name="Millares 14 2 3 3 4" xfId="11702" xr:uid="{00000000-0005-0000-0000-0000FE130000}"/>
    <cellStyle name="Millares 14 2 3 3 5" xfId="18398" xr:uid="{00000000-0005-0000-0000-0000FF130000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3" xfId="20732" xr:uid="{00000000-0005-0000-0000-000003140000}"/>
    <cellStyle name="Millares 14 2 3 4 3" xfId="10729" xr:uid="{00000000-0005-0000-0000-000004140000}"/>
    <cellStyle name="Millares 14 2 3 4 4" xfId="17504" xr:uid="{00000000-0005-0000-0000-000005140000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3" xfId="21963" xr:uid="{00000000-0005-0000-0000-000009140000}"/>
    <cellStyle name="Millares 14 2 3 5 3" xfId="12048" xr:uid="{00000000-0005-0000-0000-00000A140000}"/>
    <cellStyle name="Millares 14 2 3 5 4" xfId="18735" xr:uid="{00000000-0005-0000-0000-00000B140000}"/>
    <cellStyle name="Millares 14 2 3 6" xfId="6756" xr:uid="{00000000-0005-0000-0000-00000C140000}"/>
    <cellStyle name="Millares 14 2 3 6 2" xfId="13334" xr:uid="{00000000-0005-0000-0000-00000D140000}"/>
    <cellStyle name="Millares 14 2 3 6 3" xfId="20021" xr:uid="{00000000-0005-0000-0000-00000E140000}"/>
    <cellStyle name="Millares 14 2 3 7" xfId="10008" xr:uid="{00000000-0005-0000-0000-00000F140000}"/>
    <cellStyle name="Millares 14 2 3 8" xfId="16793" xr:uid="{00000000-0005-0000-0000-000010140000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3" xfId="22521" xr:uid="{00000000-0005-0000-0000-000016140000}"/>
    <cellStyle name="Millares 14 2 4 2 2 3" xfId="12606" xr:uid="{00000000-0005-0000-0000-000017140000}"/>
    <cellStyle name="Millares 14 2 4 2 2 4" xfId="19293" xr:uid="{00000000-0005-0000-0000-000018140000}"/>
    <cellStyle name="Millares 14 2 4 2 3" xfId="8025" xr:uid="{00000000-0005-0000-0000-000019140000}"/>
    <cellStyle name="Millares 14 2 4 2 3 2" xfId="14603" xr:uid="{00000000-0005-0000-0000-00001A140000}"/>
    <cellStyle name="Millares 14 2 4 2 3 3" xfId="21290" xr:uid="{00000000-0005-0000-0000-00001B140000}"/>
    <cellStyle name="Millares 14 2 4 2 4" xfId="11324" xr:uid="{00000000-0005-0000-0000-00001C140000}"/>
    <cellStyle name="Millares 14 2 4 2 5" xfId="18062" xr:uid="{00000000-0005-0000-0000-00001D140000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3" xfId="20894" xr:uid="{00000000-0005-0000-0000-000021140000}"/>
    <cellStyle name="Millares 14 2 4 3 3" xfId="10899" xr:uid="{00000000-0005-0000-0000-000022140000}"/>
    <cellStyle name="Millares 14 2 4 3 4" xfId="17666" xr:uid="{00000000-0005-0000-0000-000023140000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3" xfId="22125" xr:uid="{00000000-0005-0000-0000-000027140000}"/>
    <cellStyle name="Millares 14 2 4 4 3" xfId="12210" xr:uid="{00000000-0005-0000-0000-000028140000}"/>
    <cellStyle name="Millares 14 2 4 4 4" xfId="18897" xr:uid="{00000000-0005-0000-0000-000029140000}"/>
    <cellStyle name="Millares 14 2 4 5" xfId="6951" xr:uid="{00000000-0005-0000-0000-00002A140000}"/>
    <cellStyle name="Millares 14 2 4 5 2" xfId="13529" xr:uid="{00000000-0005-0000-0000-00002B140000}"/>
    <cellStyle name="Millares 14 2 4 5 3" xfId="20216" xr:uid="{00000000-0005-0000-0000-00002C140000}"/>
    <cellStyle name="Millares 14 2 4 6" xfId="10212" xr:uid="{00000000-0005-0000-0000-00002D140000}"/>
    <cellStyle name="Millares 14 2 4 7" xfId="16988" xr:uid="{00000000-0005-0000-0000-00002E140000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3" xfId="22233" xr:uid="{00000000-0005-0000-0000-000033140000}"/>
    <cellStyle name="Millares 14 2 5 2 3" xfId="12318" xr:uid="{00000000-0005-0000-0000-000034140000}"/>
    <cellStyle name="Millares 14 2 5 2 4" xfId="19005" xr:uid="{00000000-0005-0000-0000-000035140000}"/>
    <cellStyle name="Millares 14 2 5 3" xfId="7737" xr:uid="{00000000-0005-0000-0000-000036140000}"/>
    <cellStyle name="Millares 14 2 5 3 2" xfId="14315" xr:uid="{00000000-0005-0000-0000-000037140000}"/>
    <cellStyle name="Millares 14 2 5 3 3" xfId="21002" xr:uid="{00000000-0005-0000-0000-000038140000}"/>
    <cellStyle name="Millares 14 2 5 4" xfId="11018" xr:uid="{00000000-0005-0000-0000-000039140000}"/>
    <cellStyle name="Millares 14 2 5 5" xfId="17774" xr:uid="{00000000-0005-0000-0000-00003A140000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3" xfId="22613" xr:uid="{00000000-0005-0000-0000-00003F140000}"/>
    <cellStyle name="Millares 14 2 6 2 3" xfId="12698" xr:uid="{00000000-0005-0000-0000-000040140000}"/>
    <cellStyle name="Millares 14 2 6 2 4" xfId="19385" xr:uid="{00000000-0005-0000-0000-000041140000}"/>
    <cellStyle name="Millares 14 2 6 3" xfId="8117" xr:uid="{00000000-0005-0000-0000-000042140000}"/>
    <cellStyle name="Millares 14 2 6 3 2" xfId="14695" xr:uid="{00000000-0005-0000-0000-000043140000}"/>
    <cellStyle name="Millares 14 2 6 3 3" xfId="21382" xr:uid="{00000000-0005-0000-0000-000044140000}"/>
    <cellStyle name="Millares 14 2 6 4" xfId="11428" xr:uid="{00000000-0005-0000-0000-000045140000}"/>
    <cellStyle name="Millares 14 2 6 5" xfId="18154" xr:uid="{00000000-0005-0000-0000-000046140000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3" xfId="20606" xr:uid="{00000000-0005-0000-0000-00004A140000}"/>
    <cellStyle name="Millares 14 2 7 3" xfId="10603" xr:uid="{00000000-0005-0000-0000-00004B140000}"/>
    <cellStyle name="Millares 14 2 7 4" xfId="17378" xr:uid="{00000000-0005-0000-0000-00004C140000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3" xfId="21837" xr:uid="{00000000-0005-0000-0000-000050140000}"/>
    <cellStyle name="Millares 14 2 8 3" xfId="11922" xr:uid="{00000000-0005-0000-0000-000051140000}"/>
    <cellStyle name="Millares 14 2 8 4" xfId="18609" xr:uid="{00000000-0005-0000-0000-000052140000}"/>
    <cellStyle name="Millares 14 2 9" xfId="6563" xr:uid="{00000000-0005-0000-0000-000053140000}"/>
    <cellStyle name="Millares 14 2 9 2" xfId="13141" xr:uid="{00000000-0005-0000-0000-000054140000}"/>
    <cellStyle name="Millares 14 2 9 3" xfId="19828" xr:uid="{00000000-0005-0000-0000-000055140000}"/>
    <cellStyle name="Millares 14 3" xfId="579" xr:uid="{00000000-0005-0000-0000-000056140000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3" xfId="21673" xr:uid="{00000000-0005-0000-0000-00005C140000}"/>
    <cellStyle name="Millares 14 3 2 2 2 3" xfId="11753" xr:uid="{00000000-0005-0000-0000-00005D140000}"/>
    <cellStyle name="Millares 14 3 2 2 2 4" xfId="18445" xr:uid="{00000000-0005-0000-0000-00005E140000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3" xfId="22904" xr:uid="{00000000-0005-0000-0000-000062140000}"/>
    <cellStyle name="Millares 14 3 2 2 3 3" xfId="12989" xr:uid="{00000000-0005-0000-0000-000063140000}"/>
    <cellStyle name="Millares 14 3 2 2 3 4" xfId="19676" xr:uid="{00000000-0005-0000-0000-000064140000}"/>
    <cellStyle name="Millares 14 3 2 2 4" xfId="7191" xr:uid="{00000000-0005-0000-0000-000065140000}"/>
    <cellStyle name="Millares 14 3 2 2 4 2" xfId="13769" xr:uid="{00000000-0005-0000-0000-000066140000}"/>
    <cellStyle name="Millares 14 3 2 2 4 3" xfId="20456" xr:uid="{00000000-0005-0000-0000-000067140000}"/>
    <cellStyle name="Millares 14 3 2 2 5" xfId="10452" xr:uid="{00000000-0005-0000-0000-000068140000}"/>
    <cellStyle name="Millares 14 3 2 2 6" xfId="17228" xr:uid="{00000000-0005-0000-0000-000069140000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3" xfId="21063" xr:uid="{00000000-0005-0000-0000-00006D140000}"/>
    <cellStyle name="Millares 14 3 2 3 3" xfId="11079" xr:uid="{00000000-0005-0000-0000-00006E140000}"/>
    <cellStyle name="Millares 14 3 2 3 4" xfId="17835" xr:uid="{00000000-0005-0000-0000-00006F140000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3" xfId="22294" xr:uid="{00000000-0005-0000-0000-000073140000}"/>
    <cellStyle name="Millares 14 3 2 4 3" xfId="12379" xr:uid="{00000000-0005-0000-0000-000074140000}"/>
    <cellStyle name="Millares 14 3 2 4 4" xfId="19066" xr:uid="{00000000-0005-0000-0000-000075140000}"/>
    <cellStyle name="Millares 14 3 2 5" xfId="6803" xr:uid="{00000000-0005-0000-0000-000076140000}"/>
    <cellStyle name="Millares 14 3 2 5 2" xfId="13381" xr:uid="{00000000-0005-0000-0000-000077140000}"/>
    <cellStyle name="Millares 14 3 2 5 3" xfId="20068" xr:uid="{00000000-0005-0000-0000-000078140000}"/>
    <cellStyle name="Millares 14 3 2 6" xfId="10059" xr:uid="{00000000-0005-0000-0000-000079140000}"/>
    <cellStyle name="Millares 14 3 2 7" xfId="16840" xr:uid="{00000000-0005-0000-0000-00007A140000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3" xfId="21429" xr:uid="{00000000-0005-0000-0000-00007F140000}"/>
    <cellStyle name="Millares 14 3 3 2 3" xfId="11483" xr:uid="{00000000-0005-0000-0000-000080140000}"/>
    <cellStyle name="Millares 14 3 3 2 4" xfId="18201" xr:uid="{00000000-0005-0000-0000-000081140000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3" xfId="22660" xr:uid="{00000000-0005-0000-0000-000085140000}"/>
    <cellStyle name="Millares 14 3 3 3 3" xfId="12745" xr:uid="{00000000-0005-0000-0000-000086140000}"/>
    <cellStyle name="Millares 14 3 3 3 4" xfId="19432" xr:uid="{00000000-0005-0000-0000-000087140000}"/>
    <cellStyle name="Millares 14 3 3 4" xfId="6998" xr:uid="{00000000-0005-0000-0000-000088140000}"/>
    <cellStyle name="Millares 14 3 3 4 2" xfId="13576" xr:uid="{00000000-0005-0000-0000-000089140000}"/>
    <cellStyle name="Millares 14 3 3 4 3" xfId="20263" xr:uid="{00000000-0005-0000-0000-00008A140000}"/>
    <cellStyle name="Millares 14 3 3 5" xfId="10259" xr:uid="{00000000-0005-0000-0000-00008B140000}"/>
    <cellStyle name="Millares 14 3 3 6" xfId="17035" xr:uid="{00000000-0005-0000-0000-00008C140000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3" xfId="20667" xr:uid="{00000000-0005-0000-0000-000090140000}"/>
    <cellStyle name="Millares 14 3 4 3" xfId="10664" xr:uid="{00000000-0005-0000-0000-000091140000}"/>
    <cellStyle name="Millares 14 3 4 4" xfId="17439" xr:uid="{00000000-0005-0000-0000-000092140000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3" xfId="21898" xr:uid="{00000000-0005-0000-0000-000096140000}"/>
    <cellStyle name="Millares 14 3 5 3" xfId="11983" xr:uid="{00000000-0005-0000-0000-000097140000}"/>
    <cellStyle name="Millares 14 3 5 4" xfId="18670" xr:uid="{00000000-0005-0000-0000-000098140000}"/>
    <cellStyle name="Millares 14 3 6" xfId="6610" xr:uid="{00000000-0005-0000-0000-000099140000}"/>
    <cellStyle name="Millares 14 3 6 2" xfId="13188" xr:uid="{00000000-0005-0000-0000-00009A140000}"/>
    <cellStyle name="Millares 14 3 6 3" xfId="19875" xr:uid="{00000000-0005-0000-0000-00009B140000}"/>
    <cellStyle name="Millares 14 3 7" xfId="9850" xr:uid="{00000000-0005-0000-0000-00009C140000}"/>
    <cellStyle name="Millares 14 3 8" xfId="11387" xr:uid="{00000000-0005-0000-0000-00009D140000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3" xfId="21127" xr:uid="{00000000-0005-0000-0000-0000A4140000}"/>
    <cellStyle name="Millares 14 4 2 2 3" xfId="11149" xr:uid="{00000000-0005-0000-0000-0000A5140000}"/>
    <cellStyle name="Millares 14 4 2 2 4" xfId="17899" xr:uid="{00000000-0005-0000-0000-0000A6140000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3" xfId="22358" xr:uid="{00000000-0005-0000-0000-0000AA140000}"/>
    <cellStyle name="Millares 14 4 2 3 3" xfId="12443" xr:uid="{00000000-0005-0000-0000-0000AB140000}"/>
    <cellStyle name="Millares 14 4 2 3 4" xfId="19130" xr:uid="{00000000-0005-0000-0000-0000AC140000}"/>
    <cellStyle name="Millares 14 4 2 4" xfId="7098" xr:uid="{00000000-0005-0000-0000-0000AD140000}"/>
    <cellStyle name="Millares 14 4 2 4 2" xfId="13676" xr:uid="{00000000-0005-0000-0000-0000AE140000}"/>
    <cellStyle name="Millares 14 4 2 4 3" xfId="20363" xr:uid="{00000000-0005-0000-0000-0000AF140000}"/>
    <cellStyle name="Millares 14 4 2 5" xfId="10359" xr:uid="{00000000-0005-0000-0000-0000B0140000}"/>
    <cellStyle name="Millares 14 4 2 6" xfId="17135" xr:uid="{00000000-0005-0000-0000-0000B1140000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3" xfId="22811" xr:uid="{00000000-0005-0000-0000-0000B6140000}"/>
    <cellStyle name="Millares 14 4 3 2 3" xfId="12896" xr:uid="{00000000-0005-0000-0000-0000B7140000}"/>
    <cellStyle name="Millares 14 4 3 2 4" xfId="19583" xr:uid="{00000000-0005-0000-0000-0000B8140000}"/>
    <cellStyle name="Millares 14 4 3 3" xfId="8315" xr:uid="{00000000-0005-0000-0000-0000B9140000}"/>
    <cellStyle name="Millares 14 4 3 3 2" xfId="14893" xr:uid="{00000000-0005-0000-0000-0000BA140000}"/>
    <cellStyle name="Millares 14 4 3 3 3" xfId="21580" xr:uid="{00000000-0005-0000-0000-0000BB140000}"/>
    <cellStyle name="Millares 14 4 3 4" xfId="11649" xr:uid="{00000000-0005-0000-0000-0000BC140000}"/>
    <cellStyle name="Millares 14 4 3 5" xfId="18352" xr:uid="{00000000-0005-0000-0000-0000BD140000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3" xfId="20731" xr:uid="{00000000-0005-0000-0000-0000C1140000}"/>
    <cellStyle name="Millares 14 4 4 3" xfId="10728" xr:uid="{00000000-0005-0000-0000-0000C2140000}"/>
    <cellStyle name="Millares 14 4 4 4" xfId="17503" xr:uid="{00000000-0005-0000-0000-0000C314000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3" xfId="21962" xr:uid="{00000000-0005-0000-0000-0000C7140000}"/>
    <cellStyle name="Millares 14 4 5 3" xfId="12047" xr:uid="{00000000-0005-0000-0000-0000C8140000}"/>
    <cellStyle name="Millares 14 4 5 4" xfId="18734" xr:uid="{00000000-0005-0000-0000-0000C9140000}"/>
    <cellStyle name="Millares 14 4 6" xfId="6710" xr:uid="{00000000-0005-0000-0000-0000CA140000}"/>
    <cellStyle name="Millares 14 4 6 2" xfId="13288" xr:uid="{00000000-0005-0000-0000-0000CB140000}"/>
    <cellStyle name="Millares 14 4 6 3" xfId="19975" xr:uid="{00000000-0005-0000-0000-0000CC140000}"/>
    <cellStyle name="Millares 14 4 7" xfId="9958" xr:uid="{00000000-0005-0000-0000-0000CD140000}"/>
    <cellStyle name="Millares 14 4 8" xfId="16747" xr:uid="{00000000-0005-0000-0000-0000CE140000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3" xfId="22476" xr:uid="{00000000-0005-0000-0000-0000D4140000}"/>
    <cellStyle name="Millares 14 5 2 2 3" xfId="12561" xr:uid="{00000000-0005-0000-0000-0000D5140000}"/>
    <cellStyle name="Millares 14 5 2 2 4" xfId="19248" xr:uid="{00000000-0005-0000-0000-0000D6140000}"/>
    <cellStyle name="Millares 14 5 2 3" xfId="7980" xr:uid="{00000000-0005-0000-0000-0000D7140000}"/>
    <cellStyle name="Millares 14 5 2 3 2" xfId="14558" xr:uid="{00000000-0005-0000-0000-0000D8140000}"/>
    <cellStyle name="Millares 14 5 2 3 3" xfId="21245" xr:uid="{00000000-0005-0000-0000-0000D9140000}"/>
    <cellStyle name="Millares 14 5 2 4" xfId="11276" xr:uid="{00000000-0005-0000-0000-0000DA140000}"/>
    <cellStyle name="Millares 14 5 2 5" xfId="18017" xr:uid="{00000000-0005-0000-0000-0000DB140000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3" xfId="20849" xr:uid="{00000000-0005-0000-0000-0000DF140000}"/>
    <cellStyle name="Millares 14 5 3 3" xfId="10847" xr:uid="{00000000-0005-0000-0000-0000E0140000}"/>
    <cellStyle name="Millares 14 5 3 4" xfId="17621" xr:uid="{00000000-0005-0000-0000-0000E1140000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3" xfId="22080" xr:uid="{00000000-0005-0000-0000-0000E5140000}"/>
    <cellStyle name="Millares 14 5 4 3" xfId="12165" xr:uid="{00000000-0005-0000-0000-0000E6140000}"/>
    <cellStyle name="Millares 14 5 4 4" xfId="18852" xr:uid="{00000000-0005-0000-0000-0000E7140000}"/>
    <cellStyle name="Millares 14 5 5" xfId="6905" xr:uid="{00000000-0005-0000-0000-0000E8140000}"/>
    <cellStyle name="Millares 14 5 5 2" xfId="13483" xr:uid="{00000000-0005-0000-0000-0000E9140000}"/>
    <cellStyle name="Millares 14 5 5 3" xfId="20170" xr:uid="{00000000-0005-0000-0000-0000EA140000}"/>
    <cellStyle name="Millares 14 5 6" xfId="10166" xr:uid="{00000000-0005-0000-0000-0000EB140000}"/>
    <cellStyle name="Millares 14 5 7" xfId="16942" xr:uid="{00000000-0005-0000-0000-0000EC140000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3" xfId="22188" xr:uid="{00000000-0005-0000-0000-0000F1140000}"/>
    <cellStyle name="Millares 14 6 2 3" xfId="12273" xr:uid="{00000000-0005-0000-0000-0000F2140000}"/>
    <cellStyle name="Millares 14 6 2 4" xfId="18960" xr:uid="{00000000-0005-0000-0000-0000F3140000}"/>
    <cellStyle name="Millares 14 6 3" xfId="7692" xr:uid="{00000000-0005-0000-0000-0000F4140000}"/>
    <cellStyle name="Millares 14 6 3 2" xfId="14270" xr:uid="{00000000-0005-0000-0000-0000F5140000}"/>
    <cellStyle name="Millares 14 6 3 3" xfId="20957" xr:uid="{00000000-0005-0000-0000-0000F6140000}"/>
    <cellStyle name="Millares 14 6 4" xfId="10965" xr:uid="{00000000-0005-0000-0000-0000F7140000}"/>
    <cellStyle name="Millares 14 6 5" xfId="17729" xr:uid="{00000000-0005-0000-0000-0000F8140000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3" xfId="22568" xr:uid="{00000000-0005-0000-0000-0000FD140000}"/>
    <cellStyle name="Millares 14 7 2 3" xfId="12653" xr:uid="{00000000-0005-0000-0000-0000FE140000}"/>
    <cellStyle name="Millares 14 7 2 4" xfId="19340" xr:uid="{00000000-0005-0000-0000-0000FF140000}"/>
    <cellStyle name="Millares 14 7 3" xfId="8072" xr:uid="{00000000-0005-0000-0000-000000150000}"/>
    <cellStyle name="Millares 14 7 3 2" xfId="14650" xr:uid="{00000000-0005-0000-0000-000001150000}"/>
    <cellStyle name="Millares 14 7 3 3" xfId="21337" xr:uid="{00000000-0005-0000-0000-000002150000}"/>
    <cellStyle name="Millares 14 7 4" xfId="11374" xr:uid="{00000000-0005-0000-0000-000003150000}"/>
    <cellStyle name="Millares 14 7 5" xfId="18109" xr:uid="{00000000-0005-0000-0000-000004150000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3" xfId="20561" xr:uid="{00000000-0005-0000-0000-000008150000}"/>
    <cellStyle name="Millares 14 8 3" xfId="10558" xr:uid="{00000000-0005-0000-0000-000009150000}"/>
    <cellStyle name="Millares 14 8 4" xfId="17333" xr:uid="{00000000-0005-0000-0000-00000A150000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3" xfId="21792" xr:uid="{00000000-0005-0000-0000-00000E150000}"/>
    <cellStyle name="Millares 14 9 3" xfId="11877" xr:uid="{00000000-0005-0000-0000-00000F150000}"/>
    <cellStyle name="Millares 14 9 4" xfId="18564" xr:uid="{00000000-0005-0000-0000-000010150000}"/>
    <cellStyle name="Millares 15" xfId="237" xr:uid="{00000000-0005-0000-0000-000011150000}"/>
    <cellStyle name="Millares 15 2" xfId="957" xr:uid="{00000000-0005-0000-0000-000012150000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3" xfId="21016" xr:uid="{00000000-0005-0000-0000-000017150000}"/>
    <cellStyle name="Millares 15 2 2 2 3" xfId="11032" xr:uid="{00000000-0005-0000-0000-000018150000}"/>
    <cellStyle name="Millares 15 2 2 2 4" xfId="17788" xr:uid="{00000000-0005-0000-0000-000019150000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3" xfId="22247" xr:uid="{00000000-0005-0000-0000-00001D150000}"/>
    <cellStyle name="Millares 15 2 2 3 3" xfId="12332" xr:uid="{00000000-0005-0000-0000-00001E150000}"/>
    <cellStyle name="Millares 15 2 2 3 4" xfId="19019" xr:uid="{00000000-0005-0000-0000-00001F150000}"/>
    <cellStyle name="Millares 15 2 2 4" xfId="7099" xr:uid="{00000000-0005-0000-0000-000020150000}"/>
    <cellStyle name="Millares 15 2 2 4 2" xfId="13677" xr:uid="{00000000-0005-0000-0000-000021150000}"/>
    <cellStyle name="Millares 15 2 2 4 3" xfId="20364" xr:uid="{00000000-0005-0000-0000-000022150000}"/>
    <cellStyle name="Millares 15 2 2 5" xfId="10360" xr:uid="{00000000-0005-0000-0000-000023150000}"/>
    <cellStyle name="Millares 15 2 2 6" xfId="10118" xr:uid="{00000000-0005-0000-0000-000024150000}"/>
    <cellStyle name="Millares 15 2 2 7" xfId="17136" xr:uid="{00000000-0005-0000-0000-000025150000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3" xfId="22812" xr:uid="{00000000-0005-0000-0000-00002A150000}"/>
    <cellStyle name="Millares 15 2 3 2 3" xfId="12897" xr:uid="{00000000-0005-0000-0000-00002B150000}"/>
    <cellStyle name="Millares 15 2 3 2 4" xfId="19584" xr:uid="{00000000-0005-0000-0000-00002C150000}"/>
    <cellStyle name="Millares 15 2 3 3" xfId="8316" xr:uid="{00000000-0005-0000-0000-00002D150000}"/>
    <cellStyle name="Millares 15 2 3 3 2" xfId="14894" xr:uid="{00000000-0005-0000-0000-00002E150000}"/>
    <cellStyle name="Millares 15 2 3 3 3" xfId="21581" xr:uid="{00000000-0005-0000-0000-00002F150000}"/>
    <cellStyle name="Millares 15 2 3 4" xfId="11650" xr:uid="{00000000-0005-0000-0000-000030150000}"/>
    <cellStyle name="Millares 15 2 3 5" xfId="18353" xr:uid="{00000000-0005-0000-0000-000031150000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3" xfId="20620" xr:uid="{00000000-0005-0000-0000-000035150000}"/>
    <cellStyle name="Millares 15 2 4 3" xfId="10617" xr:uid="{00000000-0005-0000-0000-000036150000}"/>
    <cellStyle name="Millares 15 2 4 4" xfId="17392" xr:uid="{00000000-0005-0000-0000-000037150000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3" xfId="21851" xr:uid="{00000000-0005-0000-0000-00003B150000}"/>
    <cellStyle name="Millares 15 2 5 3" xfId="11936" xr:uid="{00000000-0005-0000-0000-00003C150000}"/>
    <cellStyle name="Millares 15 2 5 4" xfId="18623" xr:uid="{00000000-0005-0000-0000-00003D150000}"/>
    <cellStyle name="Millares 15 2 6" xfId="6711" xr:uid="{00000000-0005-0000-0000-00003E150000}"/>
    <cellStyle name="Millares 15 2 6 2" xfId="13289" xr:uid="{00000000-0005-0000-0000-00003F150000}"/>
    <cellStyle name="Millares 15 2 6 3" xfId="19976" xr:uid="{00000000-0005-0000-0000-000040150000}"/>
    <cellStyle name="Millares 15 2 7" xfId="9959" xr:uid="{00000000-0005-0000-0000-000041150000}"/>
    <cellStyle name="Millares 15 2 8" xfId="16375" xr:uid="{00000000-0005-0000-0000-000042150000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3" xfId="20910" xr:uid="{00000000-0005-0000-0000-000048150000}"/>
    <cellStyle name="Millares 15 3 2 3" xfId="10916" xr:uid="{00000000-0005-0000-0000-000049150000}"/>
    <cellStyle name="Millares 15 3 2 4" xfId="17682" xr:uid="{00000000-0005-0000-0000-00004A150000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3" xfId="22141" xr:uid="{00000000-0005-0000-0000-00004E150000}"/>
    <cellStyle name="Millares 15 3 3 3" xfId="12226" xr:uid="{00000000-0005-0000-0000-00004F150000}"/>
    <cellStyle name="Millares 15 3 3 4" xfId="18913" xr:uid="{00000000-0005-0000-0000-000050150000}"/>
    <cellStyle name="Millares 15 3 4" xfId="6906" xr:uid="{00000000-0005-0000-0000-000051150000}"/>
    <cellStyle name="Millares 15 3 4 2" xfId="13484" xr:uid="{00000000-0005-0000-0000-000052150000}"/>
    <cellStyle name="Millares 15 3 4 3" xfId="20171" xr:uid="{00000000-0005-0000-0000-000053150000}"/>
    <cellStyle name="Millares 15 3 5" xfId="10167" xr:uid="{00000000-0005-0000-0000-000054150000}"/>
    <cellStyle name="Millares 15 3 6" xfId="16496" xr:uid="{00000000-0005-0000-0000-000055150000}"/>
    <cellStyle name="Millares 15 3 7" xfId="16943" xr:uid="{00000000-0005-0000-0000-000056150000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3" xfId="20514" xr:uid="{00000000-0005-0000-0000-00005A150000}"/>
    <cellStyle name="Millares 15 4 3" xfId="10510" xr:uid="{00000000-0005-0000-0000-00005B150000}"/>
    <cellStyle name="Millares 15 4 4" xfId="17286" xr:uid="{00000000-0005-0000-0000-00005C150000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3" xfId="21745" xr:uid="{00000000-0005-0000-0000-000060150000}"/>
    <cellStyle name="Millares 15 5 3" xfId="11830" xr:uid="{00000000-0005-0000-0000-000061150000}"/>
    <cellStyle name="Millares 15 5 4" xfId="18517" xr:uid="{00000000-0005-0000-0000-000062150000}"/>
    <cellStyle name="Millares 15 6" xfId="6518" xr:uid="{00000000-0005-0000-0000-000063150000}"/>
    <cellStyle name="Millares 15 6 2" xfId="13096" xr:uid="{00000000-0005-0000-0000-000064150000}"/>
    <cellStyle name="Millares 15 6 3" xfId="19783" xr:uid="{00000000-0005-0000-0000-000065150000}"/>
    <cellStyle name="Millares 15 7" xfId="9753" xr:uid="{00000000-0005-0000-0000-000066150000}"/>
    <cellStyle name="Millares 15 8" xfId="11008" xr:uid="{00000000-0005-0000-0000-000067150000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1" xfId="16601" xr:uid="{00000000-0005-0000-0000-00006B150000}"/>
    <cellStyle name="Millares 16 2" xfId="754" xr:uid="{00000000-0005-0000-0000-00006C150000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3" xfId="21719" xr:uid="{00000000-0005-0000-0000-000072150000}"/>
    <cellStyle name="Millares 16 2 2 2 2 3" xfId="11804" xr:uid="{00000000-0005-0000-0000-000073150000}"/>
    <cellStyle name="Millares 16 2 2 2 2 4" xfId="18491" xr:uid="{00000000-0005-0000-0000-000074150000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3" xfId="22950" xr:uid="{00000000-0005-0000-0000-000078150000}"/>
    <cellStyle name="Millares 16 2 2 2 3 3" xfId="13035" xr:uid="{00000000-0005-0000-0000-000079150000}"/>
    <cellStyle name="Millares 16 2 2 2 3 4" xfId="19722" xr:uid="{00000000-0005-0000-0000-00007A150000}"/>
    <cellStyle name="Millares 16 2 2 2 4" xfId="7237" xr:uid="{00000000-0005-0000-0000-00007B150000}"/>
    <cellStyle name="Millares 16 2 2 2 4 2" xfId="13815" xr:uid="{00000000-0005-0000-0000-00007C150000}"/>
    <cellStyle name="Millares 16 2 2 2 4 3" xfId="20502" xr:uid="{00000000-0005-0000-0000-00007D150000}"/>
    <cellStyle name="Millares 16 2 2 2 5" xfId="10498" xr:uid="{00000000-0005-0000-0000-00007E150000}"/>
    <cellStyle name="Millares 16 2 2 2 6" xfId="17274" xr:uid="{00000000-0005-0000-0000-00007F150000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3" xfId="21129" xr:uid="{00000000-0005-0000-0000-000083150000}"/>
    <cellStyle name="Millares 16 2 2 3 3" xfId="11151" xr:uid="{00000000-0005-0000-0000-000084150000}"/>
    <cellStyle name="Millares 16 2 2 3 4" xfId="17901" xr:uid="{00000000-0005-0000-0000-000085150000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3" xfId="22360" xr:uid="{00000000-0005-0000-0000-000089150000}"/>
    <cellStyle name="Millares 16 2 2 4 3" xfId="12445" xr:uid="{00000000-0005-0000-0000-00008A150000}"/>
    <cellStyle name="Millares 16 2 2 4 4" xfId="19132" xr:uid="{00000000-0005-0000-0000-00008B150000}"/>
    <cellStyle name="Millares 16 2 2 5" xfId="6849" xr:uid="{00000000-0005-0000-0000-00008C150000}"/>
    <cellStyle name="Millares 16 2 2 5 2" xfId="13427" xr:uid="{00000000-0005-0000-0000-00008D150000}"/>
    <cellStyle name="Millares 16 2 2 5 3" xfId="20114" xr:uid="{00000000-0005-0000-0000-00008E150000}"/>
    <cellStyle name="Millares 16 2 2 6" xfId="10109" xr:uid="{00000000-0005-0000-0000-00008F150000}"/>
    <cellStyle name="Millares 16 2 2 7" xfId="16368" xr:uid="{00000000-0005-0000-0000-000090150000}"/>
    <cellStyle name="Millares 16 2 2 8" xfId="16886" xr:uid="{00000000-0005-0000-0000-000091150000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3" xfId="21475" xr:uid="{00000000-0005-0000-0000-000096150000}"/>
    <cellStyle name="Millares 16 2 3 2 3" xfId="11539" xr:uid="{00000000-0005-0000-0000-000097150000}"/>
    <cellStyle name="Millares 16 2 3 2 4" xfId="18247" xr:uid="{00000000-0005-0000-0000-000098150000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3" xfId="22706" xr:uid="{00000000-0005-0000-0000-00009C150000}"/>
    <cellStyle name="Millares 16 2 3 3 3" xfId="12791" xr:uid="{00000000-0005-0000-0000-00009D150000}"/>
    <cellStyle name="Millares 16 2 3 3 4" xfId="19478" xr:uid="{00000000-0005-0000-0000-00009E150000}"/>
    <cellStyle name="Millares 16 2 3 4" xfId="7044" xr:uid="{00000000-0005-0000-0000-00009F150000}"/>
    <cellStyle name="Millares 16 2 3 4 2" xfId="13622" xr:uid="{00000000-0005-0000-0000-0000A0150000}"/>
    <cellStyle name="Millares 16 2 3 4 3" xfId="20309" xr:uid="{00000000-0005-0000-0000-0000A1150000}"/>
    <cellStyle name="Millares 16 2 3 5" xfId="10305" xr:uid="{00000000-0005-0000-0000-0000A2150000}"/>
    <cellStyle name="Millares 16 2 3 6" xfId="17081" xr:uid="{00000000-0005-0000-0000-0000A3150000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3" xfId="20733" xr:uid="{00000000-0005-0000-0000-0000A7150000}"/>
    <cellStyle name="Millares 16 2 4 3" xfId="10730" xr:uid="{00000000-0005-0000-0000-0000A8150000}"/>
    <cellStyle name="Millares 16 2 4 4" xfId="17505" xr:uid="{00000000-0005-0000-0000-0000A9150000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3" xfId="21964" xr:uid="{00000000-0005-0000-0000-0000AD150000}"/>
    <cellStyle name="Millares 16 2 5 3" xfId="12049" xr:uid="{00000000-0005-0000-0000-0000AE150000}"/>
    <cellStyle name="Millares 16 2 5 4" xfId="18736" xr:uid="{00000000-0005-0000-0000-0000AF150000}"/>
    <cellStyle name="Millares 16 2 6" xfId="6656" xr:uid="{00000000-0005-0000-0000-0000B0150000}"/>
    <cellStyle name="Millares 16 2 6 2" xfId="13234" xr:uid="{00000000-0005-0000-0000-0000B1150000}"/>
    <cellStyle name="Millares 16 2 6 3" xfId="19921" xr:uid="{00000000-0005-0000-0000-0000B2150000}"/>
    <cellStyle name="Millares 16 2 7" xfId="9902" xr:uid="{00000000-0005-0000-0000-0000B3150000}"/>
    <cellStyle name="Millares 16 2 8" xfId="16378" xr:uid="{00000000-0005-0000-0000-0000B4150000}"/>
    <cellStyle name="Millares 16 2 9" xfId="16693" xr:uid="{00000000-0005-0000-0000-0000B5150000}"/>
    <cellStyle name="Millares 16 3" xfId="1118" xr:uid="{00000000-0005-0000-0000-0000B6150000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3" xfId="21291" xr:uid="{00000000-0005-0000-0000-0000BB150000}"/>
    <cellStyle name="Millares 16 3 2 2 3" xfId="11325" xr:uid="{00000000-0005-0000-0000-0000BC150000}"/>
    <cellStyle name="Millares 16 3 2 2 4" xfId="18063" xr:uid="{00000000-0005-0000-0000-0000BD150000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3" xfId="22522" xr:uid="{00000000-0005-0000-0000-0000C1150000}"/>
    <cellStyle name="Millares 16 3 2 3 3" xfId="12607" xr:uid="{00000000-0005-0000-0000-0000C2150000}"/>
    <cellStyle name="Millares 16 3 2 3 4" xfId="19294" xr:uid="{00000000-0005-0000-0000-0000C3150000}"/>
    <cellStyle name="Millares 16 3 2 4" xfId="7145" xr:uid="{00000000-0005-0000-0000-0000C4150000}"/>
    <cellStyle name="Millares 16 3 2 4 2" xfId="13723" xr:uid="{00000000-0005-0000-0000-0000C5150000}"/>
    <cellStyle name="Millares 16 3 2 4 3" xfId="20410" xr:uid="{00000000-0005-0000-0000-0000C6150000}"/>
    <cellStyle name="Millares 16 3 2 5" xfId="10406" xr:uid="{00000000-0005-0000-0000-0000C7150000}"/>
    <cellStyle name="Millares 16 3 2 6" xfId="17182" xr:uid="{00000000-0005-0000-0000-0000C8150000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3" xfId="22858" xr:uid="{00000000-0005-0000-0000-0000CD150000}"/>
    <cellStyle name="Millares 16 3 3 2 3" xfId="12943" xr:uid="{00000000-0005-0000-0000-0000CE150000}"/>
    <cellStyle name="Millares 16 3 3 2 4" xfId="19630" xr:uid="{00000000-0005-0000-0000-0000CF150000}"/>
    <cellStyle name="Millares 16 3 3 3" xfId="8362" xr:uid="{00000000-0005-0000-0000-0000D0150000}"/>
    <cellStyle name="Millares 16 3 3 3 2" xfId="14940" xr:uid="{00000000-0005-0000-0000-0000D1150000}"/>
    <cellStyle name="Millares 16 3 3 3 3" xfId="21627" xr:uid="{00000000-0005-0000-0000-0000D2150000}"/>
    <cellStyle name="Millares 16 3 3 4" xfId="11703" xr:uid="{00000000-0005-0000-0000-0000D3150000}"/>
    <cellStyle name="Millares 16 3 3 5" xfId="18399" xr:uid="{00000000-0005-0000-0000-0000D4150000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3" xfId="20895" xr:uid="{00000000-0005-0000-0000-0000D8150000}"/>
    <cellStyle name="Millares 16 3 4 3" xfId="10900" xr:uid="{00000000-0005-0000-0000-0000D9150000}"/>
    <cellStyle name="Millares 16 3 4 4" xfId="17667" xr:uid="{00000000-0005-0000-0000-0000DA150000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3" xfId="22126" xr:uid="{00000000-0005-0000-0000-0000DE150000}"/>
    <cellStyle name="Millares 16 3 5 3" xfId="12211" xr:uid="{00000000-0005-0000-0000-0000DF150000}"/>
    <cellStyle name="Millares 16 3 5 4" xfId="18898" xr:uid="{00000000-0005-0000-0000-0000E0150000}"/>
    <cellStyle name="Millares 16 3 6" xfId="6757" xr:uid="{00000000-0005-0000-0000-0000E1150000}"/>
    <cellStyle name="Millares 16 3 6 2" xfId="13335" xr:uid="{00000000-0005-0000-0000-0000E2150000}"/>
    <cellStyle name="Millares 16 3 6 3" xfId="20022" xr:uid="{00000000-0005-0000-0000-0000E3150000}"/>
    <cellStyle name="Millares 16 3 7" xfId="10009" xr:uid="{00000000-0005-0000-0000-0000E4150000}"/>
    <cellStyle name="Millares 16 3 8" xfId="16454" xr:uid="{00000000-0005-0000-0000-0000E5150000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3" xfId="21004" xr:uid="{00000000-0005-0000-0000-0000EB150000}"/>
    <cellStyle name="Millares 16 4 2 3" xfId="11020" xr:uid="{00000000-0005-0000-0000-0000EC150000}"/>
    <cellStyle name="Millares 16 4 2 4" xfId="17776" xr:uid="{00000000-0005-0000-0000-0000ED150000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3" xfId="22235" xr:uid="{00000000-0005-0000-0000-0000F1150000}"/>
    <cellStyle name="Millares 16 4 3 3" xfId="12320" xr:uid="{00000000-0005-0000-0000-0000F2150000}"/>
    <cellStyle name="Millares 16 4 3 4" xfId="19007" xr:uid="{00000000-0005-0000-0000-0000F3150000}"/>
    <cellStyle name="Millares 16 4 4" xfId="6952" xr:uid="{00000000-0005-0000-0000-0000F4150000}"/>
    <cellStyle name="Millares 16 4 4 2" xfId="13530" xr:uid="{00000000-0005-0000-0000-0000F5150000}"/>
    <cellStyle name="Millares 16 4 4 3" xfId="20217" xr:uid="{00000000-0005-0000-0000-0000F6150000}"/>
    <cellStyle name="Millares 16 4 5" xfId="10213" xr:uid="{00000000-0005-0000-0000-0000F7150000}"/>
    <cellStyle name="Millares 16 4 6" xfId="16989" xr:uid="{00000000-0005-0000-0000-0000F815000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3" xfId="22614" xr:uid="{00000000-0005-0000-0000-0000FD150000}"/>
    <cellStyle name="Millares 16 5 2 3" xfId="12699" xr:uid="{00000000-0005-0000-0000-0000FE150000}"/>
    <cellStyle name="Millares 16 5 2 4" xfId="19386" xr:uid="{00000000-0005-0000-0000-0000FF150000}"/>
    <cellStyle name="Millares 16 5 3" xfId="8118" xr:uid="{00000000-0005-0000-0000-000000160000}"/>
    <cellStyle name="Millares 16 5 3 2" xfId="14696" xr:uid="{00000000-0005-0000-0000-000001160000}"/>
    <cellStyle name="Millares 16 5 3 3" xfId="21383" xr:uid="{00000000-0005-0000-0000-000002160000}"/>
    <cellStyle name="Millares 16 5 4" xfId="11429" xr:uid="{00000000-0005-0000-0000-000003160000}"/>
    <cellStyle name="Millares 16 5 5" xfId="18155" xr:uid="{00000000-0005-0000-0000-000004160000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3" xfId="20608" xr:uid="{00000000-0005-0000-0000-000008160000}"/>
    <cellStyle name="Millares 16 6 3" xfId="10605" xr:uid="{00000000-0005-0000-0000-000009160000}"/>
    <cellStyle name="Millares 16 6 4" xfId="17380" xr:uid="{00000000-0005-0000-0000-00000A160000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3" xfId="21839" xr:uid="{00000000-0005-0000-0000-00000E160000}"/>
    <cellStyle name="Millares 16 7 3" xfId="11924" xr:uid="{00000000-0005-0000-0000-00000F160000}"/>
    <cellStyle name="Millares 16 7 4" xfId="18611" xr:uid="{00000000-0005-0000-0000-000010160000}"/>
    <cellStyle name="Millares 16 8" xfId="6564" xr:uid="{00000000-0005-0000-0000-000011160000}"/>
    <cellStyle name="Millares 16 8 2" xfId="13142" xr:uid="{00000000-0005-0000-0000-000012160000}"/>
    <cellStyle name="Millares 16 8 3" xfId="19829" xr:uid="{00000000-0005-0000-0000-000013160000}"/>
    <cellStyle name="Millares 16 9" xfId="9801" xr:uid="{00000000-0005-0000-0000-000014160000}"/>
    <cellStyle name="Millares 17" xfId="756" xr:uid="{00000000-0005-0000-0000-00001516000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3" xfId="21720" xr:uid="{00000000-0005-0000-0000-00001B160000}"/>
    <cellStyle name="Millares 17 2 2 2 3" xfId="11805" xr:uid="{00000000-0005-0000-0000-00001C160000}"/>
    <cellStyle name="Millares 17 2 2 2 4" xfId="18492" xr:uid="{00000000-0005-0000-0000-00001D160000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3" xfId="22951" xr:uid="{00000000-0005-0000-0000-000021160000}"/>
    <cellStyle name="Millares 17 2 2 3 3" xfId="13036" xr:uid="{00000000-0005-0000-0000-000022160000}"/>
    <cellStyle name="Millares 17 2 2 3 4" xfId="19723" xr:uid="{00000000-0005-0000-0000-000023160000}"/>
    <cellStyle name="Millares 17 2 2 4" xfId="7238" xr:uid="{00000000-0005-0000-0000-000024160000}"/>
    <cellStyle name="Millares 17 2 2 4 2" xfId="13816" xr:uid="{00000000-0005-0000-0000-000025160000}"/>
    <cellStyle name="Millares 17 2 2 4 3" xfId="20503" xr:uid="{00000000-0005-0000-0000-000026160000}"/>
    <cellStyle name="Millares 17 2 2 5" xfId="10499" xr:uid="{00000000-0005-0000-0000-000027160000}"/>
    <cellStyle name="Millares 17 2 2 6" xfId="17275" xr:uid="{00000000-0005-0000-0000-000028160000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3" xfId="21003" xr:uid="{00000000-0005-0000-0000-00002C160000}"/>
    <cellStyle name="Millares 17 2 3 3" xfId="11019" xr:uid="{00000000-0005-0000-0000-00002D160000}"/>
    <cellStyle name="Millares 17 2 3 4" xfId="17775" xr:uid="{00000000-0005-0000-0000-00002E160000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3" xfId="22234" xr:uid="{00000000-0005-0000-0000-000032160000}"/>
    <cellStyle name="Millares 17 2 4 3" xfId="12319" xr:uid="{00000000-0005-0000-0000-000033160000}"/>
    <cellStyle name="Millares 17 2 4 4" xfId="19006" xr:uid="{00000000-0005-0000-0000-000034160000}"/>
    <cellStyle name="Millares 17 2 5" xfId="6850" xr:uid="{00000000-0005-0000-0000-000035160000}"/>
    <cellStyle name="Millares 17 2 5 2" xfId="13428" xr:uid="{00000000-0005-0000-0000-000036160000}"/>
    <cellStyle name="Millares 17 2 5 3" xfId="20115" xr:uid="{00000000-0005-0000-0000-000037160000}"/>
    <cellStyle name="Millares 17 2 6" xfId="10110" xr:uid="{00000000-0005-0000-0000-000038160000}"/>
    <cellStyle name="Millares 17 2 7" xfId="16887" xr:uid="{00000000-0005-0000-0000-000039160000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3" xfId="21476" xr:uid="{00000000-0005-0000-0000-00003E160000}"/>
    <cellStyle name="Millares 17 3 2 3" xfId="11540" xr:uid="{00000000-0005-0000-0000-00003F160000}"/>
    <cellStyle name="Millares 17 3 2 4" xfId="18248" xr:uid="{00000000-0005-0000-0000-000040160000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3" xfId="22707" xr:uid="{00000000-0005-0000-0000-000044160000}"/>
    <cellStyle name="Millares 17 3 3 3" xfId="12792" xr:uid="{00000000-0005-0000-0000-000045160000}"/>
    <cellStyle name="Millares 17 3 3 4" xfId="19479" xr:uid="{00000000-0005-0000-0000-000046160000}"/>
    <cellStyle name="Millares 17 3 4" xfId="7045" xr:uid="{00000000-0005-0000-0000-000047160000}"/>
    <cellStyle name="Millares 17 3 4 2" xfId="13623" xr:uid="{00000000-0005-0000-0000-000048160000}"/>
    <cellStyle name="Millares 17 3 4 3" xfId="20310" xr:uid="{00000000-0005-0000-0000-000049160000}"/>
    <cellStyle name="Millares 17 3 5" xfId="10306" xr:uid="{00000000-0005-0000-0000-00004A160000}"/>
    <cellStyle name="Millares 17 3 6" xfId="17082" xr:uid="{00000000-0005-0000-0000-00004B160000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3" xfId="22760" xr:uid="{00000000-0005-0000-0000-000050160000}"/>
    <cellStyle name="Millares 17 4 2 3" xfId="12845" xr:uid="{00000000-0005-0000-0000-000051160000}"/>
    <cellStyle name="Millares 17 4 2 4" xfId="19532" xr:uid="{00000000-0005-0000-0000-000052160000}"/>
    <cellStyle name="Millares 17 4 3" xfId="8264" xr:uid="{00000000-0005-0000-0000-000053160000}"/>
    <cellStyle name="Millares 17 4 3 2" xfId="14842" xr:uid="{00000000-0005-0000-0000-000054160000}"/>
    <cellStyle name="Millares 17 4 3 3" xfId="21529" xr:uid="{00000000-0005-0000-0000-000055160000}"/>
    <cellStyle name="Millares 17 4 4" xfId="11593" xr:uid="{00000000-0005-0000-0000-000056160000}"/>
    <cellStyle name="Millares 17 4 5" xfId="18301" xr:uid="{00000000-0005-0000-0000-000057160000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3" xfId="20607" xr:uid="{00000000-0005-0000-0000-00005B160000}"/>
    <cellStyle name="Millares 17 5 3" xfId="10604" xr:uid="{00000000-0005-0000-0000-00005C160000}"/>
    <cellStyle name="Millares 17 5 4" xfId="17379" xr:uid="{00000000-0005-0000-0000-00005D160000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3" xfId="21838" xr:uid="{00000000-0005-0000-0000-000061160000}"/>
    <cellStyle name="Millares 17 6 3" xfId="11923" xr:uid="{00000000-0005-0000-0000-000062160000}"/>
    <cellStyle name="Millares 17 6 4" xfId="18610" xr:uid="{00000000-0005-0000-0000-000063160000}"/>
    <cellStyle name="Millares 17 7" xfId="6657" xr:uid="{00000000-0005-0000-0000-000064160000}"/>
    <cellStyle name="Millares 17 7 2" xfId="13235" xr:uid="{00000000-0005-0000-0000-000065160000}"/>
    <cellStyle name="Millares 17 7 3" xfId="19922" xr:uid="{00000000-0005-0000-0000-000066160000}"/>
    <cellStyle name="Millares 17 8" xfId="9903" xr:uid="{00000000-0005-0000-0000-000067160000}"/>
    <cellStyle name="Millares 17 9" xfId="16694" xr:uid="{00000000-0005-0000-0000-000068160000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3" xfId="21721" xr:uid="{00000000-0005-0000-0000-00006F160000}"/>
    <cellStyle name="Millares 18 2 2 2 3" xfId="11806" xr:uid="{00000000-0005-0000-0000-000070160000}"/>
    <cellStyle name="Millares 18 2 2 2 4" xfId="18493" xr:uid="{00000000-0005-0000-0000-000071160000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3" xfId="22952" xr:uid="{00000000-0005-0000-0000-000075160000}"/>
    <cellStyle name="Millares 18 2 2 3 3" xfId="13037" xr:uid="{00000000-0005-0000-0000-000076160000}"/>
    <cellStyle name="Millares 18 2 2 3 4" xfId="19724" xr:uid="{00000000-0005-0000-0000-000077160000}"/>
    <cellStyle name="Millares 18 2 2 4" xfId="7239" xr:uid="{00000000-0005-0000-0000-000078160000}"/>
    <cellStyle name="Millares 18 2 2 4 2" xfId="13817" xr:uid="{00000000-0005-0000-0000-000079160000}"/>
    <cellStyle name="Millares 18 2 2 4 3" xfId="20504" xr:uid="{00000000-0005-0000-0000-00007A160000}"/>
    <cellStyle name="Millares 18 2 2 5" xfId="10500" xr:uid="{00000000-0005-0000-0000-00007B160000}"/>
    <cellStyle name="Millares 18 2 2 6" xfId="17276" xr:uid="{00000000-0005-0000-0000-00007C160000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3" xfId="21109" xr:uid="{00000000-0005-0000-0000-000080160000}"/>
    <cellStyle name="Millares 18 2 3 3" xfId="11126" xr:uid="{00000000-0005-0000-0000-000081160000}"/>
    <cellStyle name="Millares 18 2 3 4" xfId="17881" xr:uid="{00000000-0005-0000-0000-000082160000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3" xfId="22340" xr:uid="{00000000-0005-0000-0000-000086160000}"/>
    <cellStyle name="Millares 18 2 4 3" xfId="12425" xr:uid="{00000000-0005-0000-0000-000087160000}"/>
    <cellStyle name="Millares 18 2 4 4" xfId="19112" xr:uid="{00000000-0005-0000-0000-000088160000}"/>
    <cellStyle name="Millares 18 2 5" xfId="6851" xr:uid="{00000000-0005-0000-0000-000089160000}"/>
    <cellStyle name="Millares 18 2 5 2" xfId="13429" xr:uid="{00000000-0005-0000-0000-00008A160000}"/>
    <cellStyle name="Millares 18 2 5 3" xfId="20116" xr:uid="{00000000-0005-0000-0000-00008B160000}"/>
    <cellStyle name="Millares 18 2 6" xfId="10111" xr:uid="{00000000-0005-0000-0000-00008C160000}"/>
    <cellStyle name="Millares 18 2 7" xfId="16888" xr:uid="{00000000-0005-0000-0000-00008D160000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3" xfId="21477" xr:uid="{00000000-0005-0000-0000-000092160000}"/>
    <cellStyle name="Millares 18 3 2 3" xfId="11541" xr:uid="{00000000-0005-0000-0000-000093160000}"/>
    <cellStyle name="Millares 18 3 2 4" xfId="18249" xr:uid="{00000000-0005-0000-0000-000094160000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3" xfId="22708" xr:uid="{00000000-0005-0000-0000-000098160000}"/>
    <cellStyle name="Millares 18 3 3 3" xfId="12793" xr:uid="{00000000-0005-0000-0000-000099160000}"/>
    <cellStyle name="Millares 18 3 3 4" xfId="19480" xr:uid="{00000000-0005-0000-0000-00009A160000}"/>
    <cellStyle name="Millares 18 3 4" xfId="7046" xr:uid="{00000000-0005-0000-0000-00009B160000}"/>
    <cellStyle name="Millares 18 3 4 2" xfId="13624" xr:uid="{00000000-0005-0000-0000-00009C160000}"/>
    <cellStyle name="Millares 18 3 4 3" xfId="20311" xr:uid="{00000000-0005-0000-0000-00009D160000}"/>
    <cellStyle name="Millares 18 3 5" xfId="10307" xr:uid="{00000000-0005-0000-0000-00009E160000}"/>
    <cellStyle name="Millares 18 3 6" xfId="17083" xr:uid="{00000000-0005-0000-0000-00009F160000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3" xfId="20713" xr:uid="{00000000-0005-0000-0000-0000A3160000}"/>
    <cellStyle name="Millares 18 4 3" xfId="10710" xr:uid="{00000000-0005-0000-0000-0000A4160000}"/>
    <cellStyle name="Millares 18 4 4" xfId="17485" xr:uid="{00000000-0005-0000-0000-0000A5160000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3" xfId="21944" xr:uid="{00000000-0005-0000-0000-0000A9160000}"/>
    <cellStyle name="Millares 18 5 3" xfId="12029" xr:uid="{00000000-0005-0000-0000-0000AA160000}"/>
    <cellStyle name="Millares 18 5 4" xfId="18716" xr:uid="{00000000-0005-0000-0000-0000AB160000}"/>
    <cellStyle name="Millares 18 6" xfId="6658" xr:uid="{00000000-0005-0000-0000-0000AC160000}"/>
    <cellStyle name="Millares 18 6 2" xfId="13236" xr:uid="{00000000-0005-0000-0000-0000AD160000}"/>
    <cellStyle name="Millares 18 6 3" xfId="19923" xr:uid="{00000000-0005-0000-0000-0000AE160000}"/>
    <cellStyle name="Millares 18 7" xfId="9904" xr:uid="{00000000-0005-0000-0000-0000AF160000}"/>
    <cellStyle name="Millares 18 8" xfId="16695" xr:uid="{00000000-0005-0000-0000-0000B0160000}"/>
    <cellStyle name="Millares 19" xfId="760" xr:uid="{00000000-0005-0000-0000-0000B1160000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3" xfId="21722" xr:uid="{00000000-0005-0000-0000-0000B7160000}"/>
    <cellStyle name="Millares 19 2 2 2 3" xfId="11807" xr:uid="{00000000-0005-0000-0000-0000B8160000}"/>
    <cellStyle name="Millares 19 2 2 2 4" xfId="18494" xr:uid="{00000000-0005-0000-0000-0000B9160000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3" xfId="22953" xr:uid="{00000000-0005-0000-0000-0000BD160000}"/>
    <cellStyle name="Millares 19 2 2 3 3" xfId="13038" xr:uid="{00000000-0005-0000-0000-0000BE160000}"/>
    <cellStyle name="Millares 19 2 2 3 4" xfId="19725" xr:uid="{00000000-0005-0000-0000-0000BF160000}"/>
    <cellStyle name="Millares 19 2 2 4" xfId="7240" xr:uid="{00000000-0005-0000-0000-0000C0160000}"/>
    <cellStyle name="Millares 19 2 2 4 2" xfId="13818" xr:uid="{00000000-0005-0000-0000-0000C1160000}"/>
    <cellStyle name="Millares 19 2 2 4 3" xfId="20505" xr:uid="{00000000-0005-0000-0000-0000C2160000}"/>
    <cellStyle name="Millares 19 2 2 5" xfId="10501" xr:uid="{00000000-0005-0000-0000-0000C3160000}"/>
    <cellStyle name="Millares 19 2 2 6" xfId="17277" xr:uid="{00000000-0005-0000-0000-0000C4160000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3" xfId="21292" xr:uid="{00000000-0005-0000-0000-0000C8160000}"/>
    <cellStyle name="Millares 19 2 3 3" xfId="11326" xr:uid="{00000000-0005-0000-0000-0000C9160000}"/>
    <cellStyle name="Millares 19 2 3 4" xfId="18064" xr:uid="{00000000-0005-0000-0000-0000CA160000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3" xfId="22523" xr:uid="{00000000-0005-0000-0000-0000CE160000}"/>
    <cellStyle name="Millares 19 2 4 3" xfId="12608" xr:uid="{00000000-0005-0000-0000-0000CF160000}"/>
    <cellStyle name="Millares 19 2 4 4" xfId="19295" xr:uid="{00000000-0005-0000-0000-0000D0160000}"/>
    <cellStyle name="Millares 19 2 5" xfId="6852" xr:uid="{00000000-0005-0000-0000-0000D1160000}"/>
    <cellStyle name="Millares 19 2 5 2" xfId="13430" xr:uid="{00000000-0005-0000-0000-0000D2160000}"/>
    <cellStyle name="Millares 19 2 5 3" xfId="20117" xr:uid="{00000000-0005-0000-0000-0000D3160000}"/>
    <cellStyle name="Millares 19 2 6" xfId="10112" xr:uid="{00000000-0005-0000-0000-0000D4160000}"/>
    <cellStyle name="Millares 19 2 7" xfId="16403" xr:uid="{00000000-0005-0000-0000-0000D5160000}"/>
    <cellStyle name="Millares 19 2 8" xfId="16889" xr:uid="{00000000-0005-0000-0000-0000D6160000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3" xfId="21478" xr:uid="{00000000-0005-0000-0000-0000DB160000}"/>
    <cellStyle name="Millares 19 3 2 3" xfId="11542" xr:uid="{00000000-0005-0000-0000-0000DC160000}"/>
    <cellStyle name="Millares 19 3 2 4" xfId="18250" xr:uid="{00000000-0005-0000-0000-0000DD160000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3" xfId="22709" xr:uid="{00000000-0005-0000-0000-0000E1160000}"/>
    <cellStyle name="Millares 19 3 3 3" xfId="12794" xr:uid="{00000000-0005-0000-0000-0000E2160000}"/>
    <cellStyle name="Millares 19 3 3 4" xfId="19481" xr:uid="{00000000-0005-0000-0000-0000E3160000}"/>
    <cellStyle name="Millares 19 3 4" xfId="7047" xr:uid="{00000000-0005-0000-0000-0000E4160000}"/>
    <cellStyle name="Millares 19 3 4 2" xfId="13625" xr:uid="{00000000-0005-0000-0000-0000E5160000}"/>
    <cellStyle name="Millares 19 3 4 3" xfId="20312" xr:uid="{00000000-0005-0000-0000-0000E6160000}"/>
    <cellStyle name="Millares 19 3 5" xfId="10308" xr:uid="{00000000-0005-0000-0000-0000E7160000}"/>
    <cellStyle name="Millares 19 3 6" xfId="17084" xr:uid="{00000000-0005-0000-0000-0000E8160000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3" xfId="20896" xr:uid="{00000000-0005-0000-0000-0000EC160000}"/>
    <cellStyle name="Millares 19 4 3" xfId="10901" xr:uid="{00000000-0005-0000-0000-0000ED160000}"/>
    <cellStyle name="Millares 19 4 4" xfId="17668" xr:uid="{00000000-0005-0000-0000-0000EE160000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3" xfId="22127" xr:uid="{00000000-0005-0000-0000-0000F2160000}"/>
    <cellStyle name="Millares 19 5 3" xfId="12212" xr:uid="{00000000-0005-0000-0000-0000F3160000}"/>
    <cellStyle name="Millares 19 5 4" xfId="18899" xr:uid="{00000000-0005-0000-0000-0000F4160000}"/>
    <cellStyle name="Millares 19 6" xfId="6659" xr:uid="{00000000-0005-0000-0000-0000F5160000}"/>
    <cellStyle name="Millares 19 6 2" xfId="13237" xr:uid="{00000000-0005-0000-0000-0000F6160000}"/>
    <cellStyle name="Millares 19 6 3" xfId="19924" xr:uid="{00000000-0005-0000-0000-0000F7160000}"/>
    <cellStyle name="Millares 19 7" xfId="9905" xr:uid="{00000000-0005-0000-0000-0000F8160000}"/>
    <cellStyle name="Millares 19 8" xfId="16442" xr:uid="{00000000-0005-0000-0000-0000F9160000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3" xfId="22130" xr:uid="{00000000-0005-0000-0000-000000170000}"/>
    <cellStyle name="Millares 2 10 2 3" xfId="12215" xr:uid="{00000000-0005-0000-0000-000001170000}"/>
    <cellStyle name="Millares 2 10 2 4" xfId="18902" xr:uid="{00000000-0005-0000-0000-000002170000}"/>
    <cellStyle name="Millares 2 10 3" xfId="7634" xr:uid="{00000000-0005-0000-0000-000003170000}"/>
    <cellStyle name="Millares 2 10 3 2" xfId="14212" xr:uid="{00000000-0005-0000-0000-000004170000}"/>
    <cellStyle name="Millares 2 10 3 3" xfId="20899" xr:uid="{00000000-0005-0000-0000-000005170000}"/>
    <cellStyle name="Millares 2 10 4" xfId="2569" xr:uid="{00000000-0005-0000-0000-000006170000}"/>
    <cellStyle name="Millares 2 10 4 2" xfId="16447" xr:uid="{00000000-0005-0000-0000-000007170000}"/>
    <cellStyle name="Millares 2 10 5" xfId="10905" xr:uid="{00000000-0005-0000-0000-000008170000}"/>
    <cellStyle name="Millares 2 10 6" xfId="17671" xr:uid="{00000000-0005-0000-0000-000009170000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3" xfId="22524" xr:uid="{00000000-0005-0000-0000-00000E170000}"/>
    <cellStyle name="Millares 2 11 2 3" xfId="12609" xr:uid="{00000000-0005-0000-0000-00000F170000}"/>
    <cellStyle name="Millares 2 11 2 4" xfId="19296" xr:uid="{00000000-0005-0000-0000-000010170000}"/>
    <cellStyle name="Millares 2 11 3" xfId="8028" xr:uid="{00000000-0005-0000-0000-000011170000}"/>
    <cellStyle name="Millares 2 11 3 2" xfId="14606" xr:uid="{00000000-0005-0000-0000-000012170000}"/>
    <cellStyle name="Millares 2 11 3 3" xfId="21293" xr:uid="{00000000-0005-0000-0000-000013170000}"/>
    <cellStyle name="Millares 2 11 4" xfId="11327" xr:uid="{00000000-0005-0000-0000-000014170000}"/>
    <cellStyle name="Millares 2 11 5" xfId="18065" xr:uid="{00000000-0005-0000-0000-000015170000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3" xfId="22711" xr:uid="{00000000-0005-0000-0000-00001A170000}"/>
    <cellStyle name="Millares 2 12 2 3" xfId="12796" xr:uid="{00000000-0005-0000-0000-00001B170000}"/>
    <cellStyle name="Millares 2 12 2 4" xfId="9856" xr:uid="{00000000-0005-0000-0000-00001C170000}"/>
    <cellStyle name="Millares 2 12 2 5" xfId="19483" xr:uid="{00000000-0005-0000-0000-00001D170000}"/>
    <cellStyle name="Millares 2 12 3" xfId="8215" xr:uid="{00000000-0005-0000-0000-00001E170000}"/>
    <cellStyle name="Millares 2 12 3 2" xfId="14793" xr:uid="{00000000-0005-0000-0000-00001F170000}"/>
    <cellStyle name="Millares 2 12 3 3" xfId="21480" xr:uid="{00000000-0005-0000-0000-000020170000}"/>
    <cellStyle name="Millares 2 12 4" xfId="11544" xr:uid="{00000000-0005-0000-0000-000021170000}"/>
    <cellStyle name="Millares 2 12 5" xfId="16465" xr:uid="{00000000-0005-0000-0000-000022170000}"/>
    <cellStyle name="Millares 2 12 6" xfId="18252" xr:uid="{00000000-0005-0000-0000-000023170000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3" xfId="21734" xr:uid="{00000000-0005-0000-0000-000027170000}"/>
    <cellStyle name="Millares 2 13 3" xfId="11819" xr:uid="{00000000-0005-0000-0000-000028170000}"/>
    <cellStyle name="Millares 2 13 4" xfId="18506" xr:uid="{00000000-0005-0000-0000-000029170000}"/>
    <cellStyle name="Millares 2 14" xfId="6470" xr:uid="{00000000-0005-0000-0000-00002A170000}"/>
    <cellStyle name="Millares 2 14 2" xfId="13048" xr:uid="{00000000-0005-0000-0000-00002B170000}"/>
    <cellStyle name="Millares 2 14 3" xfId="19735" xr:uid="{00000000-0005-0000-0000-00002C170000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6" xfId="9702" xr:uid="{00000000-0005-0000-0000-000030170000}"/>
    <cellStyle name="Millares 2 17" xfId="16485" xr:uid="{00000000-0005-0000-0000-000031170000}"/>
    <cellStyle name="Millares 2 18" xfId="16507" xr:uid="{00000000-0005-0000-0000-000032170000}"/>
    <cellStyle name="Millares 2 19" xfId="22969" xr:uid="{31071B8C-C661-42A3-B39E-C330A87C7E3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3" xfId="22531" xr:uid="{00000000-0005-0000-0000-000038170000}"/>
    <cellStyle name="Millares 2 2 10 2 3" xfId="12616" xr:uid="{00000000-0005-0000-0000-000039170000}"/>
    <cellStyle name="Millares 2 2 10 2 4" xfId="19303" xr:uid="{00000000-0005-0000-0000-00003A170000}"/>
    <cellStyle name="Millares 2 2 10 3" xfId="8035" xr:uid="{00000000-0005-0000-0000-00003B170000}"/>
    <cellStyle name="Millares 2 2 10 3 2" xfId="14613" xr:uid="{00000000-0005-0000-0000-00003C170000}"/>
    <cellStyle name="Millares 2 2 10 3 3" xfId="21300" xr:uid="{00000000-0005-0000-0000-00003D170000}"/>
    <cellStyle name="Millares 2 2 10 4" xfId="11335" xr:uid="{00000000-0005-0000-0000-00003E170000}"/>
    <cellStyle name="Millares 2 2 10 5" xfId="18072" xr:uid="{00000000-0005-0000-0000-00003F170000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3" xfId="22714" xr:uid="{00000000-0005-0000-0000-000044170000}"/>
    <cellStyle name="Millares 2 2 11 2 3" xfId="12799" xr:uid="{00000000-0005-0000-0000-000045170000}"/>
    <cellStyle name="Millares 2 2 11 2 4" xfId="19486" xr:uid="{00000000-0005-0000-0000-000046170000}"/>
    <cellStyle name="Millares 2 2 11 3" xfId="8218" xr:uid="{00000000-0005-0000-0000-000047170000}"/>
    <cellStyle name="Millares 2 2 11 3 2" xfId="14796" xr:uid="{00000000-0005-0000-0000-000048170000}"/>
    <cellStyle name="Millares 2 2 11 3 3" xfId="21483" xr:uid="{00000000-0005-0000-0000-000049170000}"/>
    <cellStyle name="Millares 2 2 11 4" xfId="11547" xr:uid="{00000000-0005-0000-0000-00004A170000}"/>
    <cellStyle name="Millares 2 2 11 5" xfId="18255" xr:uid="{00000000-0005-0000-0000-00004B170000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3" xfId="20513" xr:uid="{00000000-0005-0000-0000-00004F170000}"/>
    <cellStyle name="Millares 2 2 12 3" xfId="10509" xr:uid="{00000000-0005-0000-0000-000050170000}"/>
    <cellStyle name="Millares 2 2 12 4" xfId="17285" xr:uid="{00000000-0005-0000-0000-000051170000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3" xfId="21742" xr:uid="{00000000-0005-0000-0000-000055170000}"/>
    <cellStyle name="Millares 2 2 13 3" xfId="11827" xr:uid="{00000000-0005-0000-0000-000056170000}"/>
    <cellStyle name="Millares 2 2 13 4" xfId="18514" xr:uid="{00000000-0005-0000-0000-000057170000}"/>
    <cellStyle name="Millares 2 2 14" xfId="6479" xr:uid="{00000000-0005-0000-0000-000058170000}"/>
    <cellStyle name="Millares 2 2 14 2" xfId="13057" xr:uid="{00000000-0005-0000-0000-000059170000}"/>
    <cellStyle name="Millares 2 2 14 3" xfId="19744" xr:uid="{00000000-0005-0000-0000-00005A170000}"/>
    <cellStyle name="Millares 2 2 15" xfId="9711" xr:uid="{00000000-0005-0000-0000-00005B170000}"/>
    <cellStyle name="Millares 2 2 16" xfId="16516" xr:uid="{00000000-0005-0000-0000-00005C170000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3" xfId="20533" xr:uid="{00000000-0005-0000-0000-000061170000}"/>
    <cellStyle name="Millares 2 2 2 10 3" xfId="10530" xr:uid="{00000000-0005-0000-0000-000062170000}"/>
    <cellStyle name="Millares 2 2 2 10 4" xfId="17305" xr:uid="{00000000-0005-0000-0000-000063170000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3" xfId="21764" xr:uid="{00000000-0005-0000-0000-000067170000}"/>
    <cellStyle name="Millares 2 2 2 11 3" xfId="11849" xr:uid="{00000000-0005-0000-0000-000068170000}"/>
    <cellStyle name="Millares 2 2 2 11 4" xfId="18536" xr:uid="{00000000-0005-0000-0000-000069170000}"/>
    <cellStyle name="Millares 2 2 2 12" xfId="6489" xr:uid="{00000000-0005-0000-0000-00006A170000}"/>
    <cellStyle name="Millares 2 2 2 12 2" xfId="13067" xr:uid="{00000000-0005-0000-0000-00006B170000}"/>
    <cellStyle name="Millares 2 2 2 12 3" xfId="19754" xr:uid="{00000000-0005-0000-0000-00006C170000}"/>
    <cellStyle name="Millares 2 2 2 13" xfId="9722" xr:uid="{00000000-0005-0000-0000-00006D170000}"/>
    <cellStyle name="Millares 2 2 2 14" xfId="16526" xr:uid="{00000000-0005-0000-0000-00006E170000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3" xfId="21787" xr:uid="{00000000-0005-0000-0000-000073170000}"/>
    <cellStyle name="Millares 2 2 2 2 10 3" xfId="11872" xr:uid="{00000000-0005-0000-0000-000074170000}"/>
    <cellStyle name="Millares 2 2 2 2 10 4" xfId="18559" xr:uid="{00000000-0005-0000-0000-000075170000}"/>
    <cellStyle name="Millares 2 2 2 2 11" xfId="6512" xr:uid="{00000000-0005-0000-0000-000076170000}"/>
    <cellStyle name="Millares 2 2 2 2 11 2" xfId="13090" xr:uid="{00000000-0005-0000-0000-000077170000}"/>
    <cellStyle name="Millares 2 2 2 2 11 3" xfId="19777" xr:uid="{00000000-0005-0000-0000-000078170000}"/>
    <cellStyle name="Millares 2 2 2 2 12" xfId="9747" xr:uid="{00000000-0005-0000-0000-000079170000}"/>
    <cellStyle name="Millares 2 2 2 2 13" xfId="16391" xr:uid="{00000000-0005-0000-0000-00007A170000}"/>
    <cellStyle name="Millares 2 2 2 2 14" xfId="16549" xr:uid="{00000000-0005-0000-0000-00007B170000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3" xfId="19823" xr:uid="{00000000-0005-0000-0000-00007F170000}"/>
    <cellStyle name="Millares 2 2 2 2 2 11" xfId="9795" xr:uid="{00000000-0005-0000-0000-000080170000}"/>
    <cellStyle name="Millares 2 2 2 2 2 12" xfId="16340" xr:uid="{00000000-0005-0000-0000-000081170000}"/>
    <cellStyle name="Millares 2 2 2 2 2 13" xfId="16595" xr:uid="{00000000-0005-0000-0000-000082170000}"/>
    <cellStyle name="Millares 2 2 2 2 2 2" xfId="740" xr:uid="{00000000-0005-0000-0000-000083170000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3" xfId="21713" xr:uid="{00000000-0005-0000-0000-000089170000}"/>
    <cellStyle name="Millares 2 2 2 2 2 2 2 2 2 3" xfId="11798" xr:uid="{00000000-0005-0000-0000-00008A170000}"/>
    <cellStyle name="Millares 2 2 2 2 2 2 2 2 2 4" xfId="18485" xr:uid="{00000000-0005-0000-0000-00008B170000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3" xfId="22944" xr:uid="{00000000-0005-0000-0000-00008F170000}"/>
    <cellStyle name="Millares 2 2 2 2 2 2 2 2 3 3" xfId="13029" xr:uid="{00000000-0005-0000-0000-000090170000}"/>
    <cellStyle name="Millares 2 2 2 2 2 2 2 2 3 4" xfId="19716" xr:uid="{00000000-0005-0000-0000-000091170000}"/>
    <cellStyle name="Millares 2 2 2 2 2 2 2 2 4" xfId="7231" xr:uid="{00000000-0005-0000-0000-000092170000}"/>
    <cellStyle name="Millares 2 2 2 2 2 2 2 2 4 2" xfId="13809" xr:uid="{00000000-0005-0000-0000-000093170000}"/>
    <cellStyle name="Millares 2 2 2 2 2 2 2 2 4 3" xfId="20496" xr:uid="{00000000-0005-0000-0000-000094170000}"/>
    <cellStyle name="Millares 2 2 2 2 2 2 2 2 5" xfId="10492" xr:uid="{00000000-0005-0000-0000-000095170000}"/>
    <cellStyle name="Millares 2 2 2 2 2 2 2 2 6" xfId="17268" xr:uid="{00000000-0005-0000-0000-000096170000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3" xfId="21103" xr:uid="{00000000-0005-0000-0000-00009A170000}"/>
    <cellStyle name="Millares 2 2 2 2 2 2 2 3 3" xfId="11120" xr:uid="{00000000-0005-0000-0000-00009B170000}"/>
    <cellStyle name="Millares 2 2 2 2 2 2 2 3 4" xfId="17875" xr:uid="{00000000-0005-0000-0000-00009C170000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3" xfId="22334" xr:uid="{00000000-0005-0000-0000-0000A0170000}"/>
    <cellStyle name="Millares 2 2 2 2 2 2 2 4 3" xfId="12419" xr:uid="{00000000-0005-0000-0000-0000A1170000}"/>
    <cellStyle name="Millares 2 2 2 2 2 2 2 4 4" xfId="19106" xr:uid="{00000000-0005-0000-0000-0000A2170000}"/>
    <cellStyle name="Millares 2 2 2 2 2 2 2 5" xfId="6843" xr:uid="{00000000-0005-0000-0000-0000A3170000}"/>
    <cellStyle name="Millares 2 2 2 2 2 2 2 5 2" xfId="13421" xr:uid="{00000000-0005-0000-0000-0000A4170000}"/>
    <cellStyle name="Millares 2 2 2 2 2 2 2 5 3" xfId="20108" xr:uid="{00000000-0005-0000-0000-0000A5170000}"/>
    <cellStyle name="Millares 2 2 2 2 2 2 2 6" xfId="10103" xr:uid="{00000000-0005-0000-0000-0000A6170000}"/>
    <cellStyle name="Millares 2 2 2 2 2 2 2 7" xfId="16880" xr:uid="{00000000-0005-0000-0000-0000A7170000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3" xfId="21469" xr:uid="{00000000-0005-0000-0000-0000AC170000}"/>
    <cellStyle name="Millares 2 2 2 2 2 2 3 2 3" xfId="11533" xr:uid="{00000000-0005-0000-0000-0000AD170000}"/>
    <cellStyle name="Millares 2 2 2 2 2 2 3 2 4" xfId="18241" xr:uid="{00000000-0005-0000-0000-0000AE170000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3" xfId="22700" xr:uid="{00000000-0005-0000-0000-0000B2170000}"/>
    <cellStyle name="Millares 2 2 2 2 2 2 3 3 3" xfId="12785" xr:uid="{00000000-0005-0000-0000-0000B3170000}"/>
    <cellStyle name="Millares 2 2 2 2 2 2 3 3 4" xfId="19472" xr:uid="{00000000-0005-0000-0000-0000B4170000}"/>
    <cellStyle name="Millares 2 2 2 2 2 2 3 4" xfId="7038" xr:uid="{00000000-0005-0000-0000-0000B5170000}"/>
    <cellStyle name="Millares 2 2 2 2 2 2 3 4 2" xfId="13616" xr:uid="{00000000-0005-0000-0000-0000B6170000}"/>
    <cellStyle name="Millares 2 2 2 2 2 2 3 4 3" xfId="20303" xr:uid="{00000000-0005-0000-0000-0000B7170000}"/>
    <cellStyle name="Millares 2 2 2 2 2 2 3 5" xfId="10299" xr:uid="{00000000-0005-0000-0000-0000B8170000}"/>
    <cellStyle name="Millares 2 2 2 2 2 2 3 6" xfId="17075" xr:uid="{00000000-0005-0000-0000-0000B9170000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3" xfId="22759" xr:uid="{00000000-0005-0000-0000-0000BE170000}"/>
    <cellStyle name="Millares 2 2 2 2 2 2 4 2 3" xfId="12844" xr:uid="{00000000-0005-0000-0000-0000BF170000}"/>
    <cellStyle name="Millares 2 2 2 2 2 2 4 2 4" xfId="19531" xr:uid="{00000000-0005-0000-0000-0000C0170000}"/>
    <cellStyle name="Millares 2 2 2 2 2 2 4 3" xfId="8263" xr:uid="{00000000-0005-0000-0000-0000C1170000}"/>
    <cellStyle name="Millares 2 2 2 2 2 2 4 3 2" xfId="14841" xr:uid="{00000000-0005-0000-0000-0000C2170000}"/>
    <cellStyle name="Millares 2 2 2 2 2 2 4 3 3" xfId="21528" xr:uid="{00000000-0005-0000-0000-0000C3170000}"/>
    <cellStyle name="Millares 2 2 2 2 2 2 4 4" xfId="11592" xr:uid="{00000000-0005-0000-0000-0000C4170000}"/>
    <cellStyle name="Millares 2 2 2 2 2 2 4 5" xfId="18300" xr:uid="{00000000-0005-0000-0000-0000C5170000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3" xfId="20707" xr:uid="{00000000-0005-0000-0000-0000C9170000}"/>
    <cellStyle name="Millares 2 2 2 2 2 2 5 3" xfId="10704" xr:uid="{00000000-0005-0000-0000-0000CA170000}"/>
    <cellStyle name="Millares 2 2 2 2 2 2 5 4" xfId="17479" xr:uid="{00000000-0005-0000-0000-0000CB170000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3" xfId="21938" xr:uid="{00000000-0005-0000-0000-0000CF170000}"/>
    <cellStyle name="Millares 2 2 2 2 2 2 6 3" xfId="12023" xr:uid="{00000000-0005-0000-0000-0000D0170000}"/>
    <cellStyle name="Millares 2 2 2 2 2 2 6 4" xfId="18710" xr:uid="{00000000-0005-0000-0000-0000D1170000}"/>
    <cellStyle name="Millares 2 2 2 2 2 2 7" xfId="6650" xr:uid="{00000000-0005-0000-0000-0000D2170000}"/>
    <cellStyle name="Millares 2 2 2 2 2 2 7 2" xfId="13228" xr:uid="{00000000-0005-0000-0000-0000D3170000}"/>
    <cellStyle name="Millares 2 2 2 2 2 2 7 3" xfId="19915" xr:uid="{00000000-0005-0000-0000-0000D4170000}"/>
    <cellStyle name="Millares 2 2 2 2 2 2 8" xfId="9895" xr:uid="{00000000-0005-0000-0000-0000D5170000}"/>
    <cellStyle name="Millares 2 2 2 2 2 2 9" xfId="16687" xr:uid="{00000000-0005-0000-0000-0000D6170000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3" xfId="21133" xr:uid="{00000000-0005-0000-0000-0000DC170000}"/>
    <cellStyle name="Millares 2 2 2 2 2 3 2 2 3" xfId="11155" xr:uid="{00000000-0005-0000-0000-0000DD170000}"/>
    <cellStyle name="Millares 2 2 2 2 2 3 2 2 4" xfId="17905" xr:uid="{00000000-0005-0000-0000-0000DE170000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3" xfId="22364" xr:uid="{00000000-0005-0000-0000-0000E2170000}"/>
    <cellStyle name="Millares 2 2 2 2 2 3 2 3 3" xfId="12449" xr:uid="{00000000-0005-0000-0000-0000E3170000}"/>
    <cellStyle name="Millares 2 2 2 2 2 3 2 3 4" xfId="19136" xr:uid="{00000000-0005-0000-0000-0000E4170000}"/>
    <cellStyle name="Millares 2 2 2 2 2 3 2 4" xfId="7139" xr:uid="{00000000-0005-0000-0000-0000E5170000}"/>
    <cellStyle name="Millares 2 2 2 2 2 3 2 4 2" xfId="13717" xr:uid="{00000000-0005-0000-0000-0000E6170000}"/>
    <cellStyle name="Millares 2 2 2 2 2 3 2 4 3" xfId="20404" xr:uid="{00000000-0005-0000-0000-0000E7170000}"/>
    <cellStyle name="Millares 2 2 2 2 2 3 2 5" xfId="10400" xr:uid="{00000000-0005-0000-0000-0000E8170000}"/>
    <cellStyle name="Millares 2 2 2 2 2 3 2 6" xfId="17176" xr:uid="{00000000-0005-0000-0000-0000E9170000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3" xfId="22852" xr:uid="{00000000-0005-0000-0000-0000EE170000}"/>
    <cellStyle name="Millares 2 2 2 2 2 3 3 2 3" xfId="12937" xr:uid="{00000000-0005-0000-0000-0000EF170000}"/>
    <cellStyle name="Millares 2 2 2 2 2 3 3 2 4" xfId="19624" xr:uid="{00000000-0005-0000-0000-0000F0170000}"/>
    <cellStyle name="Millares 2 2 2 2 2 3 3 3" xfId="8356" xr:uid="{00000000-0005-0000-0000-0000F1170000}"/>
    <cellStyle name="Millares 2 2 2 2 2 3 3 3 2" xfId="14934" xr:uid="{00000000-0005-0000-0000-0000F2170000}"/>
    <cellStyle name="Millares 2 2 2 2 2 3 3 3 3" xfId="21621" xr:uid="{00000000-0005-0000-0000-0000F3170000}"/>
    <cellStyle name="Millares 2 2 2 2 2 3 3 4" xfId="11697" xr:uid="{00000000-0005-0000-0000-0000F4170000}"/>
    <cellStyle name="Millares 2 2 2 2 2 3 3 5" xfId="18393" xr:uid="{00000000-0005-0000-0000-0000F5170000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3" xfId="20737" xr:uid="{00000000-0005-0000-0000-0000F9170000}"/>
    <cellStyle name="Millares 2 2 2 2 2 3 4 3" xfId="10734" xr:uid="{00000000-0005-0000-0000-0000FA170000}"/>
    <cellStyle name="Millares 2 2 2 2 2 3 4 4" xfId="17509" xr:uid="{00000000-0005-0000-0000-0000FB170000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3" xfId="21968" xr:uid="{00000000-0005-0000-0000-0000FF170000}"/>
    <cellStyle name="Millares 2 2 2 2 2 3 5 3" xfId="12053" xr:uid="{00000000-0005-0000-0000-000000180000}"/>
    <cellStyle name="Millares 2 2 2 2 2 3 5 4" xfId="18740" xr:uid="{00000000-0005-0000-0000-000001180000}"/>
    <cellStyle name="Millares 2 2 2 2 2 3 6" xfId="6751" xr:uid="{00000000-0005-0000-0000-000002180000}"/>
    <cellStyle name="Millares 2 2 2 2 2 3 6 2" xfId="13329" xr:uid="{00000000-0005-0000-0000-000003180000}"/>
    <cellStyle name="Millares 2 2 2 2 2 3 6 3" xfId="20016" xr:uid="{00000000-0005-0000-0000-000004180000}"/>
    <cellStyle name="Millares 2 2 2 2 2 3 7" xfId="10003" xr:uid="{00000000-0005-0000-0000-000005180000}"/>
    <cellStyle name="Millares 2 2 2 2 2 3 8" xfId="16788" xr:uid="{00000000-0005-0000-0000-000006180000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3" xfId="22516" xr:uid="{00000000-0005-0000-0000-00000C180000}"/>
    <cellStyle name="Millares 2 2 2 2 2 4 2 2 3" xfId="12601" xr:uid="{00000000-0005-0000-0000-00000D180000}"/>
    <cellStyle name="Millares 2 2 2 2 2 4 2 2 4" xfId="19288" xr:uid="{00000000-0005-0000-0000-00000E180000}"/>
    <cellStyle name="Millares 2 2 2 2 2 4 2 3" xfId="8020" xr:uid="{00000000-0005-0000-0000-00000F180000}"/>
    <cellStyle name="Millares 2 2 2 2 2 4 2 3 2" xfId="14598" xr:uid="{00000000-0005-0000-0000-000010180000}"/>
    <cellStyle name="Millares 2 2 2 2 2 4 2 3 3" xfId="21285" xr:uid="{00000000-0005-0000-0000-000011180000}"/>
    <cellStyle name="Millares 2 2 2 2 2 4 2 4" xfId="11319" xr:uid="{00000000-0005-0000-0000-000012180000}"/>
    <cellStyle name="Millares 2 2 2 2 2 4 2 5" xfId="18057" xr:uid="{00000000-0005-0000-0000-000013180000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3" xfId="20889" xr:uid="{00000000-0005-0000-0000-000017180000}"/>
    <cellStyle name="Millares 2 2 2 2 2 4 3 3" xfId="10894" xr:uid="{00000000-0005-0000-0000-000018180000}"/>
    <cellStyle name="Millares 2 2 2 2 2 4 3 4" xfId="17661" xr:uid="{00000000-0005-0000-0000-000019180000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3" xfId="22120" xr:uid="{00000000-0005-0000-0000-00001D180000}"/>
    <cellStyle name="Millares 2 2 2 2 2 4 4 3" xfId="12205" xr:uid="{00000000-0005-0000-0000-00001E180000}"/>
    <cellStyle name="Millares 2 2 2 2 2 4 4 4" xfId="18892" xr:uid="{00000000-0005-0000-0000-00001F180000}"/>
    <cellStyle name="Millares 2 2 2 2 2 4 5" xfId="6946" xr:uid="{00000000-0005-0000-0000-000020180000}"/>
    <cellStyle name="Millares 2 2 2 2 2 4 5 2" xfId="13524" xr:uid="{00000000-0005-0000-0000-000021180000}"/>
    <cellStyle name="Millares 2 2 2 2 2 4 5 3" xfId="20211" xr:uid="{00000000-0005-0000-0000-000022180000}"/>
    <cellStyle name="Millares 2 2 2 2 2 4 6" xfId="10207" xr:uid="{00000000-0005-0000-0000-000023180000}"/>
    <cellStyle name="Millares 2 2 2 2 2 4 7" xfId="16983" xr:uid="{00000000-0005-0000-0000-000024180000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3" xfId="22228" xr:uid="{00000000-0005-0000-0000-000029180000}"/>
    <cellStyle name="Millares 2 2 2 2 2 5 2 3" xfId="12313" xr:uid="{00000000-0005-0000-0000-00002A180000}"/>
    <cellStyle name="Millares 2 2 2 2 2 5 2 4" xfId="19000" xr:uid="{00000000-0005-0000-0000-00002B180000}"/>
    <cellStyle name="Millares 2 2 2 2 2 5 3" xfId="7732" xr:uid="{00000000-0005-0000-0000-00002C180000}"/>
    <cellStyle name="Millares 2 2 2 2 2 5 3 2" xfId="14310" xr:uid="{00000000-0005-0000-0000-00002D180000}"/>
    <cellStyle name="Millares 2 2 2 2 2 5 3 3" xfId="20997" xr:uid="{00000000-0005-0000-0000-00002E180000}"/>
    <cellStyle name="Millares 2 2 2 2 2 5 4" xfId="11012" xr:uid="{00000000-0005-0000-0000-00002F180000}"/>
    <cellStyle name="Millares 2 2 2 2 2 5 5" xfId="17769" xr:uid="{00000000-0005-0000-0000-000030180000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3" xfId="22608" xr:uid="{00000000-0005-0000-0000-000035180000}"/>
    <cellStyle name="Millares 2 2 2 2 2 6 2 3" xfId="12693" xr:uid="{00000000-0005-0000-0000-000036180000}"/>
    <cellStyle name="Millares 2 2 2 2 2 6 2 4" xfId="19380" xr:uid="{00000000-0005-0000-0000-000037180000}"/>
    <cellStyle name="Millares 2 2 2 2 2 6 3" xfId="8112" xr:uid="{00000000-0005-0000-0000-000038180000}"/>
    <cellStyle name="Millares 2 2 2 2 2 6 3 2" xfId="14690" xr:uid="{00000000-0005-0000-0000-000039180000}"/>
    <cellStyle name="Millares 2 2 2 2 2 6 3 3" xfId="21377" xr:uid="{00000000-0005-0000-0000-00003A180000}"/>
    <cellStyle name="Millares 2 2 2 2 2 6 4" xfId="11423" xr:uid="{00000000-0005-0000-0000-00003B180000}"/>
    <cellStyle name="Millares 2 2 2 2 2 6 5" xfId="18149" xr:uid="{00000000-0005-0000-0000-00003C180000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3" xfId="22735" xr:uid="{00000000-0005-0000-0000-000041180000}"/>
    <cellStyle name="Millares 2 2 2 2 2 7 2 3" xfId="12820" xr:uid="{00000000-0005-0000-0000-000042180000}"/>
    <cellStyle name="Millares 2 2 2 2 2 7 2 4" xfId="19507" xr:uid="{00000000-0005-0000-0000-000043180000}"/>
    <cellStyle name="Millares 2 2 2 2 2 7 3" xfId="8239" xr:uid="{00000000-0005-0000-0000-000044180000}"/>
    <cellStyle name="Millares 2 2 2 2 2 7 3 2" xfId="14817" xr:uid="{00000000-0005-0000-0000-000045180000}"/>
    <cellStyle name="Millares 2 2 2 2 2 7 3 3" xfId="21504" xr:uid="{00000000-0005-0000-0000-000046180000}"/>
    <cellStyle name="Millares 2 2 2 2 2 7 4" xfId="11568" xr:uid="{00000000-0005-0000-0000-000047180000}"/>
    <cellStyle name="Millares 2 2 2 2 2 7 5" xfId="18276" xr:uid="{00000000-0005-0000-0000-000048180000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3" xfId="20601" xr:uid="{00000000-0005-0000-0000-00004C180000}"/>
    <cellStyle name="Millares 2 2 2 2 2 8 3" xfId="10598" xr:uid="{00000000-0005-0000-0000-00004D180000}"/>
    <cellStyle name="Millares 2 2 2 2 2 8 4" xfId="17373" xr:uid="{00000000-0005-0000-0000-00004E180000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3" xfId="21832" xr:uid="{00000000-0005-0000-0000-000052180000}"/>
    <cellStyle name="Millares 2 2 2 2 2 9 3" xfId="11917" xr:uid="{00000000-0005-0000-0000-000053180000}"/>
    <cellStyle name="Millares 2 2 2 2 2 9 4" xfId="18604" xr:uid="{00000000-0005-0000-0000-000054180000}"/>
    <cellStyle name="Millares 2 2 2 2 3" xfId="567" xr:uid="{00000000-0005-0000-0000-000055180000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3" xfId="21668" xr:uid="{00000000-0005-0000-0000-00005B180000}"/>
    <cellStyle name="Millares 2 2 2 2 3 2 2 2 3" xfId="11747" xr:uid="{00000000-0005-0000-0000-00005C180000}"/>
    <cellStyle name="Millares 2 2 2 2 3 2 2 2 4" xfId="18440" xr:uid="{00000000-0005-0000-0000-00005D18000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3" xfId="22899" xr:uid="{00000000-0005-0000-0000-000061180000}"/>
    <cellStyle name="Millares 2 2 2 2 3 2 2 3 3" xfId="12984" xr:uid="{00000000-0005-0000-0000-000062180000}"/>
    <cellStyle name="Millares 2 2 2 2 3 2 2 3 4" xfId="19671" xr:uid="{00000000-0005-0000-0000-000063180000}"/>
    <cellStyle name="Millares 2 2 2 2 3 2 2 4" xfId="7186" xr:uid="{00000000-0005-0000-0000-000064180000}"/>
    <cellStyle name="Millares 2 2 2 2 3 2 2 4 2" xfId="13764" xr:uid="{00000000-0005-0000-0000-000065180000}"/>
    <cellStyle name="Millares 2 2 2 2 3 2 2 4 3" xfId="20451" xr:uid="{00000000-0005-0000-0000-000066180000}"/>
    <cellStyle name="Millares 2 2 2 2 3 2 2 5" xfId="10447" xr:uid="{00000000-0005-0000-0000-000067180000}"/>
    <cellStyle name="Millares 2 2 2 2 3 2 2 6" xfId="17223" xr:uid="{00000000-0005-0000-0000-000068180000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3" xfId="21058" xr:uid="{00000000-0005-0000-0000-00006C180000}"/>
    <cellStyle name="Millares 2 2 2 2 3 2 3 3" xfId="11074" xr:uid="{00000000-0005-0000-0000-00006D180000}"/>
    <cellStyle name="Millares 2 2 2 2 3 2 3 4" xfId="17830" xr:uid="{00000000-0005-0000-0000-00006E180000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3" xfId="22289" xr:uid="{00000000-0005-0000-0000-000072180000}"/>
    <cellStyle name="Millares 2 2 2 2 3 2 4 3" xfId="12374" xr:uid="{00000000-0005-0000-0000-000073180000}"/>
    <cellStyle name="Millares 2 2 2 2 3 2 4 4" xfId="19061" xr:uid="{00000000-0005-0000-0000-000074180000}"/>
    <cellStyle name="Millares 2 2 2 2 3 2 5" xfId="6798" xr:uid="{00000000-0005-0000-0000-000075180000}"/>
    <cellStyle name="Millares 2 2 2 2 3 2 5 2" xfId="13376" xr:uid="{00000000-0005-0000-0000-000076180000}"/>
    <cellStyle name="Millares 2 2 2 2 3 2 5 3" xfId="20063" xr:uid="{00000000-0005-0000-0000-000077180000}"/>
    <cellStyle name="Millares 2 2 2 2 3 2 6" xfId="10054" xr:uid="{00000000-0005-0000-0000-000078180000}"/>
    <cellStyle name="Millares 2 2 2 2 3 2 7" xfId="16835" xr:uid="{00000000-0005-0000-0000-00007918000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3" xfId="21424" xr:uid="{00000000-0005-0000-0000-00007E180000}"/>
    <cellStyle name="Millares 2 2 2 2 3 3 2 3" xfId="11478" xr:uid="{00000000-0005-0000-0000-00007F180000}"/>
    <cellStyle name="Millares 2 2 2 2 3 3 2 4" xfId="18196" xr:uid="{00000000-0005-0000-0000-000080180000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3" xfId="22655" xr:uid="{00000000-0005-0000-0000-000084180000}"/>
    <cellStyle name="Millares 2 2 2 2 3 3 3 3" xfId="12740" xr:uid="{00000000-0005-0000-0000-000085180000}"/>
    <cellStyle name="Millares 2 2 2 2 3 3 3 4" xfId="19427" xr:uid="{00000000-0005-0000-0000-000086180000}"/>
    <cellStyle name="Millares 2 2 2 2 3 3 4" xfId="6993" xr:uid="{00000000-0005-0000-0000-000087180000}"/>
    <cellStyle name="Millares 2 2 2 2 3 3 4 2" xfId="13571" xr:uid="{00000000-0005-0000-0000-000088180000}"/>
    <cellStyle name="Millares 2 2 2 2 3 3 4 3" xfId="20258" xr:uid="{00000000-0005-0000-0000-000089180000}"/>
    <cellStyle name="Millares 2 2 2 2 3 3 5" xfId="10254" xr:uid="{00000000-0005-0000-0000-00008A180000}"/>
    <cellStyle name="Millares 2 2 2 2 3 3 6" xfId="17030" xr:uid="{00000000-0005-0000-0000-00008B18000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3" xfId="22747" xr:uid="{00000000-0005-0000-0000-000090180000}"/>
    <cellStyle name="Millares 2 2 2 2 3 4 2 3" xfId="12832" xr:uid="{00000000-0005-0000-0000-000091180000}"/>
    <cellStyle name="Millares 2 2 2 2 3 4 2 4" xfId="19519" xr:uid="{00000000-0005-0000-0000-000092180000}"/>
    <cellStyle name="Millares 2 2 2 2 3 4 3" xfId="8251" xr:uid="{00000000-0005-0000-0000-000093180000}"/>
    <cellStyle name="Millares 2 2 2 2 3 4 3 2" xfId="14829" xr:uid="{00000000-0005-0000-0000-000094180000}"/>
    <cellStyle name="Millares 2 2 2 2 3 4 3 3" xfId="21516" xr:uid="{00000000-0005-0000-0000-000095180000}"/>
    <cellStyle name="Millares 2 2 2 2 3 4 4" xfId="11580" xr:uid="{00000000-0005-0000-0000-000096180000}"/>
    <cellStyle name="Millares 2 2 2 2 3 4 5" xfId="18288" xr:uid="{00000000-0005-0000-0000-000097180000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3" xfId="20662" xr:uid="{00000000-0005-0000-0000-00009B180000}"/>
    <cellStyle name="Millares 2 2 2 2 3 5 3" xfId="10659" xr:uid="{00000000-0005-0000-0000-00009C180000}"/>
    <cellStyle name="Millares 2 2 2 2 3 5 4" xfId="17434" xr:uid="{00000000-0005-0000-0000-00009D180000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3" xfId="21893" xr:uid="{00000000-0005-0000-0000-0000A1180000}"/>
    <cellStyle name="Millares 2 2 2 2 3 6 3" xfId="11978" xr:uid="{00000000-0005-0000-0000-0000A2180000}"/>
    <cellStyle name="Millares 2 2 2 2 3 6 4" xfId="18665" xr:uid="{00000000-0005-0000-0000-0000A3180000}"/>
    <cellStyle name="Millares 2 2 2 2 3 7" xfId="6605" xr:uid="{00000000-0005-0000-0000-0000A4180000}"/>
    <cellStyle name="Millares 2 2 2 2 3 7 2" xfId="13183" xr:uid="{00000000-0005-0000-0000-0000A5180000}"/>
    <cellStyle name="Millares 2 2 2 2 3 7 3" xfId="19870" xr:uid="{00000000-0005-0000-0000-0000A6180000}"/>
    <cellStyle name="Millares 2 2 2 2 3 8" xfId="9845" xr:uid="{00000000-0005-0000-0000-0000A7180000}"/>
    <cellStyle name="Millares 2 2 2 2 3 9" xfId="16642" xr:uid="{00000000-0005-0000-0000-0000A8180000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3" xfId="21132" xr:uid="{00000000-0005-0000-0000-0000AE180000}"/>
    <cellStyle name="Millares 2 2 2 2 4 2 2 3" xfId="11154" xr:uid="{00000000-0005-0000-0000-0000AF180000}"/>
    <cellStyle name="Millares 2 2 2 2 4 2 2 4" xfId="17904" xr:uid="{00000000-0005-0000-0000-0000B018000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3" xfId="22363" xr:uid="{00000000-0005-0000-0000-0000B4180000}"/>
    <cellStyle name="Millares 2 2 2 2 4 2 3 3" xfId="12448" xr:uid="{00000000-0005-0000-0000-0000B5180000}"/>
    <cellStyle name="Millares 2 2 2 2 4 2 3 4" xfId="19135" xr:uid="{00000000-0005-0000-0000-0000B6180000}"/>
    <cellStyle name="Millares 2 2 2 2 4 2 4" xfId="7093" xr:uid="{00000000-0005-0000-0000-0000B7180000}"/>
    <cellStyle name="Millares 2 2 2 2 4 2 4 2" xfId="13671" xr:uid="{00000000-0005-0000-0000-0000B8180000}"/>
    <cellStyle name="Millares 2 2 2 2 4 2 4 3" xfId="20358" xr:uid="{00000000-0005-0000-0000-0000B9180000}"/>
    <cellStyle name="Millares 2 2 2 2 4 2 5" xfId="10354" xr:uid="{00000000-0005-0000-0000-0000BA180000}"/>
    <cellStyle name="Millares 2 2 2 2 4 2 6" xfId="17130" xr:uid="{00000000-0005-0000-0000-0000BB18000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3" xfId="22806" xr:uid="{00000000-0005-0000-0000-0000C0180000}"/>
    <cellStyle name="Millares 2 2 2 2 4 3 2 3" xfId="12891" xr:uid="{00000000-0005-0000-0000-0000C1180000}"/>
    <cellStyle name="Millares 2 2 2 2 4 3 2 4" xfId="19578" xr:uid="{00000000-0005-0000-0000-0000C2180000}"/>
    <cellStyle name="Millares 2 2 2 2 4 3 3" xfId="8310" xr:uid="{00000000-0005-0000-0000-0000C3180000}"/>
    <cellStyle name="Millares 2 2 2 2 4 3 3 2" xfId="14888" xr:uid="{00000000-0005-0000-0000-0000C4180000}"/>
    <cellStyle name="Millares 2 2 2 2 4 3 3 3" xfId="21575" xr:uid="{00000000-0005-0000-0000-0000C5180000}"/>
    <cellStyle name="Millares 2 2 2 2 4 3 4" xfId="11644" xr:uid="{00000000-0005-0000-0000-0000C6180000}"/>
    <cellStyle name="Millares 2 2 2 2 4 3 5" xfId="18347" xr:uid="{00000000-0005-0000-0000-0000C718000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3" xfId="20736" xr:uid="{00000000-0005-0000-0000-0000CB180000}"/>
    <cellStyle name="Millares 2 2 2 2 4 4 3" xfId="10733" xr:uid="{00000000-0005-0000-0000-0000CC180000}"/>
    <cellStyle name="Millares 2 2 2 2 4 4 4" xfId="17508" xr:uid="{00000000-0005-0000-0000-0000CD180000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3" xfId="21967" xr:uid="{00000000-0005-0000-0000-0000D1180000}"/>
    <cellStyle name="Millares 2 2 2 2 4 5 3" xfId="12052" xr:uid="{00000000-0005-0000-0000-0000D2180000}"/>
    <cellStyle name="Millares 2 2 2 2 4 5 4" xfId="18739" xr:uid="{00000000-0005-0000-0000-0000D3180000}"/>
    <cellStyle name="Millares 2 2 2 2 4 6" xfId="6705" xr:uid="{00000000-0005-0000-0000-0000D4180000}"/>
    <cellStyle name="Millares 2 2 2 2 4 6 2" xfId="13283" xr:uid="{00000000-0005-0000-0000-0000D5180000}"/>
    <cellStyle name="Millares 2 2 2 2 4 6 3" xfId="19970" xr:uid="{00000000-0005-0000-0000-0000D6180000}"/>
    <cellStyle name="Millares 2 2 2 2 4 7" xfId="9953" xr:uid="{00000000-0005-0000-0000-0000D7180000}"/>
    <cellStyle name="Millares 2 2 2 2 4 8" xfId="16742" xr:uid="{00000000-0005-0000-0000-0000D8180000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3" xfId="22471" xr:uid="{00000000-0005-0000-0000-0000DE180000}"/>
    <cellStyle name="Millares 2 2 2 2 5 2 2 3" xfId="12556" xr:uid="{00000000-0005-0000-0000-0000DF180000}"/>
    <cellStyle name="Millares 2 2 2 2 5 2 2 4" xfId="19243" xr:uid="{00000000-0005-0000-0000-0000E0180000}"/>
    <cellStyle name="Millares 2 2 2 2 5 2 3" xfId="7975" xr:uid="{00000000-0005-0000-0000-0000E1180000}"/>
    <cellStyle name="Millares 2 2 2 2 5 2 3 2" xfId="14553" xr:uid="{00000000-0005-0000-0000-0000E2180000}"/>
    <cellStyle name="Millares 2 2 2 2 5 2 3 3" xfId="21240" xr:uid="{00000000-0005-0000-0000-0000E3180000}"/>
    <cellStyle name="Millares 2 2 2 2 5 2 4" xfId="11271" xr:uid="{00000000-0005-0000-0000-0000E4180000}"/>
    <cellStyle name="Millares 2 2 2 2 5 2 5" xfId="18012" xr:uid="{00000000-0005-0000-0000-0000E5180000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3" xfId="20844" xr:uid="{00000000-0005-0000-0000-0000E9180000}"/>
    <cellStyle name="Millares 2 2 2 2 5 3 3" xfId="10842" xr:uid="{00000000-0005-0000-0000-0000EA180000}"/>
    <cellStyle name="Millares 2 2 2 2 5 3 4" xfId="17616" xr:uid="{00000000-0005-0000-0000-0000EB180000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3" xfId="22075" xr:uid="{00000000-0005-0000-0000-0000EF180000}"/>
    <cellStyle name="Millares 2 2 2 2 5 4 3" xfId="12160" xr:uid="{00000000-0005-0000-0000-0000F0180000}"/>
    <cellStyle name="Millares 2 2 2 2 5 4 4" xfId="18847" xr:uid="{00000000-0005-0000-0000-0000F1180000}"/>
    <cellStyle name="Millares 2 2 2 2 5 5" xfId="6900" xr:uid="{00000000-0005-0000-0000-0000F2180000}"/>
    <cellStyle name="Millares 2 2 2 2 5 5 2" xfId="13478" xr:uid="{00000000-0005-0000-0000-0000F3180000}"/>
    <cellStyle name="Millares 2 2 2 2 5 5 3" xfId="20165" xr:uid="{00000000-0005-0000-0000-0000F4180000}"/>
    <cellStyle name="Millares 2 2 2 2 5 6" xfId="10161" xr:uid="{00000000-0005-0000-0000-0000F5180000}"/>
    <cellStyle name="Millares 2 2 2 2 5 7" xfId="16937" xr:uid="{00000000-0005-0000-0000-0000F6180000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3" xfId="22183" xr:uid="{00000000-0005-0000-0000-0000FB180000}"/>
    <cellStyle name="Millares 2 2 2 2 6 2 3" xfId="12268" xr:uid="{00000000-0005-0000-0000-0000FC180000}"/>
    <cellStyle name="Millares 2 2 2 2 6 2 4" xfId="18955" xr:uid="{00000000-0005-0000-0000-0000FD180000}"/>
    <cellStyle name="Millares 2 2 2 2 6 3" xfId="7687" xr:uid="{00000000-0005-0000-0000-0000FE180000}"/>
    <cellStyle name="Millares 2 2 2 2 6 3 2" xfId="14265" xr:uid="{00000000-0005-0000-0000-0000FF180000}"/>
    <cellStyle name="Millares 2 2 2 2 6 3 3" xfId="20952" xr:uid="{00000000-0005-0000-0000-000000190000}"/>
    <cellStyle name="Millares 2 2 2 2 6 4" xfId="10960" xr:uid="{00000000-0005-0000-0000-000001190000}"/>
    <cellStyle name="Millares 2 2 2 2 6 5" xfId="17724" xr:uid="{00000000-0005-0000-0000-000002190000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3" xfId="22563" xr:uid="{00000000-0005-0000-0000-000007190000}"/>
    <cellStyle name="Millares 2 2 2 2 7 2 3" xfId="12648" xr:uid="{00000000-0005-0000-0000-000008190000}"/>
    <cellStyle name="Millares 2 2 2 2 7 2 4" xfId="19335" xr:uid="{00000000-0005-0000-0000-000009190000}"/>
    <cellStyle name="Millares 2 2 2 2 7 3" xfId="8067" xr:uid="{00000000-0005-0000-0000-00000A190000}"/>
    <cellStyle name="Millares 2 2 2 2 7 3 2" xfId="14645" xr:uid="{00000000-0005-0000-0000-00000B190000}"/>
    <cellStyle name="Millares 2 2 2 2 7 3 3" xfId="21332" xr:uid="{00000000-0005-0000-0000-00000C190000}"/>
    <cellStyle name="Millares 2 2 2 2 7 4" xfId="11369" xr:uid="{00000000-0005-0000-0000-00000D190000}"/>
    <cellStyle name="Millares 2 2 2 2 7 5" xfId="18104" xr:uid="{00000000-0005-0000-0000-00000E190000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3" xfId="22723" xr:uid="{00000000-0005-0000-0000-000013190000}"/>
    <cellStyle name="Millares 2 2 2 2 8 2 3" xfId="12808" xr:uid="{00000000-0005-0000-0000-000014190000}"/>
    <cellStyle name="Millares 2 2 2 2 8 2 4" xfId="19495" xr:uid="{00000000-0005-0000-0000-000015190000}"/>
    <cellStyle name="Millares 2 2 2 2 8 3" xfId="8227" xr:uid="{00000000-0005-0000-0000-000016190000}"/>
    <cellStyle name="Millares 2 2 2 2 8 3 2" xfId="14805" xr:uid="{00000000-0005-0000-0000-000017190000}"/>
    <cellStyle name="Millares 2 2 2 2 8 3 3" xfId="21492" xr:uid="{00000000-0005-0000-0000-000018190000}"/>
    <cellStyle name="Millares 2 2 2 2 8 4" xfId="11556" xr:uid="{00000000-0005-0000-0000-000019190000}"/>
    <cellStyle name="Millares 2 2 2 2 8 5" xfId="18264" xr:uid="{00000000-0005-0000-0000-00001A190000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3" xfId="20556" xr:uid="{00000000-0005-0000-0000-00001E190000}"/>
    <cellStyle name="Millares 2 2 2 2 9 3" xfId="10553" xr:uid="{00000000-0005-0000-0000-00001F190000}"/>
    <cellStyle name="Millares 2 2 2 2 9 4" xfId="17328" xr:uid="{00000000-0005-0000-0000-000020190000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3" xfId="19801" xr:uid="{00000000-0005-0000-0000-000024190000}"/>
    <cellStyle name="Millares 2 2 2 3 11" xfId="9772" xr:uid="{00000000-0005-0000-0000-000025190000}"/>
    <cellStyle name="Millares 2 2 2 3 12" xfId="16325" xr:uid="{00000000-0005-0000-0000-000026190000}"/>
    <cellStyle name="Millares 2 2 2 3 13" xfId="16573" xr:uid="{00000000-0005-0000-0000-000027190000}"/>
    <cellStyle name="Millares 2 2 2 3 2" xfId="655" xr:uid="{00000000-0005-0000-0000-000028190000}"/>
    <cellStyle name="Millares 2 2 2 3 2 10" xfId="16665" xr:uid="{00000000-0005-0000-0000-000029190000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3" xfId="21691" xr:uid="{00000000-0005-0000-0000-00002F190000}"/>
    <cellStyle name="Millares 2 2 2 3 2 2 2 2 3" xfId="11774" xr:uid="{00000000-0005-0000-0000-000030190000}"/>
    <cellStyle name="Millares 2 2 2 3 2 2 2 2 4" xfId="18463" xr:uid="{00000000-0005-0000-0000-000031190000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3" xfId="22922" xr:uid="{00000000-0005-0000-0000-000035190000}"/>
    <cellStyle name="Millares 2 2 2 3 2 2 2 3 3" xfId="13007" xr:uid="{00000000-0005-0000-0000-000036190000}"/>
    <cellStyle name="Millares 2 2 2 3 2 2 2 3 4" xfId="19694" xr:uid="{00000000-0005-0000-0000-000037190000}"/>
    <cellStyle name="Millares 2 2 2 3 2 2 2 4" xfId="7209" xr:uid="{00000000-0005-0000-0000-000038190000}"/>
    <cellStyle name="Millares 2 2 2 3 2 2 2 4 2" xfId="13787" xr:uid="{00000000-0005-0000-0000-000039190000}"/>
    <cellStyle name="Millares 2 2 2 3 2 2 2 4 3" xfId="20474" xr:uid="{00000000-0005-0000-0000-00003A190000}"/>
    <cellStyle name="Millares 2 2 2 3 2 2 2 5" xfId="10470" xr:uid="{00000000-0005-0000-0000-00003B190000}"/>
    <cellStyle name="Millares 2 2 2 3 2 2 2 6" xfId="17246" xr:uid="{00000000-0005-0000-0000-00003C190000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3" xfId="21081" xr:uid="{00000000-0005-0000-0000-000040190000}"/>
    <cellStyle name="Millares 2 2 2 3 2 2 3 3" xfId="11098" xr:uid="{00000000-0005-0000-0000-000041190000}"/>
    <cellStyle name="Millares 2 2 2 3 2 2 3 4" xfId="17853" xr:uid="{00000000-0005-0000-0000-000042190000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3" xfId="22312" xr:uid="{00000000-0005-0000-0000-000046190000}"/>
    <cellStyle name="Millares 2 2 2 3 2 2 4 3" xfId="12397" xr:uid="{00000000-0005-0000-0000-000047190000}"/>
    <cellStyle name="Millares 2 2 2 3 2 2 4 4" xfId="19084" xr:uid="{00000000-0005-0000-0000-000048190000}"/>
    <cellStyle name="Millares 2 2 2 3 2 2 5" xfId="6821" xr:uid="{00000000-0005-0000-0000-000049190000}"/>
    <cellStyle name="Millares 2 2 2 3 2 2 5 2" xfId="13399" xr:uid="{00000000-0005-0000-0000-00004A190000}"/>
    <cellStyle name="Millares 2 2 2 3 2 2 5 3" xfId="20086" xr:uid="{00000000-0005-0000-0000-00004B190000}"/>
    <cellStyle name="Millares 2 2 2 3 2 2 6" xfId="10079" xr:uid="{00000000-0005-0000-0000-00004C190000}"/>
    <cellStyle name="Millares 2 2 2 3 2 2 7" xfId="16858" xr:uid="{00000000-0005-0000-0000-00004D190000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3" xfId="21447" xr:uid="{00000000-0005-0000-0000-000052190000}"/>
    <cellStyle name="Millares 2 2 2 3 2 3 2 3" xfId="11507" xr:uid="{00000000-0005-0000-0000-000053190000}"/>
    <cellStyle name="Millares 2 2 2 3 2 3 2 4" xfId="18219" xr:uid="{00000000-0005-0000-0000-000054190000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3" xfId="22678" xr:uid="{00000000-0005-0000-0000-000058190000}"/>
    <cellStyle name="Millares 2 2 2 3 2 3 3 3" xfId="12763" xr:uid="{00000000-0005-0000-0000-000059190000}"/>
    <cellStyle name="Millares 2 2 2 3 2 3 3 4" xfId="19450" xr:uid="{00000000-0005-0000-0000-00005A190000}"/>
    <cellStyle name="Millares 2 2 2 3 2 3 4" xfId="7016" xr:uid="{00000000-0005-0000-0000-00005B190000}"/>
    <cellStyle name="Millares 2 2 2 3 2 3 4 2" xfId="13594" xr:uid="{00000000-0005-0000-0000-00005C190000}"/>
    <cellStyle name="Millares 2 2 2 3 2 3 4 3" xfId="20281" xr:uid="{00000000-0005-0000-0000-00005D190000}"/>
    <cellStyle name="Millares 2 2 2 3 2 3 5" xfId="10277" xr:uid="{00000000-0005-0000-0000-00005E190000}"/>
    <cellStyle name="Millares 2 2 2 3 2 3 6" xfId="17053" xr:uid="{00000000-0005-0000-0000-00005F190000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3" xfId="22753" xr:uid="{00000000-0005-0000-0000-000064190000}"/>
    <cellStyle name="Millares 2 2 2 3 2 4 2 3" xfId="12838" xr:uid="{00000000-0005-0000-0000-000065190000}"/>
    <cellStyle name="Millares 2 2 2 3 2 4 2 4" xfId="19525" xr:uid="{00000000-0005-0000-0000-000066190000}"/>
    <cellStyle name="Millares 2 2 2 3 2 4 3" xfId="8257" xr:uid="{00000000-0005-0000-0000-000067190000}"/>
    <cellStyle name="Millares 2 2 2 3 2 4 3 2" xfId="14835" xr:uid="{00000000-0005-0000-0000-000068190000}"/>
    <cellStyle name="Millares 2 2 2 3 2 4 3 3" xfId="21522" xr:uid="{00000000-0005-0000-0000-000069190000}"/>
    <cellStyle name="Millares 2 2 2 3 2 4 4" xfId="11586" xr:uid="{00000000-0005-0000-0000-00006A190000}"/>
    <cellStyle name="Millares 2 2 2 3 2 4 5" xfId="18294" xr:uid="{00000000-0005-0000-0000-00006B190000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3" xfId="20685" xr:uid="{00000000-0005-0000-0000-00006F190000}"/>
    <cellStyle name="Millares 2 2 2 3 2 5 3" xfId="10682" xr:uid="{00000000-0005-0000-0000-000070190000}"/>
    <cellStyle name="Millares 2 2 2 3 2 5 4" xfId="17457" xr:uid="{00000000-0005-0000-0000-00007119000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3" xfId="21916" xr:uid="{00000000-0005-0000-0000-000075190000}"/>
    <cellStyle name="Millares 2 2 2 3 2 6 3" xfId="12001" xr:uid="{00000000-0005-0000-0000-000076190000}"/>
    <cellStyle name="Millares 2 2 2 3 2 6 4" xfId="18688" xr:uid="{00000000-0005-0000-0000-000077190000}"/>
    <cellStyle name="Millares 2 2 2 3 2 7" xfId="6628" xr:uid="{00000000-0005-0000-0000-000078190000}"/>
    <cellStyle name="Millares 2 2 2 3 2 7 2" xfId="13206" xr:uid="{00000000-0005-0000-0000-000079190000}"/>
    <cellStyle name="Millares 2 2 2 3 2 7 3" xfId="19893" xr:uid="{00000000-0005-0000-0000-00007A190000}"/>
    <cellStyle name="Millares 2 2 2 3 2 8" xfId="9871" xr:uid="{00000000-0005-0000-0000-00007B190000}"/>
    <cellStyle name="Millares 2 2 2 3 2 9" xfId="16322" xr:uid="{00000000-0005-0000-0000-00007C190000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3" xfId="21134" xr:uid="{00000000-0005-0000-0000-000082190000}"/>
    <cellStyle name="Millares 2 2 2 3 3 2 2 3" xfId="11156" xr:uid="{00000000-0005-0000-0000-000083190000}"/>
    <cellStyle name="Millares 2 2 2 3 3 2 2 4" xfId="17906" xr:uid="{00000000-0005-0000-0000-000084190000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3" xfId="22365" xr:uid="{00000000-0005-0000-0000-000088190000}"/>
    <cellStyle name="Millares 2 2 2 3 3 2 3 3" xfId="12450" xr:uid="{00000000-0005-0000-0000-000089190000}"/>
    <cellStyle name="Millares 2 2 2 3 3 2 3 4" xfId="19137" xr:uid="{00000000-0005-0000-0000-00008A190000}"/>
    <cellStyle name="Millares 2 2 2 3 3 2 4" xfId="7117" xr:uid="{00000000-0005-0000-0000-00008B190000}"/>
    <cellStyle name="Millares 2 2 2 3 3 2 4 2" xfId="13695" xr:uid="{00000000-0005-0000-0000-00008C190000}"/>
    <cellStyle name="Millares 2 2 2 3 3 2 4 3" xfId="20382" xr:uid="{00000000-0005-0000-0000-00008D190000}"/>
    <cellStyle name="Millares 2 2 2 3 3 2 5" xfId="10378" xr:uid="{00000000-0005-0000-0000-00008E190000}"/>
    <cellStyle name="Millares 2 2 2 3 3 2 6" xfId="17154" xr:uid="{00000000-0005-0000-0000-00008F190000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3" xfId="22830" xr:uid="{00000000-0005-0000-0000-000094190000}"/>
    <cellStyle name="Millares 2 2 2 3 3 3 2 3" xfId="12915" xr:uid="{00000000-0005-0000-0000-000095190000}"/>
    <cellStyle name="Millares 2 2 2 3 3 3 2 4" xfId="19602" xr:uid="{00000000-0005-0000-0000-000096190000}"/>
    <cellStyle name="Millares 2 2 2 3 3 3 3" xfId="8334" xr:uid="{00000000-0005-0000-0000-000097190000}"/>
    <cellStyle name="Millares 2 2 2 3 3 3 3 2" xfId="14912" xr:uid="{00000000-0005-0000-0000-000098190000}"/>
    <cellStyle name="Millares 2 2 2 3 3 3 3 3" xfId="21599" xr:uid="{00000000-0005-0000-0000-000099190000}"/>
    <cellStyle name="Millares 2 2 2 3 3 3 4" xfId="11669" xr:uid="{00000000-0005-0000-0000-00009A190000}"/>
    <cellStyle name="Millares 2 2 2 3 3 3 5" xfId="18371" xr:uid="{00000000-0005-0000-0000-00009B190000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3" xfId="20738" xr:uid="{00000000-0005-0000-0000-00009F190000}"/>
    <cellStyle name="Millares 2 2 2 3 3 4 3" xfId="10735" xr:uid="{00000000-0005-0000-0000-0000A0190000}"/>
    <cellStyle name="Millares 2 2 2 3 3 4 4" xfId="17510" xr:uid="{00000000-0005-0000-0000-0000A1190000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3" xfId="21969" xr:uid="{00000000-0005-0000-0000-0000A5190000}"/>
    <cellStyle name="Millares 2 2 2 3 3 5 3" xfId="12054" xr:uid="{00000000-0005-0000-0000-0000A6190000}"/>
    <cellStyle name="Millares 2 2 2 3 3 5 4" xfId="18741" xr:uid="{00000000-0005-0000-0000-0000A7190000}"/>
    <cellStyle name="Millares 2 2 2 3 3 6" xfId="6729" xr:uid="{00000000-0005-0000-0000-0000A8190000}"/>
    <cellStyle name="Millares 2 2 2 3 3 6 2" xfId="13307" xr:uid="{00000000-0005-0000-0000-0000A9190000}"/>
    <cellStyle name="Millares 2 2 2 3 3 6 3" xfId="19994" xr:uid="{00000000-0005-0000-0000-0000AA190000}"/>
    <cellStyle name="Millares 2 2 2 3 3 7" xfId="9978" xr:uid="{00000000-0005-0000-0000-0000AB190000}"/>
    <cellStyle name="Millares 2 2 2 3 3 8" xfId="16766" xr:uid="{00000000-0005-0000-0000-0000AC190000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3" xfId="22494" xr:uid="{00000000-0005-0000-0000-0000B2190000}"/>
    <cellStyle name="Millares 2 2 2 3 4 2 2 3" xfId="12579" xr:uid="{00000000-0005-0000-0000-0000B3190000}"/>
    <cellStyle name="Millares 2 2 2 3 4 2 2 4" xfId="19266" xr:uid="{00000000-0005-0000-0000-0000B4190000}"/>
    <cellStyle name="Millares 2 2 2 3 4 2 3" xfId="7998" xr:uid="{00000000-0005-0000-0000-0000B5190000}"/>
    <cellStyle name="Millares 2 2 2 3 4 2 3 2" xfId="14576" xr:uid="{00000000-0005-0000-0000-0000B6190000}"/>
    <cellStyle name="Millares 2 2 2 3 4 2 3 3" xfId="21263" xr:uid="{00000000-0005-0000-0000-0000B7190000}"/>
    <cellStyle name="Millares 2 2 2 3 4 2 4" xfId="11295" xr:uid="{00000000-0005-0000-0000-0000B8190000}"/>
    <cellStyle name="Millares 2 2 2 3 4 2 5" xfId="18035" xr:uid="{00000000-0005-0000-0000-0000B9190000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3" xfId="20867" xr:uid="{00000000-0005-0000-0000-0000BD190000}"/>
    <cellStyle name="Millares 2 2 2 3 4 3 3" xfId="10869" xr:uid="{00000000-0005-0000-0000-0000BE190000}"/>
    <cellStyle name="Millares 2 2 2 3 4 3 4" xfId="17639" xr:uid="{00000000-0005-0000-0000-0000BF190000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3" xfId="22098" xr:uid="{00000000-0005-0000-0000-0000C3190000}"/>
    <cellStyle name="Millares 2 2 2 3 4 4 3" xfId="12183" xr:uid="{00000000-0005-0000-0000-0000C4190000}"/>
    <cellStyle name="Millares 2 2 2 3 4 4 4" xfId="18870" xr:uid="{00000000-0005-0000-0000-0000C5190000}"/>
    <cellStyle name="Millares 2 2 2 3 4 5" xfId="6924" xr:uid="{00000000-0005-0000-0000-0000C6190000}"/>
    <cellStyle name="Millares 2 2 2 3 4 5 2" xfId="13502" xr:uid="{00000000-0005-0000-0000-0000C7190000}"/>
    <cellStyle name="Millares 2 2 2 3 4 5 3" xfId="20189" xr:uid="{00000000-0005-0000-0000-0000C8190000}"/>
    <cellStyle name="Millares 2 2 2 3 4 6" xfId="10185" xr:uid="{00000000-0005-0000-0000-0000C9190000}"/>
    <cellStyle name="Millares 2 2 2 3 4 7" xfId="16961" xr:uid="{00000000-0005-0000-0000-0000CA190000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3" xfId="22206" xr:uid="{00000000-0005-0000-0000-0000CF190000}"/>
    <cellStyle name="Millares 2 2 2 3 5 2 3" xfId="12291" xr:uid="{00000000-0005-0000-0000-0000D0190000}"/>
    <cellStyle name="Millares 2 2 2 3 5 2 4" xfId="18978" xr:uid="{00000000-0005-0000-0000-0000D1190000}"/>
    <cellStyle name="Millares 2 2 2 3 5 3" xfId="7710" xr:uid="{00000000-0005-0000-0000-0000D2190000}"/>
    <cellStyle name="Millares 2 2 2 3 5 3 2" xfId="14288" xr:uid="{00000000-0005-0000-0000-0000D3190000}"/>
    <cellStyle name="Millares 2 2 2 3 5 3 3" xfId="20975" xr:uid="{00000000-0005-0000-0000-0000D4190000}"/>
    <cellStyle name="Millares 2 2 2 3 5 4" xfId="10986" xr:uid="{00000000-0005-0000-0000-0000D5190000}"/>
    <cellStyle name="Millares 2 2 2 3 5 5" xfId="17747" xr:uid="{00000000-0005-0000-0000-0000D6190000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3" xfId="22586" xr:uid="{00000000-0005-0000-0000-0000DB190000}"/>
    <cellStyle name="Millares 2 2 2 3 6 2 3" xfId="12671" xr:uid="{00000000-0005-0000-0000-0000DC190000}"/>
    <cellStyle name="Millares 2 2 2 3 6 2 4" xfId="19358" xr:uid="{00000000-0005-0000-0000-0000DD190000}"/>
    <cellStyle name="Millares 2 2 2 3 6 3" xfId="8090" xr:uid="{00000000-0005-0000-0000-0000DE190000}"/>
    <cellStyle name="Millares 2 2 2 3 6 3 2" xfId="14668" xr:uid="{00000000-0005-0000-0000-0000DF190000}"/>
    <cellStyle name="Millares 2 2 2 3 6 3 3" xfId="21355" xr:uid="{00000000-0005-0000-0000-0000E0190000}"/>
    <cellStyle name="Millares 2 2 2 3 6 4" xfId="11396" xr:uid="{00000000-0005-0000-0000-0000E1190000}"/>
    <cellStyle name="Millares 2 2 2 3 6 5" xfId="18127" xr:uid="{00000000-0005-0000-0000-0000E2190000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3" xfId="22729" xr:uid="{00000000-0005-0000-0000-0000E7190000}"/>
    <cellStyle name="Millares 2 2 2 3 7 2 3" xfId="12814" xr:uid="{00000000-0005-0000-0000-0000E8190000}"/>
    <cellStyle name="Millares 2 2 2 3 7 2 4" xfId="19501" xr:uid="{00000000-0005-0000-0000-0000E9190000}"/>
    <cellStyle name="Millares 2 2 2 3 7 3" xfId="8233" xr:uid="{00000000-0005-0000-0000-0000EA190000}"/>
    <cellStyle name="Millares 2 2 2 3 7 3 2" xfId="14811" xr:uid="{00000000-0005-0000-0000-0000EB190000}"/>
    <cellStyle name="Millares 2 2 2 3 7 3 3" xfId="21498" xr:uid="{00000000-0005-0000-0000-0000EC190000}"/>
    <cellStyle name="Millares 2 2 2 3 7 4" xfId="11562" xr:uid="{00000000-0005-0000-0000-0000ED190000}"/>
    <cellStyle name="Millares 2 2 2 3 7 5" xfId="18270" xr:uid="{00000000-0005-0000-0000-0000EE190000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3" xfId="20579" xr:uid="{00000000-0005-0000-0000-0000F2190000}"/>
    <cellStyle name="Millares 2 2 2 3 8 3" xfId="10576" xr:uid="{00000000-0005-0000-0000-0000F3190000}"/>
    <cellStyle name="Millares 2 2 2 3 8 4" xfId="17351" xr:uid="{00000000-0005-0000-0000-0000F4190000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3" xfId="21810" xr:uid="{00000000-0005-0000-0000-0000F8190000}"/>
    <cellStyle name="Millares 2 2 2 3 9 3" xfId="11895" xr:uid="{00000000-0005-0000-0000-0000F9190000}"/>
    <cellStyle name="Millares 2 2 2 3 9 4" xfId="18582" xr:uid="{00000000-0005-0000-0000-0000FA190000}"/>
    <cellStyle name="Millares 2 2 2 4" xfId="482" xr:uid="{00000000-0005-0000-0000-0000FB190000}"/>
    <cellStyle name="Millares 2 2 2 4 10" xfId="16620" xr:uid="{00000000-0005-0000-0000-0000FC190000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3" xfId="21646" xr:uid="{00000000-0005-0000-0000-0000021A0000}"/>
    <cellStyle name="Millares 2 2 2 4 2 2 2 3" xfId="11723" xr:uid="{00000000-0005-0000-0000-0000031A0000}"/>
    <cellStyle name="Millares 2 2 2 4 2 2 2 4" xfId="18418" xr:uid="{00000000-0005-0000-0000-0000041A0000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3" xfId="22877" xr:uid="{00000000-0005-0000-0000-0000081A0000}"/>
    <cellStyle name="Millares 2 2 2 4 2 2 3 3" xfId="12962" xr:uid="{00000000-0005-0000-0000-0000091A0000}"/>
    <cellStyle name="Millares 2 2 2 4 2 2 3 4" xfId="19649" xr:uid="{00000000-0005-0000-0000-00000A1A0000}"/>
    <cellStyle name="Millares 2 2 2 4 2 2 4" xfId="7164" xr:uid="{00000000-0005-0000-0000-00000B1A0000}"/>
    <cellStyle name="Millares 2 2 2 4 2 2 4 2" xfId="13742" xr:uid="{00000000-0005-0000-0000-00000C1A0000}"/>
    <cellStyle name="Millares 2 2 2 4 2 2 4 3" xfId="20429" xr:uid="{00000000-0005-0000-0000-00000D1A0000}"/>
    <cellStyle name="Millares 2 2 2 4 2 2 5" xfId="10425" xr:uid="{00000000-0005-0000-0000-00000E1A0000}"/>
    <cellStyle name="Millares 2 2 2 4 2 2 6" xfId="17201" xr:uid="{00000000-0005-0000-0000-00000F1A0000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3" xfId="21035" xr:uid="{00000000-0005-0000-0000-0000131A0000}"/>
    <cellStyle name="Millares 2 2 2 4 2 3 3" xfId="11051" xr:uid="{00000000-0005-0000-0000-0000141A0000}"/>
    <cellStyle name="Millares 2 2 2 4 2 3 4" xfId="17807" xr:uid="{00000000-0005-0000-0000-0000151A0000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3" xfId="22266" xr:uid="{00000000-0005-0000-0000-0000191A0000}"/>
    <cellStyle name="Millares 2 2 2 4 2 4 3" xfId="12351" xr:uid="{00000000-0005-0000-0000-00001A1A0000}"/>
    <cellStyle name="Millares 2 2 2 4 2 4 4" xfId="19038" xr:uid="{00000000-0005-0000-0000-00001B1A0000}"/>
    <cellStyle name="Millares 2 2 2 4 2 5" xfId="6776" xr:uid="{00000000-0005-0000-0000-00001C1A0000}"/>
    <cellStyle name="Millares 2 2 2 4 2 5 2" xfId="13354" xr:uid="{00000000-0005-0000-0000-00001D1A0000}"/>
    <cellStyle name="Millares 2 2 2 4 2 5 3" xfId="20041" xr:uid="{00000000-0005-0000-0000-00001E1A0000}"/>
    <cellStyle name="Millares 2 2 2 4 2 6" xfId="10031" xr:uid="{00000000-0005-0000-0000-00001F1A0000}"/>
    <cellStyle name="Millares 2 2 2 4 2 7" xfId="10973" xr:uid="{00000000-0005-0000-0000-0000201A0000}"/>
    <cellStyle name="Millares 2 2 2 4 2 8" xfId="16813" xr:uid="{00000000-0005-0000-0000-0000211A0000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3" xfId="21402" xr:uid="{00000000-0005-0000-0000-0000261A0000}"/>
    <cellStyle name="Millares 2 2 2 4 3 2 3" xfId="11450" xr:uid="{00000000-0005-0000-0000-0000271A0000}"/>
    <cellStyle name="Millares 2 2 2 4 3 2 4" xfId="18174" xr:uid="{00000000-0005-0000-0000-0000281A0000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3" xfId="22633" xr:uid="{00000000-0005-0000-0000-00002C1A0000}"/>
    <cellStyle name="Millares 2 2 2 4 3 3 3" xfId="12718" xr:uid="{00000000-0005-0000-0000-00002D1A0000}"/>
    <cellStyle name="Millares 2 2 2 4 3 3 4" xfId="19405" xr:uid="{00000000-0005-0000-0000-00002E1A0000}"/>
    <cellStyle name="Millares 2 2 2 4 3 4" xfId="6971" xr:uid="{00000000-0005-0000-0000-00002F1A0000}"/>
    <cellStyle name="Millares 2 2 2 4 3 4 2" xfId="13549" xr:uid="{00000000-0005-0000-0000-0000301A0000}"/>
    <cellStyle name="Millares 2 2 2 4 3 4 3" xfId="20236" xr:uid="{00000000-0005-0000-0000-0000311A0000}"/>
    <cellStyle name="Millares 2 2 2 4 3 5" xfId="10232" xr:uid="{00000000-0005-0000-0000-0000321A0000}"/>
    <cellStyle name="Millares 2 2 2 4 3 6" xfId="17008" xr:uid="{00000000-0005-0000-0000-0000331A0000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3" xfId="22741" xr:uid="{00000000-0005-0000-0000-0000381A0000}"/>
    <cellStyle name="Millares 2 2 2 4 4 2 3" xfId="12826" xr:uid="{00000000-0005-0000-0000-0000391A0000}"/>
    <cellStyle name="Millares 2 2 2 4 4 2 4" xfId="19513" xr:uid="{00000000-0005-0000-0000-00003A1A0000}"/>
    <cellStyle name="Millares 2 2 2 4 4 3" xfId="8245" xr:uid="{00000000-0005-0000-0000-00003B1A0000}"/>
    <cellStyle name="Millares 2 2 2 4 4 3 2" xfId="14823" xr:uid="{00000000-0005-0000-0000-00003C1A0000}"/>
    <cellStyle name="Millares 2 2 2 4 4 3 3" xfId="21510" xr:uid="{00000000-0005-0000-0000-00003D1A0000}"/>
    <cellStyle name="Millares 2 2 2 4 4 4" xfId="11574" xr:uid="{00000000-0005-0000-0000-00003E1A0000}"/>
    <cellStyle name="Millares 2 2 2 4 4 5" xfId="18282" xr:uid="{00000000-0005-0000-0000-00003F1A0000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3" xfId="20639" xr:uid="{00000000-0005-0000-0000-0000431A0000}"/>
    <cellStyle name="Millares 2 2 2 4 5 3" xfId="10636" xr:uid="{00000000-0005-0000-0000-0000441A0000}"/>
    <cellStyle name="Millares 2 2 2 4 5 4" xfId="17411" xr:uid="{00000000-0005-0000-0000-0000451A0000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3" xfId="21870" xr:uid="{00000000-0005-0000-0000-0000491A0000}"/>
    <cellStyle name="Millares 2 2 2 4 6 3" xfId="11955" xr:uid="{00000000-0005-0000-0000-00004A1A0000}"/>
    <cellStyle name="Millares 2 2 2 4 6 4" xfId="18642" xr:uid="{00000000-0005-0000-0000-00004B1A0000}"/>
    <cellStyle name="Millares 2 2 2 4 7" xfId="6583" xr:uid="{00000000-0005-0000-0000-00004C1A0000}"/>
    <cellStyle name="Millares 2 2 2 4 7 2" xfId="13161" xr:uid="{00000000-0005-0000-0000-00004D1A0000}"/>
    <cellStyle name="Millares 2 2 2 4 7 3" xfId="19848" xr:uid="{00000000-0005-0000-0000-00004E1A0000}"/>
    <cellStyle name="Millares 2 2 2 4 8" xfId="9821" xr:uid="{00000000-0005-0000-0000-00004F1A0000}"/>
    <cellStyle name="Millares 2 2 2 4 9" xfId="11469" xr:uid="{00000000-0005-0000-0000-0000501A0000}"/>
    <cellStyle name="Millares 2 2 2 5" xfId="845" xr:uid="{00000000-0005-0000-0000-0000511A0000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3" xfId="21131" xr:uid="{00000000-0005-0000-0000-0000561A0000}"/>
    <cellStyle name="Millares 2 2 2 5 2 2 3" xfId="11153" xr:uid="{00000000-0005-0000-0000-0000571A0000}"/>
    <cellStyle name="Millares 2 2 2 5 2 2 4" xfId="17903" xr:uid="{00000000-0005-0000-0000-0000581A0000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3" xfId="22362" xr:uid="{00000000-0005-0000-0000-00005C1A0000}"/>
    <cellStyle name="Millares 2 2 2 5 2 3 3" xfId="12447" xr:uid="{00000000-0005-0000-0000-00005D1A0000}"/>
    <cellStyle name="Millares 2 2 2 5 2 3 4" xfId="19134" xr:uid="{00000000-0005-0000-0000-00005E1A0000}"/>
    <cellStyle name="Millares 2 2 2 5 2 4" xfId="7070" xr:uid="{00000000-0005-0000-0000-00005F1A0000}"/>
    <cellStyle name="Millares 2 2 2 5 2 4 2" xfId="13648" xr:uid="{00000000-0005-0000-0000-0000601A0000}"/>
    <cellStyle name="Millares 2 2 2 5 2 4 3" xfId="20335" xr:uid="{00000000-0005-0000-0000-0000611A0000}"/>
    <cellStyle name="Millares 2 2 2 5 2 5" xfId="10331" xr:uid="{00000000-0005-0000-0000-0000621A0000}"/>
    <cellStyle name="Millares 2 2 2 5 2 6" xfId="16381" xr:uid="{00000000-0005-0000-0000-0000631A0000}"/>
    <cellStyle name="Millares 2 2 2 5 2 7" xfId="17107" xr:uid="{00000000-0005-0000-0000-0000641A0000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3" xfId="22783" xr:uid="{00000000-0005-0000-0000-0000691A0000}"/>
    <cellStyle name="Millares 2 2 2 5 3 2 3" xfId="12868" xr:uid="{00000000-0005-0000-0000-00006A1A0000}"/>
    <cellStyle name="Millares 2 2 2 5 3 2 4" xfId="19555" xr:uid="{00000000-0005-0000-0000-00006B1A0000}"/>
    <cellStyle name="Millares 2 2 2 5 3 3" xfId="8287" xr:uid="{00000000-0005-0000-0000-00006C1A0000}"/>
    <cellStyle name="Millares 2 2 2 5 3 3 2" xfId="14865" xr:uid="{00000000-0005-0000-0000-00006D1A0000}"/>
    <cellStyle name="Millares 2 2 2 5 3 3 3" xfId="21552" xr:uid="{00000000-0005-0000-0000-00006E1A0000}"/>
    <cellStyle name="Millares 2 2 2 5 3 4" xfId="11618" xr:uid="{00000000-0005-0000-0000-00006F1A0000}"/>
    <cellStyle name="Millares 2 2 2 5 3 5" xfId="18324" xr:uid="{00000000-0005-0000-0000-0000701A0000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3" xfId="20735" xr:uid="{00000000-0005-0000-0000-0000741A0000}"/>
    <cellStyle name="Millares 2 2 2 5 4 3" xfId="10732" xr:uid="{00000000-0005-0000-0000-0000751A0000}"/>
    <cellStyle name="Millares 2 2 2 5 4 4" xfId="17507" xr:uid="{00000000-0005-0000-0000-0000761A0000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3" xfId="21966" xr:uid="{00000000-0005-0000-0000-00007A1A0000}"/>
    <cellStyle name="Millares 2 2 2 5 5 3" xfId="12051" xr:uid="{00000000-0005-0000-0000-00007B1A0000}"/>
    <cellStyle name="Millares 2 2 2 5 5 4" xfId="18738" xr:uid="{00000000-0005-0000-0000-00007C1A0000}"/>
    <cellStyle name="Millares 2 2 2 5 6" xfId="6682" xr:uid="{00000000-0005-0000-0000-00007D1A0000}"/>
    <cellStyle name="Millares 2 2 2 5 6 2" xfId="13260" xr:uid="{00000000-0005-0000-0000-00007E1A0000}"/>
    <cellStyle name="Millares 2 2 2 5 6 3" xfId="19947" xr:uid="{00000000-0005-0000-0000-00007F1A0000}"/>
    <cellStyle name="Millares 2 2 2 5 7" xfId="9928" xr:uid="{00000000-0005-0000-0000-0000801A0000}"/>
    <cellStyle name="Millares 2 2 2 5 8" xfId="10994" xr:uid="{00000000-0005-0000-0000-0000811A0000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3" xfId="22449" xr:uid="{00000000-0005-0000-0000-0000881A0000}"/>
    <cellStyle name="Millares 2 2 2 6 2 2 3" xfId="12534" xr:uid="{00000000-0005-0000-0000-0000891A0000}"/>
    <cellStyle name="Millares 2 2 2 6 2 2 4" xfId="19221" xr:uid="{00000000-0005-0000-0000-00008A1A0000}"/>
    <cellStyle name="Millares 2 2 2 6 2 3" xfId="7953" xr:uid="{00000000-0005-0000-0000-00008B1A0000}"/>
    <cellStyle name="Millares 2 2 2 6 2 3 2" xfId="14531" xr:uid="{00000000-0005-0000-0000-00008C1A0000}"/>
    <cellStyle name="Millares 2 2 2 6 2 3 3" xfId="21218" xr:uid="{00000000-0005-0000-0000-00008D1A0000}"/>
    <cellStyle name="Millares 2 2 2 6 2 4" xfId="11246" xr:uid="{00000000-0005-0000-0000-00008E1A0000}"/>
    <cellStyle name="Millares 2 2 2 6 2 5" xfId="17990" xr:uid="{00000000-0005-0000-0000-00008F1A0000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3" xfId="20822" xr:uid="{00000000-0005-0000-0000-0000931A0000}"/>
    <cellStyle name="Millares 2 2 2 6 3 3" xfId="10820" xr:uid="{00000000-0005-0000-0000-0000941A0000}"/>
    <cellStyle name="Millares 2 2 2 6 3 4" xfId="17594" xr:uid="{00000000-0005-0000-0000-0000951A0000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3" xfId="22053" xr:uid="{00000000-0005-0000-0000-0000991A0000}"/>
    <cellStyle name="Millares 2 2 2 6 4 3" xfId="12138" xr:uid="{00000000-0005-0000-0000-00009A1A0000}"/>
    <cellStyle name="Millares 2 2 2 6 4 4" xfId="18825" xr:uid="{00000000-0005-0000-0000-00009B1A0000}"/>
    <cellStyle name="Millares 2 2 2 6 5" xfId="6877" xr:uid="{00000000-0005-0000-0000-00009C1A0000}"/>
    <cellStyle name="Millares 2 2 2 6 5 2" xfId="13455" xr:uid="{00000000-0005-0000-0000-00009D1A0000}"/>
    <cellStyle name="Millares 2 2 2 6 5 3" xfId="20142" xr:uid="{00000000-0005-0000-0000-00009E1A0000}"/>
    <cellStyle name="Millares 2 2 2 6 6" xfId="10138" xr:uid="{00000000-0005-0000-0000-00009F1A0000}"/>
    <cellStyle name="Millares 2 2 2 6 7" xfId="16914" xr:uid="{00000000-0005-0000-0000-0000A01A0000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3" xfId="22160" xr:uid="{00000000-0005-0000-0000-0000A51A0000}"/>
    <cellStyle name="Millares 2 2 2 7 2 3" xfId="12245" xr:uid="{00000000-0005-0000-0000-0000A61A0000}"/>
    <cellStyle name="Millares 2 2 2 7 2 4" xfId="18932" xr:uid="{00000000-0005-0000-0000-0000A71A0000}"/>
    <cellStyle name="Millares 2 2 2 7 3" xfId="7664" xr:uid="{00000000-0005-0000-0000-0000A81A0000}"/>
    <cellStyle name="Millares 2 2 2 7 3 2" xfId="14242" xr:uid="{00000000-0005-0000-0000-0000A91A0000}"/>
    <cellStyle name="Millares 2 2 2 7 3 3" xfId="20929" xr:uid="{00000000-0005-0000-0000-0000AA1A0000}"/>
    <cellStyle name="Millares 2 2 2 7 4" xfId="10936" xr:uid="{00000000-0005-0000-0000-0000AB1A0000}"/>
    <cellStyle name="Millares 2 2 2 7 5" xfId="17701" xr:uid="{00000000-0005-0000-0000-0000AC1A0000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3" xfId="22541" xr:uid="{00000000-0005-0000-0000-0000B11A0000}"/>
    <cellStyle name="Millares 2 2 2 8 2 3" xfId="12626" xr:uid="{00000000-0005-0000-0000-0000B21A0000}"/>
    <cellStyle name="Millares 2 2 2 8 2 4" xfId="19313" xr:uid="{00000000-0005-0000-0000-0000B31A0000}"/>
    <cellStyle name="Millares 2 2 2 8 3" xfId="8045" xr:uid="{00000000-0005-0000-0000-0000B41A0000}"/>
    <cellStyle name="Millares 2 2 2 8 3 2" xfId="14623" xr:uid="{00000000-0005-0000-0000-0000B51A0000}"/>
    <cellStyle name="Millares 2 2 2 8 3 3" xfId="21310" xr:uid="{00000000-0005-0000-0000-0000B61A0000}"/>
    <cellStyle name="Millares 2 2 2 8 4" xfId="11346" xr:uid="{00000000-0005-0000-0000-0000B71A0000}"/>
    <cellStyle name="Millares 2 2 2 8 5" xfId="18082" xr:uid="{00000000-0005-0000-0000-0000B81A0000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3" xfId="22717" xr:uid="{00000000-0005-0000-0000-0000BD1A0000}"/>
    <cellStyle name="Millares 2 2 2 9 2 3" xfId="12802" xr:uid="{00000000-0005-0000-0000-0000BE1A0000}"/>
    <cellStyle name="Millares 2 2 2 9 2 4" xfId="19489" xr:uid="{00000000-0005-0000-0000-0000BF1A0000}"/>
    <cellStyle name="Millares 2 2 2 9 3" xfId="8221" xr:uid="{00000000-0005-0000-0000-0000C01A0000}"/>
    <cellStyle name="Millares 2 2 2 9 3 2" xfId="14799" xr:uid="{00000000-0005-0000-0000-0000C11A0000}"/>
    <cellStyle name="Millares 2 2 2 9 3 3" xfId="21486" xr:uid="{00000000-0005-0000-0000-0000C21A0000}"/>
    <cellStyle name="Millares 2 2 2 9 4" xfId="11550" xr:uid="{00000000-0005-0000-0000-0000C31A0000}"/>
    <cellStyle name="Millares 2 2 2 9 5" xfId="18258" xr:uid="{00000000-0005-0000-0000-0000C41A0000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3" xfId="21777" xr:uid="{00000000-0005-0000-0000-0000C91A0000}"/>
    <cellStyle name="Millares 2 2 3 10 3" xfId="11862" xr:uid="{00000000-0005-0000-0000-0000CA1A0000}"/>
    <cellStyle name="Millares 2 2 3 10 4" xfId="18549" xr:uid="{00000000-0005-0000-0000-0000CB1A0000}"/>
    <cellStyle name="Millares 2 2 3 11" xfId="6502" xr:uid="{00000000-0005-0000-0000-0000CC1A0000}"/>
    <cellStyle name="Millares 2 2 3 11 2" xfId="13080" xr:uid="{00000000-0005-0000-0000-0000CD1A0000}"/>
    <cellStyle name="Millares 2 2 3 11 3" xfId="19767" xr:uid="{00000000-0005-0000-0000-0000CE1A0000}"/>
    <cellStyle name="Millares 2 2 3 12" xfId="9736" xr:uid="{00000000-0005-0000-0000-0000CF1A0000}"/>
    <cellStyle name="Millares 2 2 3 13" xfId="11132" xr:uid="{00000000-0005-0000-0000-0000D01A0000}"/>
    <cellStyle name="Millares 2 2 3 14" xfId="16539" xr:uid="{00000000-0005-0000-0000-0000D11A0000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3" xfId="19813" xr:uid="{00000000-0005-0000-0000-0000D51A0000}"/>
    <cellStyle name="Millares 2 2 3 2 11" xfId="9785" xr:uid="{00000000-0005-0000-0000-0000D61A0000}"/>
    <cellStyle name="Millares 2 2 3 2 12" xfId="16305" xr:uid="{00000000-0005-0000-0000-0000D71A0000}"/>
    <cellStyle name="Millares 2 2 3 2 13" xfId="16585" xr:uid="{00000000-0005-0000-0000-0000D81A0000}"/>
    <cellStyle name="Millares 2 2 3 2 2" xfId="700" xr:uid="{00000000-0005-0000-0000-0000D91A0000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3" xfId="21703" xr:uid="{00000000-0005-0000-0000-0000DF1A0000}"/>
    <cellStyle name="Millares 2 2 3 2 2 2 2 2 3" xfId="11788" xr:uid="{00000000-0005-0000-0000-0000E01A0000}"/>
    <cellStyle name="Millares 2 2 3 2 2 2 2 2 4" xfId="18475" xr:uid="{00000000-0005-0000-0000-0000E11A0000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3" xfId="22934" xr:uid="{00000000-0005-0000-0000-0000E51A0000}"/>
    <cellStyle name="Millares 2 2 3 2 2 2 2 3 3" xfId="13019" xr:uid="{00000000-0005-0000-0000-0000E61A0000}"/>
    <cellStyle name="Millares 2 2 3 2 2 2 2 3 4" xfId="19706" xr:uid="{00000000-0005-0000-0000-0000E71A0000}"/>
    <cellStyle name="Millares 2 2 3 2 2 2 2 4" xfId="7221" xr:uid="{00000000-0005-0000-0000-0000E81A0000}"/>
    <cellStyle name="Millares 2 2 3 2 2 2 2 4 2" xfId="13799" xr:uid="{00000000-0005-0000-0000-0000E91A0000}"/>
    <cellStyle name="Millares 2 2 3 2 2 2 2 4 3" xfId="20486" xr:uid="{00000000-0005-0000-0000-0000EA1A0000}"/>
    <cellStyle name="Millares 2 2 3 2 2 2 2 5" xfId="10482" xr:uid="{00000000-0005-0000-0000-0000EB1A0000}"/>
    <cellStyle name="Millares 2 2 3 2 2 2 2 6" xfId="17258" xr:uid="{00000000-0005-0000-0000-0000EC1A0000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3" xfId="21093" xr:uid="{00000000-0005-0000-0000-0000F01A0000}"/>
    <cellStyle name="Millares 2 2 3 2 2 2 3 3" xfId="11110" xr:uid="{00000000-0005-0000-0000-0000F11A0000}"/>
    <cellStyle name="Millares 2 2 3 2 2 2 3 4" xfId="17865" xr:uid="{00000000-0005-0000-0000-0000F21A0000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3" xfId="22324" xr:uid="{00000000-0005-0000-0000-0000F61A0000}"/>
    <cellStyle name="Millares 2 2 3 2 2 2 4 3" xfId="12409" xr:uid="{00000000-0005-0000-0000-0000F71A0000}"/>
    <cellStyle name="Millares 2 2 3 2 2 2 4 4" xfId="19096" xr:uid="{00000000-0005-0000-0000-0000F81A0000}"/>
    <cellStyle name="Millares 2 2 3 2 2 2 5" xfId="6833" xr:uid="{00000000-0005-0000-0000-0000F91A0000}"/>
    <cellStyle name="Millares 2 2 3 2 2 2 5 2" xfId="13411" xr:uid="{00000000-0005-0000-0000-0000FA1A0000}"/>
    <cellStyle name="Millares 2 2 3 2 2 2 5 3" xfId="20098" xr:uid="{00000000-0005-0000-0000-0000FB1A0000}"/>
    <cellStyle name="Millares 2 2 3 2 2 2 6" xfId="10093" xr:uid="{00000000-0005-0000-0000-0000FC1A0000}"/>
    <cellStyle name="Millares 2 2 3 2 2 2 7" xfId="16870" xr:uid="{00000000-0005-0000-0000-0000FD1A0000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3" xfId="21459" xr:uid="{00000000-0005-0000-0000-0000021B0000}"/>
    <cellStyle name="Millares 2 2 3 2 2 3 2 3" xfId="11522" xr:uid="{00000000-0005-0000-0000-0000031B0000}"/>
    <cellStyle name="Millares 2 2 3 2 2 3 2 4" xfId="18231" xr:uid="{00000000-0005-0000-0000-0000041B0000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3" xfId="22690" xr:uid="{00000000-0005-0000-0000-0000081B0000}"/>
    <cellStyle name="Millares 2 2 3 2 2 3 3 3" xfId="12775" xr:uid="{00000000-0005-0000-0000-0000091B0000}"/>
    <cellStyle name="Millares 2 2 3 2 2 3 3 4" xfId="19462" xr:uid="{00000000-0005-0000-0000-00000A1B0000}"/>
    <cellStyle name="Millares 2 2 3 2 2 3 4" xfId="7028" xr:uid="{00000000-0005-0000-0000-00000B1B0000}"/>
    <cellStyle name="Millares 2 2 3 2 2 3 4 2" xfId="13606" xr:uid="{00000000-0005-0000-0000-00000C1B0000}"/>
    <cellStyle name="Millares 2 2 3 2 2 3 4 3" xfId="20293" xr:uid="{00000000-0005-0000-0000-00000D1B0000}"/>
    <cellStyle name="Millares 2 2 3 2 2 3 5" xfId="10289" xr:uid="{00000000-0005-0000-0000-00000E1B0000}"/>
    <cellStyle name="Millares 2 2 3 2 2 3 6" xfId="17065" xr:uid="{00000000-0005-0000-0000-00000F1B0000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3" xfId="22756" xr:uid="{00000000-0005-0000-0000-0000141B0000}"/>
    <cellStyle name="Millares 2 2 3 2 2 4 2 3" xfId="12841" xr:uid="{00000000-0005-0000-0000-0000151B0000}"/>
    <cellStyle name="Millares 2 2 3 2 2 4 2 4" xfId="19528" xr:uid="{00000000-0005-0000-0000-0000161B0000}"/>
    <cellStyle name="Millares 2 2 3 2 2 4 3" xfId="8260" xr:uid="{00000000-0005-0000-0000-0000171B0000}"/>
    <cellStyle name="Millares 2 2 3 2 2 4 3 2" xfId="14838" xr:uid="{00000000-0005-0000-0000-0000181B0000}"/>
    <cellStyle name="Millares 2 2 3 2 2 4 3 3" xfId="21525" xr:uid="{00000000-0005-0000-0000-0000191B0000}"/>
    <cellStyle name="Millares 2 2 3 2 2 4 4" xfId="11589" xr:uid="{00000000-0005-0000-0000-00001A1B0000}"/>
    <cellStyle name="Millares 2 2 3 2 2 4 5" xfId="18297" xr:uid="{00000000-0005-0000-0000-00001B1B0000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3" xfId="20697" xr:uid="{00000000-0005-0000-0000-00001F1B0000}"/>
    <cellStyle name="Millares 2 2 3 2 2 5 3" xfId="10694" xr:uid="{00000000-0005-0000-0000-0000201B0000}"/>
    <cellStyle name="Millares 2 2 3 2 2 5 4" xfId="17469" xr:uid="{00000000-0005-0000-0000-0000211B0000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3" xfId="21928" xr:uid="{00000000-0005-0000-0000-0000251B0000}"/>
    <cellStyle name="Millares 2 2 3 2 2 6 3" xfId="12013" xr:uid="{00000000-0005-0000-0000-0000261B0000}"/>
    <cellStyle name="Millares 2 2 3 2 2 6 4" xfId="18700" xr:uid="{00000000-0005-0000-0000-0000271B0000}"/>
    <cellStyle name="Millares 2 2 3 2 2 7" xfId="6640" xr:uid="{00000000-0005-0000-0000-0000281B0000}"/>
    <cellStyle name="Millares 2 2 3 2 2 7 2" xfId="13218" xr:uid="{00000000-0005-0000-0000-0000291B0000}"/>
    <cellStyle name="Millares 2 2 3 2 2 7 3" xfId="19905" xr:uid="{00000000-0005-0000-0000-00002A1B0000}"/>
    <cellStyle name="Millares 2 2 3 2 2 8" xfId="9884" xr:uid="{00000000-0005-0000-0000-00002B1B0000}"/>
    <cellStyle name="Millares 2 2 3 2 2 9" xfId="16677" xr:uid="{00000000-0005-0000-0000-00002C1B000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3" xfId="21136" xr:uid="{00000000-0005-0000-0000-0000321B0000}"/>
    <cellStyle name="Millares 2 2 3 2 3 2 2 3" xfId="11158" xr:uid="{00000000-0005-0000-0000-0000331B0000}"/>
    <cellStyle name="Millares 2 2 3 2 3 2 2 4" xfId="17908" xr:uid="{00000000-0005-0000-0000-0000341B0000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3" xfId="22367" xr:uid="{00000000-0005-0000-0000-0000381B0000}"/>
    <cellStyle name="Millares 2 2 3 2 3 2 3 3" xfId="12452" xr:uid="{00000000-0005-0000-0000-0000391B0000}"/>
    <cellStyle name="Millares 2 2 3 2 3 2 3 4" xfId="19139" xr:uid="{00000000-0005-0000-0000-00003A1B0000}"/>
    <cellStyle name="Millares 2 2 3 2 3 2 4" xfId="7129" xr:uid="{00000000-0005-0000-0000-00003B1B0000}"/>
    <cellStyle name="Millares 2 2 3 2 3 2 4 2" xfId="13707" xr:uid="{00000000-0005-0000-0000-00003C1B0000}"/>
    <cellStyle name="Millares 2 2 3 2 3 2 4 3" xfId="20394" xr:uid="{00000000-0005-0000-0000-00003D1B0000}"/>
    <cellStyle name="Millares 2 2 3 2 3 2 5" xfId="10390" xr:uid="{00000000-0005-0000-0000-00003E1B0000}"/>
    <cellStyle name="Millares 2 2 3 2 3 2 6" xfId="17166" xr:uid="{00000000-0005-0000-0000-00003F1B0000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3" xfId="22842" xr:uid="{00000000-0005-0000-0000-0000441B0000}"/>
    <cellStyle name="Millares 2 2 3 2 3 3 2 3" xfId="12927" xr:uid="{00000000-0005-0000-0000-0000451B0000}"/>
    <cellStyle name="Millares 2 2 3 2 3 3 2 4" xfId="19614" xr:uid="{00000000-0005-0000-0000-0000461B0000}"/>
    <cellStyle name="Millares 2 2 3 2 3 3 3" xfId="8346" xr:uid="{00000000-0005-0000-0000-0000471B0000}"/>
    <cellStyle name="Millares 2 2 3 2 3 3 3 2" xfId="14924" xr:uid="{00000000-0005-0000-0000-0000481B0000}"/>
    <cellStyle name="Millares 2 2 3 2 3 3 3 3" xfId="21611" xr:uid="{00000000-0005-0000-0000-0000491B0000}"/>
    <cellStyle name="Millares 2 2 3 2 3 3 4" xfId="11684" xr:uid="{00000000-0005-0000-0000-00004A1B0000}"/>
    <cellStyle name="Millares 2 2 3 2 3 3 5" xfId="18383" xr:uid="{00000000-0005-0000-0000-00004B1B0000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3" xfId="20740" xr:uid="{00000000-0005-0000-0000-00004F1B0000}"/>
    <cellStyle name="Millares 2 2 3 2 3 4 3" xfId="10737" xr:uid="{00000000-0005-0000-0000-0000501B0000}"/>
    <cellStyle name="Millares 2 2 3 2 3 4 4" xfId="17512" xr:uid="{00000000-0005-0000-0000-0000511B0000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3" xfId="21971" xr:uid="{00000000-0005-0000-0000-0000551B0000}"/>
    <cellStyle name="Millares 2 2 3 2 3 5 3" xfId="12056" xr:uid="{00000000-0005-0000-0000-0000561B0000}"/>
    <cellStyle name="Millares 2 2 3 2 3 5 4" xfId="18743" xr:uid="{00000000-0005-0000-0000-0000571B0000}"/>
    <cellStyle name="Millares 2 2 3 2 3 6" xfId="6741" xr:uid="{00000000-0005-0000-0000-0000581B0000}"/>
    <cellStyle name="Millares 2 2 3 2 3 6 2" xfId="13319" xr:uid="{00000000-0005-0000-0000-0000591B0000}"/>
    <cellStyle name="Millares 2 2 3 2 3 6 3" xfId="20006" xr:uid="{00000000-0005-0000-0000-00005A1B0000}"/>
    <cellStyle name="Millares 2 2 3 2 3 7" xfId="9991" xr:uid="{00000000-0005-0000-0000-00005B1B0000}"/>
    <cellStyle name="Millares 2 2 3 2 3 8" xfId="16778" xr:uid="{00000000-0005-0000-0000-00005C1B0000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3" xfId="22506" xr:uid="{00000000-0005-0000-0000-0000621B0000}"/>
    <cellStyle name="Millares 2 2 3 2 4 2 2 3" xfId="12591" xr:uid="{00000000-0005-0000-0000-0000631B0000}"/>
    <cellStyle name="Millares 2 2 3 2 4 2 2 4" xfId="19278" xr:uid="{00000000-0005-0000-0000-0000641B0000}"/>
    <cellStyle name="Millares 2 2 3 2 4 2 3" xfId="8010" xr:uid="{00000000-0005-0000-0000-0000651B0000}"/>
    <cellStyle name="Millares 2 2 3 2 4 2 3 2" xfId="14588" xr:uid="{00000000-0005-0000-0000-0000661B0000}"/>
    <cellStyle name="Millares 2 2 3 2 4 2 3 3" xfId="21275" xr:uid="{00000000-0005-0000-0000-0000671B0000}"/>
    <cellStyle name="Millares 2 2 3 2 4 2 4" xfId="11309" xr:uid="{00000000-0005-0000-0000-0000681B0000}"/>
    <cellStyle name="Millares 2 2 3 2 4 2 5" xfId="18047" xr:uid="{00000000-0005-0000-0000-0000691B0000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3" xfId="20879" xr:uid="{00000000-0005-0000-0000-00006D1B0000}"/>
    <cellStyle name="Millares 2 2 3 2 4 3 3" xfId="10883" xr:uid="{00000000-0005-0000-0000-00006E1B0000}"/>
    <cellStyle name="Millares 2 2 3 2 4 3 4" xfId="17651" xr:uid="{00000000-0005-0000-0000-00006F1B0000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3" xfId="22110" xr:uid="{00000000-0005-0000-0000-0000731B0000}"/>
    <cellStyle name="Millares 2 2 3 2 4 4 3" xfId="12195" xr:uid="{00000000-0005-0000-0000-0000741B0000}"/>
    <cellStyle name="Millares 2 2 3 2 4 4 4" xfId="18882" xr:uid="{00000000-0005-0000-0000-0000751B0000}"/>
    <cellStyle name="Millares 2 2 3 2 4 5" xfId="6936" xr:uid="{00000000-0005-0000-0000-0000761B0000}"/>
    <cellStyle name="Millares 2 2 3 2 4 5 2" xfId="13514" xr:uid="{00000000-0005-0000-0000-0000771B0000}"/>
    <cellStyle name="Millares 2 2 3 2 4 5 3" xfId="20201" xr:uid="{00000000-0005-0000-0000-0000781B0000}"/>
    <cellStyle name="Millares 2 2 3 2 4 6" xfId="10197" xr:uid="{00000000-0005-0000-0000-0000791B0000}"/>
    <cellStyle name="Millares 2 2 3 2 4 7" xfId="16973" xr:uid="{00000000-0005-0000-0000-00007A1B0000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3" xfId="22218" xr:uid="{00000000-0005-0000-0000-00007F1B0000}"/>
    <cellStyle name="Millares 2 2 3 2 5 2 3" xfId="12303" xr:uid="{00000000-0005-0000-0000-0000801B0000}"/>
    <cellStyle name="Millares 2 2 3 2 5 2 4" xfId="18990" xr:uid="{00000000-0005-0000-0000-0000811B0000}"/>
    <cellStyle name="Millares 2 2 3 2 5 3" xfId="7722" xr:uid="{00000000-0005-0000-0000-0000821B0000}"/>
    <cellStyle name="Millares 2 2 3 2 5 3 2" xfId="14300" xr:uid="{00000000-0005-0000-0000-0000831B0000}"/>
    <cellStyle name="Millares 2 2 3 2 5 3 3" xfId="20987" xr:uid="{00000000-0005-0000-0000-0000841B0000}"/>
    <cellStyle name="Millares 2 2 3 2 5 4" xfId="11001" xr:uid="{00000000-0005-0000-0000-0000851B0000}"/>
    <cellStyle name="Millares 2 2 3 2 5 5" xfId="17759" xr:uid="{00000000-0005-0000-0000-0000861B0000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3" xfId="22598" xr:uid="{00000000-0005-0000-0000-00008B1B0000}"/>
    <cellStyle name="Millares 2 2 3 2 6 2 3" xfId="12683" xr:uid="{00000000-0005-0000-0000-00008C1B0000}"/>
    <cellStyle name="Millares 2 2 3 2 6 2 4" xfId="19370" xr:uid="{00000000-0005-0000-0000-00008D1B0000}"/>
    <cellStyle name="Millares 2 2 3 2 6 3" xfId="8102" xr:uid="{00000000-0005-0000-0000-00008E1B0000}"/>
    <cellStyle name="Millares 2 2 3 2 6 3 2" xfId="14680" xr:uid="{00000000-0005-0000-0000-00008F1B0000}"/>
    <cellStyle name="Millares 2 2 3 2 6 3 3" xfId="21367" xr:uid="{00000000-0005-0000-0000-0000901B0000}"/>
    <cellStyle name="Millares 2 2 3 2 6 4" xfId="11410" xr:uid="{00000000-0005-0000-0000-0000911B0000}"/>
    <cellStyle name="Millares 2 2 3 2 6 5" xfId="18139" xr:uid="{00000000-0005-0000-0000-0000921B0000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3" xfId="22732" xr:uid="{00000000-0005-0000-0000-0000971B0000}"/>
    <cellStyle name="Millares 2 2 3 2 7 2 3" xfId="12817" xr:uid="{00000000-0005-0000-0000-0000981B0000}"/>
    <cellStyle name="Millares 2 2 3 2 7 2 4" xfId="19504" xr:uid="{00000000-0005-0000-0000-0000991B0000}"/>
    <cellStyle name="Millares 2 2 3 2 7 3" xfId="8236" xr:uid="{00000000-0005-0000-0000-00009A1B0000}"/>
    <cellStyle name="Millares 2 2 3 2 7 3 2" xfId="14814" xr:uid="{00000000-0005-0000-0000-00009B1B0000}"/>
    <cellStyle name="Millares 2 2 3 2 7 3 3" xfId="21501" xr:uid="{00000000-0005-0000-0000-00009C1B0000}"/>
    <cellStyle name="Millares 2 2 3 2 7 4" xfId="11565" xr:uid="{00000000-0005-0000-0000-00009D1B0000}"/>
    <cellStyle name="Millares 2 2 3 2 7 5" xfId="18273" xr:uid="{00000000-0005-0000-0000-00009E1B000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3" xfId="20591" xr:uid="{00000000-0005-0000-0000-0000A21B0000}"/>
    <cellStyle name="Millares 2 2 3 2 8 3" xfId="10588" xr:uid="{00000000-0005-0000-0000-0000A31B0000}"/>
    <cellStyle name="Millares 2 2 3 2 8 4" xfId="17363" xr:uid="{00000000-0005-0000-0000-0000A41B0000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3" xfId="21822" xr:uid="{00000000-0005-0000-0000-0000A81B0000}"/>
    <cellStyle name="Millares 2 2 3 2 9 3" xfId="11907" xr:uid="{00000000-0005-0000-0000-0000A91B0000}"/>
    <cellStyle name="Millares 2 2 3 2 9 4" xfId="18594" xr:uid="{00000000-0005-0000-0000-0000AA1B0000}"/>
    <cellStyle name="Millares 2 2 3 3" xfId="527" xr:uid="{00000000-0005-0000-0000-0000AB1B0000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3" xfId="21658" xr:uid="{00000000-0005-0000-0000-0000B11B0000}"/>
    <cellStyle name="Millares 2 2 3 3 2 2 2 3" xfId="11736" xr:uid="{00000000-0005-0000-0000-0000B21B0000}"/>
    <cellStyle name="Millares 2 2 3 3 2 2 2 4" xfId="18430" xr:uid="{00000000-0005-0000-0000-0000B31B0000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3" xfId="22889" xr:uid="{00000000-0005-0000-0000-0000B71B0000}"/>
    <cellStyle name="Millares 2 2 3 3 2 2 3 3" xfId="12974" xr:uid="{00000000-0005-0000-0000-0000B81B0000}"/>
    <cellStyle name="Millares 2 2 3 3 2 2 3 4" xfId="19661" xr:uid="{00000000-0005-0000-0000-0000B91B0000}"/>
    <cellStyle name="Millares 2 2 3 3 2 2 4" xfId="7176" xr:uid="{00000000-0005-0000-0000-0000BA1B0000}"/>
    <cellStyle name="Millares 2 2 3 3 2 2 4 2" xfId="13754" xr:uid="{00000000-0005-0000-0000-0000BB1B0000}"/>
    <cellStyle name="Millares 2 2 3 3 2 2 4 3" xfId="20441" xr:uid="{00000000-0005-0000-0000-0000BC1B0000}"/>
    <cellStyle name="Millares 2 2 3 3 2 2 5" xfId="10437" xr:uid="{00000000-0005-0000-0000-0000BD1B0000}"/>
    <cellStyle name="Millares 2 2 3 3 2 2 6" xfId="17213" xr:uid="{00000000-0005-0000-0000-0000BE1B0000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3" xfId="21048" xr:uid="{00000000-0005-0000-0000-0000C21B0000}"/>
    <cellStyle name="Millares 2 2 3 3 2 3 3" xfId="11064" xr:uid="{00000000-0005-0000-0000-0000C31B0000}"/>
    <cellStyle name="Millares 2 2 3 3 2 3 4" xfId="17820" xr:uid="{00000000-0005-0000-0000-0000C41B0000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3" xfId="22279" xr:uid="{00000000-0005-0000-0000-0000C81B0000}"/>
    <cellStyle name="Millares 2 2 3 3 2 4 3" xfId="12364" xr:uid="{00000000-0005-0000-0000-0000C91B0000}"/>
    <cellStyle name="Millares 2 2 3 3 2 4 4" xfId="19051" xr:uid="{00000000-0005-0000-0000-0000CA1B0000}"/>
    <cellStyle name="Millares 2 2 3 3 2 5" xfId="6788" xr:uid="{00000000-0005-0000-0000-0000CB1B0000}"/>
    <cellStyle name="Millares 2 2 3 3 2 5 2" xfId="13366" xr:uid="{00000000-0005-0000-0000-0000CC1B0000}"/>
    <cellStyle name="Millares 2 2 3 3 2 5 3" xfId="20053" xr:uid="{00000000-0005-0000-0000-0000CD1B0000}"/>
    <cellStyle name="Millares 2 2 3 3 2 6" xfId="10043" xr:uid="{00000000-0005-0000-0000-0000CE1B0000}"/>
    <cellStyle name="Millares 2 2 3 3 2 7" xfId="16825" xr:uid="{00000000-0005-0000-0000-0000CF1B0000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3" xfId="21414" xr:uid="{00000000-0005-0000-0000-0000D41B0000}"/>
    <cellStyle name="Millares 2 2 3 3 3 2 3" xfId="11465" xr:uid="{00000000-0005-0000-0000-0000D51B0000}"/>
    <cellStyle name="Millares 2 2 3 3 3 2 4" xfId="18186" xr:uid="{00000000-0005-0000-0000-0000D61B0000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3" xfId="22645" xr:uid="{00000000-0005-0000-0000-0000DA1B0000}"/>
    <cellStyle name="Millares 2 2 3 3 3 3 3" xfId="12730" xr:uid="{00000000-0005-0000-0000-0000DB1B0000}"/>
    <cellStyle name="Millares 2 2 3 3 3 3 4" xfId="19417" xr:uid="{00000000-0005-0000-0000-0000DC1B0000}"/>
    <cellStyle name="Millares 2 2 3 3 3 4" xfId="6983" xr:uid="{00000000-0005-0000-0000-0000DD1B0000}"/>
    <cellStyle name="Millares 2 2 3 3 3 4 2" xfId="13561" xr:uid="{00000000-0005-0000-0000-0000DE1B0000}"/>
    <cellStyle name="Millares 2 2 3 3 3 4 3" xfId="20248" xr:uid="{00000000-0005-0000-0000-0000DF1B0000}"/>
    <cellStyle name="Millares 2 2 3 3 3 5" xfId="10244" xr:uid="{00000000-0005-0000-0000-0000E01B0000}"/>
    <cellStyle name="Millares 2 2 3 3 3 6" xfId="17020" xr:uid="{00000000-0005-0000-0000-0000E11B0000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3" xfId="22744" xr:uid="{00000000-0005-0000-0000-0000E61B0000}"/>
    <cellStyle name="Millares 2 2 3 3 4 2 3" xfId="12829" xr:uid="{00000000-0005-0000-0000-0000E71B0000}"/>
    <cellStyle name="Millares 2 2 3 3 4 2 4" xfId="19516" xr:uid="{00000000-0005-0000-0000-0000E81B0000}"/>
    <cellStyle name="Millares 2 2 3 3 4 3" xfId="8248" xr:uid="{00000000-0005-0000-0000-0000E91B0000}"/>
    <cellStyle name="Millares 2 2 3 3 4 3 2" xfId="14826" xr:uid="{00000000-0005-0000-0000-0000EA1B0000}"/>
    <cellStyle name="Millares 2 2 3 3 4 3 3" xfId="21513" xr:uid="{00000000-0005-0000-0000-0000EB1B0000}"/>
    <cellStyle name="Millares 2 2 3 3 4 4" xfId="11577" xr:uid="{00000000-0005-0000-0000-0000EC1B0000}"/>
    <cellStyle name="Millares 2 2 3 3 4 5" xfId="18285" xr:uid="{00000000-0005-0000-0000-0000ED1B0000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3" xfId="20652" xr:uid="{00000000-0005-0000-0000-0000F11B0000}"/>
    <cellStyle name="Millares 2 2 3 3 5 3" xfId="10649" xr:uid="{00000000-0005-0000-0000-0000F21B0000}"/>
    <cellStyle name="Millares 2 2 3 3 5 4" xfId="17424" xr:uid="{00000000-0005-0000-0000-0000F31B0000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3" xfId="21883" xr:uid="{00000000-0005-0000-0000-0000F71B0000}"/>
    <cellStyle name="Millares 2 2 3 3 6 3" xfId="11968" xr:uid="{00000000-0005-0000-0000-0000F81B0000}"/>
    <cellStyle name="Millares 2 2 3 3 6 4" xfId="18655" xr:uid="{00000000-0005-0000-0000-0000F91B0000}"/>
    <cellStyle name="Millares 2 2 3 3 7" xfId="6595" xr:uid="{00000000-0005-0000-0000-0000FA1B0000}"/>
    <cellStyle name="Millares 2 2 3 3 7 2" xfId="13173" xr:uid="{00000000-0005-0000-0000-0000FB1B0000}"/>
    <cellStyle name="Millares 2 2 3 3 7 3" xfId="19860" xr:uid="{00000000-0005-0000-0000-0000FC1B0000}"/>
    <cellStyle name="Millares 2 2 3 3 8" xfId="9834" xr:uid="{00000000-0005-0000-0000-0000FD1B0000}"/>
    <cellStyle name="Millares 2 2 3 3 9" xfId="16632" xr:uid="{00000000-0005-0000-0000-0000FE1B0000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3" xfId="21135" xr:uid="{00000000-0005-0000-0000-0000041C0000}"/>
    <cellStyle name="Millares 2 2 3 4 2 2 3" xfId="11157" xr:uid="{00000000-0005-0000-0000-0000051C0000}"/>
    <cellStyle name="Millares 2 2 3 4 2 2 4" xfId="17907" xr:uid="{00000000-0005-0000-0000-0000061C0000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3" xfId="22366" xr:uid="{00000000-0005-0000-0000-00000A1C0000}"/>
    <cellStyle name="Millares 2 2 3 4 2 3 3" xfId="12451" xr:uid="{00000000-0005-0000-0000-00000B1C0000}"/>
    <cellStyle name="Millares 2 2 3 4 2 3 4" xfId="19138" xr:uid="{00000000-0005-0000-0000-00000C1C0000}"/>
    <cellStyle name="Millares 2 2 3 4 2 4" xfId="7083" xr:uid="{00000000-0005-0000-0000-00000D1C0000}"/>
    <cellStyle name="Millares 2 2 3 4 2 4 2" xfId="13661" xr:uid="{00000000-0005-0000-0000-00000E1C0000}"/>
    <cellStyle name="Millares 2 2 3 4 2 4 3" xfId="20348" xr:uid="{00000000-0005-0000-0000-00000F1C0000}"/>
    <cellStyle name="Millares 2 2 3 4 2 5" xfId="10344" xr:uid="{00000000-0005-0000-0000-0000101C0000}"/>
    <cellStyle name="Millares 2 2 3 4 2 6" xfId="17120" xr:uid="{00000000-0005-0000-0000-0000111C0000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3" xfId="22796" xr:uid="{00000000-0005-0000-0000-0000161C0000}"/>
    <cellStyle name="Millares 2 2 3 4 3 2 3" xfId="12881" xr:uid="{00000000-0005-0000-0000-0000171C0000}"/>
    <cellStyle name="Millares 2 2 3 4 3 2 4" xfId="19568" xr:uid="{00000000-0005-0000-0000-0000181C0000}"/>
    <cellStyle name="Millares 2 2 3 4 3 3" xfId="8300" xr:uid="{00000000-0005-0000-0000-0000191C0000}"/>
    <cellStyle name="Millares 2 2 3 4 3 3 2" xfId="14878" xr:uid="{00000000-0005-0000-0000-00001A1C0000}"/>
    <cellStyle name="Millares 2 2 3 4 3 3 3" xfId="21565" xr:uid="{00000000-0005-0000-0000-00001B1C0000}"/>
    <cellStyle name="Millares 2 2 3 4 3 4" xfId="11634" xr:uid="{00000000-0005-0000-0000-00001C1C0000}"/>
    <cellStyle name="Millares 2 2 3 4 3 5" xfId="18337" xr:uid="{00000000-0005-0000-0000-00001D1C0000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3" xfId="20739" xr:uid="{00000000-0005-0000-0000-0000211C0000}"/>
    <cellStyle name="Millares 2 2 3 4 4 3" xfId="10736" xr:uid="{00000000-0005-0000-0000-0000221C0000}"/>
    <cellStyle name="Millares 2 2 3 4 4 4" xfId="17511" xr:uid="{00000000-0005-0000-0000-0000231C0000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3" xfId="21970" xr:uid="{00000000-0005-0000-0000-0000271C0000}"/>
    <cellStyle name="Millares 2 2 3 4 5 3" xfId="12055" xr:uid="{00000000-0005-0000-0000-0000281C0000}"/>
    <cellStyle name="Millares 2 2 3 4 5 4" xfId="18742" xr:uid="{00000000-0005-0000-0000-0000291C0000}"/>
    <cellStyle name="Millares 2 2 3 4 6" xfId="6695" xr:uid="{00000000-0005-0000-0000-00002A1C0000}"/>
    <cellStyle name="Millares 2 2 3 4 6 2" xfId="13273" xr:uid="{00000000-0005-0000-0000-00002B1C0000}"/>
    <cellStyle name="Millares 2 2 3 4 6 3" xfId="19960" xr:uid="{00000000-0005-0000-0000-00002C1C0000}"/>
    <cellStyle name="Millares 2 2 3 4 7" xfId="9943" xr:uid="{00000000-0005-0000-0000-00002D1C0000}"/>
    <cellStyle name="Millares 2 2 3 4 8" xfId="16732" xr:uid="{00000000-0005-0000-0000-00002E1C0000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3" xfId="22461" xr:uid="{00000000-0005-0000-0000-0000341C0000}"/>
    <cellStyle name="Millares 2 2 3 5 2 2 3" xfId="12546" xr:uid="{00000000-0005-0000-0000-0000351C0000}"/>
    <cellStyle name="Millares 2 2 3 5 2 2 4" xfId="19233" xr:uid="{00000000-0005-0000-0000-0000361C0000}"/>
    <cellStyle name="Millares 2 2 3 5 2 3" xfId="7965" xr:uid="{00000000-0005-0000-0000-0000371C0000}"/>
    <cellStyle name="Millares 2 2 3 5 2 3 2" xfId="14543" xr:uid="{00000000-0005-0000-0000-0000381C0000}"/>
    <cellStyle name="Millares 2 2 3 5 2 3 3" xfId="21230" xr:uid="{00000000-0005-0000-0000-0000391C0000}"/>
    <cellStyle name="Millares 2 2 3 5 2 4" xfId="11259" xr:uid="{00000000-0005-0000-0000-00003A1C0000}"/>
    <cellStyle name="Millares 2 2 3 5 2 5" xfId="18002" xr:uid="{00000000-0005-0000-0000-00003B1C0000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3" xfId="20834" xr:uid="{00000000-0005-0000-0000-00003F1C0000}"/>
    <cellStyle name="Millares 2 2 3 5 3 3" xfId="10832" xr:uid="{00000000-0005-0000-0000-0000401C0000}"/>
    <cellStyle name="Millares 2 2 3 5 3 4" xfId="17606" xr:uid="{00000000-0005-0000-0000-0000411C0000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3" xfId="22065" xr:uid="{00000000-0005-0000-0000-0000451C0000}"/>
    <cellStyle name="Millares 2 2 3 5 4 3" xfId="12150" xr:uid="{00000000-0005-0000-0000-0000461C0000}"/>
    <cellStyle name="Millares 2 2 3 5 4 4" xfId="18837" xr:uid="{00000000-0005-0000-0000-0000471C0000}"/>
    <cellStyle name="Millares 2 2 3 5 5" xfId="6890" xr:uid="{00000000-0005-0000-0000-0000481C0000}"/>
    <cellStyle name="Millares 2 2 3 5 5 2" xfId="13468" xr:uid="{00000000-0005-0000-0000-0000491C0000}"/>
    <cellStyle name="Millares 2 2 3 5 5 3" xfId="20155" xr:uid="{00000000-0005-0000-0000-00004A1C0000}"/>
    <cellStyle name="Millares 2 2 3 5 6" xfId="10151" xr:uid="{00000000-0005-0000-0000-00004B1C0000}"/>
    <cellStyle name="Millares 2 2 3 5 7" xfId="16927" xr:uid="{00000000-0005-0000-0000-00004C1C0000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3" xfId="22173" xr:uid="{00000000-0005-0000-0000-0000511C0000}"/>
    <cellStyle name="Millares 2 2 3 6 2 3" xfId="12258" xr:uid="{00000000-0005-0000-0000-0000521C0000}"/>
    <cellStyle name="Millares 2 2 3 6 2 4" xfId="18945" xr:uid="{00000000-0005-0000-0000-0000531C0000}"/>
    <cellStyle name="Millares 2 2 3 6 3" xfId="7677" xr:uid="{00000000-0005-0000-0000-0000541C0000}"/>
    <cellStyle name="Millares 2 2 3 6 3 2" xfId="14255" xr:uid="{00000000-0005-0000-0000-0000551C0000}"/>
    <cellStyle name="Millares 2 2 3 6 3 3" xfId="20942" xr:uid="{00000000-0005-0000-0000-0000561C0000}"/>
    <cellStyle name="Millares 2 2 3 6 4" xfId="10949" xr:uid="{00000000-0005-0000-0000-0000571C0000}"/>
    <cellStyle name="Millares 2 2 3 6 5" xfId="17714" xr:uid="{00000000-0005-0000-0000-0000581C0000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3" xfId="22553" xr:uid="{00000000-0005-0000-0000-00005D1C0000}"/>
    <cellStyle name="Millares 2 2 3 7 2 3" xfId="12638" xr:uid="{00000000-0005-0000-0000-00005E1C0000}"/>
    <cellStyle name="Millares 2 2 3 7 2 4" xfId="19325" xr:uid="{00000000-0005-0000-0000-00005F1C0000}"/>
    <cellStyle name="Millares 2 2 3 7 3" xfId="8057" xr:uid="{00000000-0005-0000-0000-0000601C0000}"/>
    <cellStyle name="Millares 2 2 3 7 3 2" xfId="14635" xr:uid="{00000000-0005-0000-0000-0000611C0000}"/>
    <cellStyle name="Millares 2 2 3 7 3 3" xfId="21322" xr:uid="{00000000-0005-0000-0000-0000621C0000}"/>
    <cellStyle name="Millares 2 2 3 7 4" xfId="11359" xr:uid="{00000000-0005-0000-0000-0000631C0000}"/>
    <cellStyle name="Millares 2 2 3 7 5" xfId="18094" xr:uid="{00000000-0005-0000-0000-0000641C0000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3" xfId="22720" xr:uid="{00000000-0005-0000-0000-0000691C0000}"/>
    <cellStyle name="Millares 2 2 3 8 2 3" xfId="12805" xr:uid="{00000000-0005-0000-0000-00006A1C0000}"/>
    <cellStyle name="Millares 2 2 3 8 2 4" xfId="19492" xr:uid="{00000000-0005-0000-0000-00006B1C0000}"/>
    <cellStyle name="Millares 2 2 3 8 3" xfId="8224" xr:uid="{00000000-0005-0000-0000-00006C1C0000}"/>
    <cellStyle name="Millares 2 2 3 8 3 2" xfId="14802" xr:uid="{00000000-0005-0000-0000-00006D1C0000}"/>
    <cellStyle name="Millares 2 2 3 8 3 3" xfId="21489" xr:uid="{00000000-0005-0000-0000-00006E1C0000}"/>
    <cellStyle name="Millares 2 2 3 8 4" xfId="11553" xr:uid="{00000000-0005-0000-0000-00006F1C0000}"/>
    <cellStyle name="Millares 2 2 3 8 5" xfId="18261" xr:uid="{00000000-0005-0000-0000-0000701C0000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3" xfId="20546" xr:uid="{00000000-0005-0000-0000-0000741C0000}"/>
    <cellStyle name="Millares 2 2 3 9 3" xfId="10543" xr:uid="{00000000-0005-0000-0000-0000751C0000}"/>
    <cellStyle name="Millares 2 2 3 9 4" xfId="17318" xr:uid="{00000000-0005-0000-0000-0000761C0000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3" xfId="19791" xr:uid="{00000000-0005-0000-0000-00007A1C0000}"/>
    <cellStyle name="Millares 2 2 4 11" xfId="9761" xr:uid="{00000000-0005-0000-0000-00007B1C0000}"/>
    <cellStyle name="Millares 2 2 4 12" xfId="16364" xr:uid="{00000000-0005-0000-0000-00007C1C0000}"/>
    <cellStyle name="Millares 2 2 4 13" xfId="16563" xr:uid="{00000000-0005-0000-0000-00007D1C0000}"/>
    <cellStyle name="Millares 2 2 4 2" xfId="615" xr:uid="{00000000-0005-0000-0000-00007E1C0000}"/>
    <cellStyle name="Millares 2 2 4 2 10" xfId="16655" xr:uid="{00000000-0005-0000-0000-00007F1C0000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3" xfId="21681" xr:uid="{00000000-0005-0000-0000-0000851C0000}"/>
    <cellStyle name="Millares 2 2 4 2 2 2 2 3" xfId="11764" xr:uid="{00000000-0005-0000-0000-0000861C0000}"/>
    <cellStyle name="Millares 2 2 4 2 2 2 2 4" xfId="18453" xr:uid="{00000000-0005-0000-0000-0000871C0000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3" xfId="22912" xr:uid="{00000000-0005-0000-0000-00008B1C0000}"/>
    <cellStyle name="Millares 2 2 4 2 2 2 3 3" xfId="12997" xr:uid="{00000000-0005-0000-0000-00008C1C0000}"/>
    <cellStyle name="Millares 2 2 4 2 2 2 3 4" xfId="19684" xr:uid="{00000000-0005-0000-0000-00008D1C0000}"/>
    <cellStyle name="Millares 2 2 4 2 2 2 4" xfId="7199" xr:uid="{00000000-0005-0000-0000-00008E1C0000}"/>
    <cellStyle name="Millares 2 2 4 2 2 2 4 2" xfId="13777" xr:uid="{00000000-0005-0000-0000-00008F1C0000}"/>
    <cellStyle name="Millares 2 2 4 2 2 2 4 3" xfId="20464" xr:uid="{00000000-0005-0000-0000-0000901C0000}"/>
    <cellStyle name="Millares 2 2 4 2 2 2 5" xfId="10460" xr:uid="{00000000-0005-0000-0000-0000911C0000}"/>
    <cellStyle name="Millares 2 2 4 2 2 2 6" xfId="17236" xr:uid="{00000000-0005-0000-0000-0000921C0000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3" xfId="21025" xr:uid="{00000000-0005-0000-0000-0000961C0000}"/>
    <cellStyle name="Millares 2 2 4 2 2 3 3" xfId="11041" xr:uid="{00000000-0005-0000-0000-0000971C0000}"/>
    <cellStyle name="Millares 2 2 4 2 2 3 4" xfId="17797" xr:uid="{00000000-0005-0000-0000-0000981C0000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3" xfId="22256" xr:uid="{00000000-0005-0000-0000-00009C1C0000}"/>
    <cellStyle name="Millares 2 2 4 2 2 4 3" xfId="12341" xr:uid="{00000000-0005-0000-0000-00009D1C0000}"/>
    <cellStyle name="Millares 2 2 4 2 2 4 4" xfId="19028" xr:uid="{00000000-0005-0000-0000-00009E1C0000}"/>
    <cellStyle name="Millares 2 2 4 2 2 5" xfId="6811" xr:uid="{00000000-0005-0000-0000-00009F1C0000}"/>
    <cellStyle name="Millares 2 2 4 2 2 5 2" xfId="13389" xr:uid="{00000000-0005-0000-0000-0000A01C0000}"/>
    <cellStyle name="Millares 2 2 4 2 2 5 3" xfId="20076" xr:uid="{00000000-0005-0000-0000-0000A11C0000}"/>
    <cellStyle name="Millares 2 2 4 2 2 6" xfId="10068" xr:uid="{00000000-0005-0000-0000-0000A21C0000}"/>
    <cellStyle name="Millares 2 2 4 2 2 7" xfId="16848" xr:uid="{00000000-0005-0000-0000-0000A31C0000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3" xfId="21437" xr:uid="{00000000-0005-0000-0000-0000A81C0000}"/>
    <cellStyle name="Millares 2 2 4 2 3 2 3" xfId="11494" xr:uid="{00000000-0005-0000-0000-0000A91C0000}"/>
    <cellStyle name="Millares 2 2 4 2 3 2 4" xfId="18209" xr:uid="{00000000-0005-0000-0000-0000AA1C0000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3" xfId="22668" xr:uid="{00000000-0005-0000-0000-0000AE1C0000}"/>
    <cellStyle name="Millares 2 2 4 2 3 3 3" xfId="12753" xr:uid="{00000000-0005-0000-0000-0000AF1C0000}"/>
    <cellStyle name="Millares 2 2 4 2 3 3 4" xfId="19440" xr:uid="{00000000-0005-0000-0000-0000B01C0000}"/>
    <cellStyle name="Millares 2 2 4 2 3 4" xfId="7006" xr:uid="{00000000-0005-0000-0000-0000B11C0000}"/>
    <cellStyle name="Millares 2 2 4 2 3 4 2" xfId="13584" xr:uid="{00000000-0005-0000-0000-0000B21C0000}"/>
    <cellStyle name="Millares 2 2 4 2 3 4 3" xfId="20271" xr:uid="{00000000-0005-0000-0000-0000B31C0000}"/>
    <cellStyle name="Millares 2 2 4 2 3 5" xfId="10267" xr:uid="{00000000-0005-0000-0000-0000B41C0000}"/>
    <cellStyle name="Millares 2 2 4 2 3 6" xfId="17043" xr:uid="{00000000-0005-0000-0000-0000B51C0000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3" xfId="22750" xr:uid="{00000000-0005-0000-0000-0000BA1C0000}"/>
    <cellStyle name="Millares 2 2 4 2 4 2 3" xfId="12835" xr:uid="{00000000-0005-0000-0000-0000BB1C0000}"/>
    <cellStyle name="Millares 2 2 4 2 4 2 4" xfId="19522" xr:uid="{00000000-0005-0000-0000-0000BC1C0000}"/>
    <cellStyle name="Millares 2 2 4 2 4 3" xfId="8254" xr:uid="{00000000-0005-0000-0000-0000BD1C0000}"/>
    <cellStyle name="Millares 2 2 4 2 4 3 2" xfId="14832" xr:uid="{00000000-0005-0000-0000-0000BE1C0000}"/>
    <cellStyle name="Millares 2 2 4 2 4 3 3" xfId="21519" xr:uid="{00000000-0005-0000-0000-0000BF1C0000}"/>
    <cellStyle name="Millares 2 2 4 2 4 4" xfId="11583" xr:uid="{00000000-0005-0000-0000-0000C01C0000}"/>
    <cellStyle name="Millares 2 2 4 2 4 5" xfId="18291" xr:uid="{00000000-0005-0000-0000-0000C11C0000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3" xfId="20629" xr:uid="{00000000-0005-0000-0000-0000C51C0000}"/>
    <cellStyle name="Millares 2 2 4 2 5 3" xfId="10626" xr:uid="{00000000-0005-0000-0000-0000C61C0000}"/>
    <cellStyle name="Millares 2 2 4 2 5 4" xfId="17401" xr:uid="{00000000-0005-0000-0000-0000C71C0000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3" xfId="21860" xr:uid="{00000000-0005-0000-0000-0000CB1C0000}"/>
    <cellStyle name="Millares 2 2 4 2 6 3" xfId="11945" xr:uid="{00000000-0005-0000-0000-0000CC1C0000}"/>
    <cellStyle name="Millares 2 2 4 2 6 4" xfId="18632" xr:uid="{00000000-0005-0000-0000-0000CD1C0000}"/>
    <cellStyle name="Millares 2 2 4 2 7" xfId="6618" xr:uid="{00000000-0005-0000-0000-0000CE1C0000}"/>
    <cellStyle name="Millares 2 2 4 2 7 2" xfId="13196" xr:uid="{00000000-0005-0000-0000-0000CF1C0000}"/>
    <cellStyle name="Millares 2 2 4 2 7 3" xfId="19883" xr:uid="{00000000-0005-0000-0000-0000D01C0000}"/>
    <cellStyle name="Millares 2 2 4 2 8" xfId="9859" xr:uid="{00000000-0005-0000-0000-0000D11C0000}"/>
    <cellStyle name="Millares 2 2 4 2 9" xfId="10953" xr:uid="{00000000-0005-0000-0000-0000D21C0000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3" xfId="21137" xr:uid="{00000000-0005-0000-0000-0000D81C0000}"/>
    <cellStyle name="Millares 2 2 4 3 2 2 3" xfId="11159" xr:uid="{00000000-0005-0000-0000-0000D91C0000}"/>
    <cellStyle name="Millares 2 2 4 3 2 2 4" xfId="17909" xr:uid="{00000000-0005-0000-0000-0000DA1C0000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3" xfId="22368" xr:uid="{00000000-0005-0000-0000-0000DE1C0000}"/>
    <cellStyle name="Millares 2 2 4 3 2 3 3" xfId="12453" xr:uid="{00000000-0005-0000-0000-0000DF1C0000}"/>
    <cellStyle name="Millares 2 2 4 3 2 3 4" xfId="19140" xr:uid="{00000000-0005-0000-0000-0000E01C0000}"/>
    <cellStyle name="Millares 2 2 4 3 2 4" xfId="7107" xr:uid="{00000000-0005-0000-0000-0000E11C0000}"/>
    <cellStyle name="Millares 2 2 4 3 2 4 2" xfId="13685" xr:uid="{00000000-0005-0000-0000-0000E21C0000}"/>
    <cellStyle name="Millares 2 2 4 3 2 4 3" xfId="20372" xr:uid="{00000000-0005-0000-0000-0000E31C0000}"/>
    <cellStyle name="Millares 2 2 4 3 2 5" xfId="10368" xr:uid="{00000000-0005-0000-0000-0000E41C0000}"/>
    <cellStyle name="Millares 2 2 4 3 2 6" xfId="17144" xr:uid="{00000000-0005-0000-0000-0000E51C000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3" xfId="22820" xr:uid="{00000000-0005-0000-0000-0000EA1C0000}"/>
    <cellStyle name="Millares 2 2 4 3 3 2 3" xfId="12905" xr:uid="{00000000-0005-0000-0000-0000EB1C0000}"/>
    <cellStyle name="Millares 2 2 4 3 3 2 4" xfId="19592" xr:uid="{00000000-0005-0000-0000-0000EC1C0000}"/>
    <cellStyle name="Millares 2 2 4 3 3 3" xfId="8324" xr:uid="{00000000-0005-0000-0000-0000ED1C0000}"/>
    <cellStyle name="Millares 2 2 4 3 3 3 2" xfId="14902" xr:uid="{00000000-0005-0000-0000-0000EE1C0000}"/>
    <cellStyle name="Millares 2 2 4 3 3 3 3" xfId="21589" xr:uid="{00000000-0005-0000-0000-0000EF1C0000}"/>
    <cellStyle name="Millares 2 2 4 3 3 4" xfId="11659" xr:uid="{00000000-0005-0000-0000-0000F01C0000}"/>
    <cellStyle name="Millares 2 2 4 3 3 5" xfId="18361" xr:uid="{00000000-0005-0000-0000-0000F11C0000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3" xfId="20741" xr:uid="{00000000-0005-0000-0000-0000F51C0000}"/>
    <cellStyle name="Millares 2 2 4 3 4 3" xfId="10738" xr:uid="{00000000-0005-0000-0000-0000F61C0000}"/>
    <cellStyle name="Millares 2 2 4 3 4 4" xfId="17513" xr:uid="{00000000-0005-0000-0000-0000F71C0000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3" xfId="21972" xr:uid="{00000000-0005-0000-0000-0000FB1C0000}"/>
    <cellStyle name="Millares 2 2 4 3 5 3" xfId="12057" xr:uid="{00000000-0005-0000-0000-0000FC1C0000}"/>
    <cellStyle name="Millares 2 2 4 3 5 4" xfId="18744" xr:uid="{00000000-0005-0000-0000-0000FD1C0000}"/>
    <cellStyle name="Millares 2 2 4 3 6" xfId="6719" xr:uid="{00000000-0005-0000-0000-0000FE1C0000}"/>
    <cellStyle name="Millares 2 2 4 3 6 2" xfId="13297" xr:uid="{00000000-0005-0000-0000-0000FF1C0000}"/>
    <cellStyle name="Millares 2 2 4 3 6 3" xfId="19984" xr:uid="{00000000-0005-0000-0000-0000001D0000}"/>
    <cellStyle name="Millares 2 2 4 3 7" xfId="9967" xr:uid="{00000000-0005-0000-0000-0000011D0000}"/>
    <cellStyle name="Millares 2 2 4 3 8" xfId="16756" xr:uid="{00000000-0005-0000-0000-0000021D0000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3" xfId="22484" xr:uid="{00000000-0005-0000-0000-0000081D0000}"/>
    <cellStyle name="Millares 2 2 4 4 2 2 3" xfId="12569" xr:uid="{00000000-0005-0000-0000-0000091D0000}"/>
    <cellStyle name="Millares 2 2 4 4 2 2 4" xfId="19256" xr:uid="{00000000-0005-0000-0000-00000A1D0000}"/>
    <cellStyle name="Millares 2 2 4 4 2 3" xfId="7988" xr:uid="{00000000-0005-0000-0000-00000B1D0000}"/>
    <cellStyle name="Millares 2 2 4 4 2 3 2" xfId="14566" xr:uid="{00000000-0005-0000-0000-00000C1D0000}"/>
    <cellStyle name="Millares 2 2 4 4 2 3 3" xfId="21253" xr:uid="{00000000-0005-0000-0000-00000D1D0000}"/>
    <cellStyle name="Millares 2 2 4 4 2 4" xfId="11285" xr:uid="{00000000-0005-0000-0000-00000E1D0000}"/>
    <cellStyle name="Millares 2 2 4 4 2 5" xfId="18025" xr:uid="{00000000-0005-0000-0000-00000F1D0000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3" xfId="20857" xr:uid="{00000000-0005-0000-0000-0000131D0000}"/>
    <cellStyle name="Millares 2 2 4 4 3 3" xfId="10857" xr:uid="{00000000-0005-0000-0000-0000141D0000}"/>
    <cellStyle name="Millares 2 2 4 4 3 4" xfId="17629" xr:uid="{00000000-0005-0000-0000-0000151D0000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3" xfId="22088" xr:uid="{00000000-0005-0000-0000-0000191D0000}"/>
    <cellStyle name="Millares 2 2 4 4 4 3" xfId="12173" xr:uid="{00000000-0005-0000-0000-00001A1D0000}"/>
    <cellStyle name="Millares 2 2 4 4 4 4" xfId="18860" xr:uid="{00000000-0005-0000-0000-00001B1D0000}"/>
    <cellStyle name="Millares 2 2 4 4 5" xfId="6914" xr:uid="{00000000-0005-0000-0000-00001C1D0000}"/>
    <cellStyle name="Millares 2 2 4 4 5 2" xfId="13492" xr:uid="{00000000-0005-0000-0000-00001D1D0000}"/>
    <cellStyle name="Millares 2 2 4 4 5 3" xfId="20179" xr:uid="{00000000-0005-0000-0000-00001E1D0000}"/>
    <cellStyle name="Millares 2 2 4 4 6" xfId="10175" xr:uid="{00000000-0005-0000-0000-00001F1D0000}"/>
    <cellStyle name="Millares 2 2 4 4 7" xfId="16951" xr:uid="{00000000-0005-0000-0000-0000201D000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3" xfId="22150" xr:uid="{00000000-0005-0000-0000-0000251D0000}"/>
    <cellStyle name="Millares 2 2 4 5 2 3" xfId="12235" xr:uid="{00000000-0005-0000-0000-0000261D0000}"/>
    <cellStyle name="Millares 2 2 4 5 2 4" xfId="18922" xr:uid="{00000000-0005-0000-0000-0000271D0000}"/>
    <cellStyle name="Millares 2 2 4 5 3" xfId="7654" xr:uid="{00000000-0005-0000-0000-0000281D0000}"/>
    <cellStyle name="Millares 2 2 4 5 3 2" xfId="14232" xr:uid="{00000000-0005-0000-0000-0000291D0000}"/>
    <cellStyle name="Millares 2 2 4 5 3 3" xfId="20919" xr:uid="{00000000-0005-0000-0000-00002A1D0000}"/>
    <cellStyle name="Millares 2 2 4 5 4" xfId="10925" xr:uid="{00000000-0005-0000-0000-00002B1D0000}"/>
    <cellStyle name="Millares 2 2 4 5 5" xfId="17691" xr:uid="{00000000-0005-0000-0000-00002C1D0000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3" xfId="22576" xr:uid="{00000000-0005-0000-0000-0000311D0000}"/>
    <cellStyle name="Millares 2 2 4 6 2 3" xfId="12661" xr:uid="{00000000-0005-0000-0000-0000321D0000}"/>
    <cellStyle name="Millares 2 2 4 6 2 4" xfId="19348" xr:uid="{00000000-0005-0000-0000-0000331D0000}"/>
    <cellStyle name="Millares 2 2 4 6 3" xfId="8080" xr:uid="{00000000-0005-0000-0000-0000341D0000}"/>
    <cellStyle name="Millares 2 2 4 6 3 2" xfId="14658" xr:uid="{00000000-0005-0000-0000-0000351D0000}"/>
    <cellStyle name="Millares 2 2 4 6 3 3" xfId="21345" xr:uid="{00000000-0005-0000-0000-0000361D0000}"/>
    <cellStyle name="Millares 2 2 4 6 4" xfId="11383" xr:uid="{00000000-0005-0000-0000-0000371D0000}"/>
    <cellStyle name="Millares 2 2 4 6 5" xfId="18117" xr:uid="{00000000-0005-0000-0000-0000381D0000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3" xfId="22726" xr:uid="{00000000-0005-0000-0000-00003D1D0000}"/>
    <cellStyle name="Millares 2 2 4 7 2 3" xfId="12811" xr:uid="{00000000-0005-0000-0000-00003E1D0000}"/>
    <cellStyle name="Millares 2 2 4 7 2 4" xfId="19498" xr:uid="{00000000-0005-0000-0000-00003F1D0000}"/>
    <cellStyle name="Millares 2 2 4 7 3" xfId="8230" xr:uid="{00000000-0005-0000-0000-0000401D0000}"/>
    <cellStyle name="Millares 2 2 4 7 3 2" xfId="14808" xr:uid="{00000000-0005-0000-0000-0000411D0000}"/>
    <cellStyle name="Millares 2 2 4 7 3 3" xfId="21495" xr:uid="{00000000-0005-0000-0000-0000421D0000}"/>
    <cellStyle name="Millares 2 2 4 7 4" xfId="11559" xr:uid="{00000000-0005-0000-0000-0000431D0000}"/>
    <cellStyle name="Millares 2 2 4 7 5" xfId="18267" xr:uid="{00000000-0005-0000-0000-0000441D000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3" xfId="20523" xr:uid="{00000000-0005-0000-0000-0000481D0000}"/>
    <cellStyle name="Millares 2 2 4 8 3" xfId="10520" xr:uid="{00000000-0005-0000-0000-0000491D0000}"/>
    <cellStyle name="Millares 2 2 4 8 4" xfId="17295" xr:uid="{00000000-0005-0000-0000-00004A1D0000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3" xfId="21754" xr:uid="{00000000-0005-0000-0000-00004E1D0000}"/>
    <cellStyle name="Millares 2 2 4 9 3" xfId="11839" xr:uid="{00000000-0005-0000-0000-00004F1D0000}"/>
    <cellStyle name="Millares 2 2 4 9 4" xfId="18526" xr:uid="{00000000-0005-0000-0000-0000501D0000}"/>
    <cellStyle name="Millares 2 2 5" xfId="442" xr:uid="{00000000-0005-0000-0000-0000511D0000}"/>
    <cellStyle name="Millares 2 2 5 10" xfId="16422" xr:uid="{00000000-0005-0000-0000-0000521D0000}"/>
    <cellStyle name="Millares 2 2 5 11" xfId="16610" xr:uid="{00000000-0005-0000-0000-0000531D0000}"/>
    <cellStyle name="Millares 2 2 5 2" xfId="1155" xr:uid="{00000000-0005-0000-0000-0000541D0000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3" xfId="21071" xr:uid="{00000000-0005-0000-0000-0000591D0000}"/>
    <cellStyle name="Millares 2 2 5 2 2 2 3" xfId="11088" xr:uid="{00000000-0005-0000-0000-00005A1D0000}"/>
    <cellStyle name="Millares 2 2 5 2 2 2 4" xfId="17843" xr:uid="{00000000-0005-0000-0000-00005B1D0000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3" xfId="22302" xr:uid="{00000000-0005-0000-0000-00005F1D0000}"/>
    <cellStyle name="Millares 2 2 5 2 2 3 3" xfId="12387" xr:uid="{00000000-0005-0000-0000-0000601D0000}"/>
    <cellStyle name="Millares 2 2 5 2 2 3 4" xfId="19074" xr:uid="{00000000-0005-0000-0000-0000611D0000}"/>
    <cellStyle name="Millares 2 2 5 2 2 4" xfId="7154" xr:uid="{00000000-0005-0000-0000-0000621D0000}"/>
    <cellStyle name="Millares 2 2 5 2 2 4 2" xfId="13732" xr:uid="{00000000-0005-0000-0000-0000631D0000}"/>
    <cellStyle name="Millares 2 2 5 2 2 4 3" xfId="20419" xr:uid="{00000000-0005-0000-0000-0000641D0000}"/>
    <cellStyle name="Millares 2 2 5 2 2 5" xfId="10415" xr:uid="{00000000-0005-0000-0000-0000651D0000}"/>
    <cellStyle name="Millares 2 2 5 2 2 6" xfId="17191" xr:uid="{00000000-0005-0000-0000-0000661D0000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3" xfId="22867" xr:uid="{00000000-0005-0000-0000-00006B1D0000}"/>
    <cellStyle name="Millares 2 2 5 2 3 2 3" xfId="12952" xr:uid="{00000000-0005-0000-0000-00006C1D0000}"/>
    <cellStyle name="Millares 2 2 5 2 3 2 4" xfId="19639" xr:uid="{00000000-0005-0000-0000-00006D1D0000}"/>
    <cellStyle name="Millares 2 2 5 2 3 3" xfId="8371" xr:uid="{00000000-0005-0000-0000-00006E1D0000}"/>
    <cellStyle name="Millares 2 2 5 2 3 3 2" xfId="14949" xr:uid="{00000000-0005-0000-0000-00006F1D0000}"/>
    <cellStyle name="Millares 2 2 5 2 3 3 3" xfId="21636" xr:uid="{00000000-0005-0000-0000-0000701D0000}"/>
    <cellStyle name="Millares 2 2 5 2 3 4" xfId="11713" xr:uid="{00000000-0005-0000-0000-0000711D0000}"/>
    <cellStyle name="Millares 2 2 5 2 3 5" xfId="18408" xr:uid="{00000000-0005-0000-0000-0000721D0000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3" xfId="20675" xr:uid="{00000000-0005-0000-0000-0000761D0000}"/>
    <cellStyle name="Millares 2 2 5 2 4 3" xfId="10672" xr:uid="{00000000-0005-0000-0000-0000771D0000}"/>
    <cellStyle name="Millares 2 2 5 2 4 4" xfId="17447" xr:uid="{00000000-0005-0000-0000-0000781D0000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3" xfId="21906" xr:uid="{00000000-0005-0000-0000-00007C1D0000}"/>
    <cellStyle name="Millares 2 2 5 2 5 3" xfId="11991" xr:uid="{00000000-0005-0000-0000-00007D1D0000}"/>
    <cellStyle name="Millares 2 2 5 2 5 4" xfId="18678" xr:uid="{00000000-0005-0000-0000-00007E1D0000}"/>
    <cellStyle name="Millares 2 2 5 2 6" xfId="6766" xr:uid="{00000000-0005-0000-0000-00007F1D0000}"/>
    <cellStyle name="Millares 2 2 5 2 6 2" xfId="13344" xr:uid="{00000000-0005-0000-0000-0000801D0000}"/>
    <cellStyle name="Millares 2 2 5 2 6 3" xfId="20031" xr:uid="{00000000-0005-0000-0000-0000811D0000}"/>
    <cellStyle name="Millares 2 2 5 2 7" xfId="10020" xr:uid="{00000000-0005-0000-0000-0000821D0000}"/>
    <cellStyle name="Millares 2 2 5 2 8" xfId="16396" xr:uid="{00000000-0005-0000-0000-0000831D0000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3" xfId="20965" xr:uid="{00000000-0005-0000-0000-0000891D0000}"/>
    <cellStyle name="Millares 2 2 5 3 2 3" xfId="10976" xr:uid="{00000000-0005-0000-0000-00008A1D0000}"/>
    <cellStyle name="Millares 2 2 5 3 2 4" xfId="17737" xr:uid="{00000000-0005-0000-0000-00008B1D0000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3" xfId="22196" xr:uid="{00000000-0005-0000-0000-00008F1D0000}"/>
    <cellStyle name="Millares 2 2 5 3 3 3" xfId="12281" xr:uid="{00000000-0005-0000-0000-0000901D0000}"/>
    <cellStyle name="Millares 2 2 5 3 3 4" xfId="18968" xr:uid="{00000000-0005-0000-0000-0000911D0000}"/>
    <cellStyle name="Millares 2 2 5 3 4" xfId="6961" xr:uid="{00000000-0005-0000-0000-0000921D0000}"/>
    <cellStyle name="Millares 2 2 5 3 4 2" xfId="13539" xr:uid="{00000000-0005-0000-0000-0000931D0000}"/>
    <cellStyle name="Millares 2 2 5 3 4 3" xfId="20226" xr:uid="{00000000-0005-0000-0000-0000941D0000}"/>
    <cellStyle name="Millares 2 2 5 3 5" xfId="10222" xr:uid="{00000000-0005-0000-0000-0000951D0000}"/>
    <cellStyle name="Millares 2 2 5 3 6" xfId="16998" xr:uid="{00000000-0005-0000-0000-0000961D0000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3" xfId="22623" xr:uid="{00000000-0005-0000-0000-00009B1D0000}"/>
    <cellStyle name="Millares 2 2 5 4 2 3" xfId="12708" xr:uid="{00000000-0005-0000-0000-00009C1D0000}"/>
    <cellStyle name="Millares 2 2 5 4 2 4" xfId="19395" xr:uid="{00000000-0005-0000-0000-00009D1D0000}"/>
    <cellStyle name="Millares 2 2 5 4 3" xfId="8127" xr:uid="{00000000-0005-0000-0000-00009E1D0000}"/>
    <cellStyle name="Millares 2 2 5 4 3 2" xfId="14705" xr:uid="{00000000-0005-0000-0000-00009F1D0000}"/>
    <cellStyle name="Millares 2 2 5 4 3 3" xfId="21392" xr:uid="{00000000-0005-0000-0000-0000A01D0000}"/>
    <cellStyle name="Millares 2 2 5 4 4" xfId="11440" xr:uid="{00000000-0005-0000-0000-0000A11D0000}"/>
    <cellStyle name="Millares 2 2 5 4 5" xfId="18164" xr:uid="{00000000-0005-0000-0000-0000A21D0000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3" xfId="22738" xr:uid="{00000000-0005-0000-0000-0000A71D0000}"/>
    <cellStyle name="Millares 2 2 5 5 2 3" xfId="12823" xr:uid="{00000000-0005-0000-0000-0000A81D0000}"/>
    <cellStyle name="Millares 2 2 5 5 2 4" xfId="19510" xr:uid="{00000000-0005-0000-0000-0000A91D0000}"/>
    <cellStyle name="Millares 2 2 5 5 3" xfId="8242" xr:uid="{00000000-0005-0000-0000-0000AA1D0000}"/>
    <cellStyle name="Millares 2 2 5 5 3 2" xfId="14820" xr:uid="{00000000-0005-0000-0000-0000AB1D0000}"/>
    <cellStyle name="Millares 2 2 5 5 3 3" xfId="21507" xr:uid="{00000000-0005-0000-0000-0000AC1D0000}"/>
    <cellStyle name="Millares 2 2 5 5 4" xfId="11571" xr:uid="{00000000-0005-0000-0000-0000AD1D0000}"/>
    <cellStyle name="Millares 2 2 5 5 5" xfId="18279" xr:uid="{00000000-0005-0000-0000-0000AE1D0000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3" xfId="20569" xr:uid="{00000000-0005-0000-0000-0000B21D0000}"/>
    <cellStyle name="Millares 2 2 5 6 3" xfId="10566" xr:uid="{00000000-0005-0000-0000-0000B31D0000}"/>
    <cellStyle name="Millares 2 2 5 6 4" xfId="17341" xr:uid="{00000000-0005-0000-0000-0000B41D0000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3" xfId="21800" xr:uid="{00000000-0005-0000-0000-0000B81D0000}"/>
    <cellStyle name="Millares 2 2 5 7 3" xfId="11885" xr:uid="{00000000-0005-0000-0000-0000B91D0000}"/>
    <cellStyle name="Millares 2 2 5 7 4" xfId="18572" xr:uid="{00000000-0005-0000-0000-0000BA1D0000}"/>
    <cellStyle name="Millares 2 2 5 8" xfId="6573" xr:uid="{00000000-0005-0000-0000-0000BB1D0000}"/>
    <cellStyle name="Millares 2 2 5 8 2" xfId="13151" xr:uid="{00000000-0005-0000-0000-0000BC1D0000}"/>
    <cellStyle name="Millares 2 2 5 8 3" xfId="19838" xr:uid="{00000000-0005-0000-0000-0000BD1D0000}"/>
    <cellStyle name="Millares 2 2 5 9" xfId="9811" xr:uid="{00000000-0005-0000-0000-0000BE1D0000}"/>
    <cellStyle name="Millares 2 2 6" xfId="805" xr:uid="{00000000-0005-0000-0000-0000BF1D0000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3" xfId="21013" xr:uid="{00000000-0005-0000-0000-0000C41D0000}"/>
    <cellStyle name="Millares 2 2 6 2 2 3" xfId="11029" xr:uid="{00000000-0005-0000-0000-0000C51D0000}"/>
    <cellStyle name="Millares 2 2 6 2 2 4" xfId="17785" xr:uid="{00000000-0005-0000-0000-0000C61D0000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3" xfId="22244" xr:uid="{00000000-0005-0000-0000-0000CA1D0000}"/>
    <cellStyle name="Millares 2 2 6 2 3 3" xfId="12329" xr:uid="{00000000-0005-0000-0000-0000CB1D0000}"/>
    <cellStyle name="Millares 2 2 6 2 3 4" xfId="19016" xr:uid="{00000000-0005-0000-0000-0000CC1D0000}"/>
    <cellStyle name="Millares 2 2 6 2 4" xfId="7060" xr:uid="{00000000-0005-0000-0000-0000CD1D0000}"/>
    <cellStyle name="Millares 2 2 6 2 4 2" xfId="13638" xr:uid="{00000000-0005-0000-0000-0000CE1D0000}"/>
    <cellStyle name="Millares 2 2 6 2 4 3" xfId="20325" xr:uid="{00000000-0005-0000-0000-0000CF1D0000}"/>
    <cellStyle name="Millares 2 2 6 2 5" xfId="10321" xr:uid="{00000000-0005-0000-0000-0000D01D0000}"/>
    <cellStyle name="Millares 2 2 6 2 6" xfId="16390" xr:uid="{00000000-0005-0000-0000-0000D11D0000}"/>
    <cellStyle name="Millares 2 2 6 2 7" xfId="17097" xr:uid="{00000000-0005-0000-0000-0000D21D0000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3" xfId="22773" xr:uid="{00000000-0005-0000-0000-0000D71D0000}"/>
    <cellStyle name="Millares 2 2 6 3 2 3" xfId="12858" xr:uid="{00000000-0005-0000-0000-0000D81D0000}"/>
    <cellStyle name="Millares 2 2 6 3 2 4" xfId="19545" xr:uid="{00000000-0005-0000-0000-0000D91D0000}"/>
    <cellStyle name="Millares 2 2 6 3 3" xfId="8277" xr:uid="{00000000-0005-0000-0000-0000DA1D0000}"/>
    <cellStyle name="Millares 2 2 6 3 3 2" xfId="14855" xr:uid="{00000000-0005-0000-0000-0000DB1D0000}"/>
    <cellStyle name="Millares 2 2 6 3 3 3" xfId="21542" xr:uid="{00000000-0005-0000-0000-0000DC1D0000}"/>
    <cellStyle name="Millares 2 2 6 3 4" xfId="11607" xr:uid="{00000000-0005-0000-0000-0000DD1D0000}"/>
    <cellStyle name="Millares 2 2 6 3 5" xfId="18314" xr:uid="{00000000-0005-0000-0000-0000DE1D000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3" xfId="20617" xr:uid="{00000000-0005-0000-0000-0000E21D0000}"/>
    <cellStyle name="Millares 2 2 6 4 3" xfId="10614" xr:uid="{00000000-0005-0000-0000-0000E31D0000}"/>
    <cellStyle name="Millares 2 2 6 4 4" xfId="17389" xr:uid="{00000000-0005-0000-0000-0000E41D0000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3" xfId="21848" xr:uid="{00000000-0005-0000-0000-0000E81D0000}"/>
    <cellStyle name="Millares 2 2 6 5 3" xfId="11933" xr:uid="{00000000-0005-0000-0000-0000E91D0000}"/>
    <cellStyle name="Millares 2 2 6 5 4" xfId="18620" xr:uid="{00000000-0005-0000-0000-0000EA1D0000}"/>
    <cellStyle name="Millares 2 2 6 6" xfId="6672" xr:uid="{00000000-0005-0000-0000-0000EB1D0000}"/>
    <cellStyle name="Millares 2 2 6 6 2" xfId="13250" xr:uid="{00000000-0005-0000-0000-0000EC1D0000}"/>
    <cellStyle name="Millares 2 2 6 6 3" xfId="19937" xr:uid="{00000000-0005-0000-0000-0000ED1D0000}"/>
    <cellStyle name="Millares 2 2 6 7" xfId="9918" xr:uid="{00000000-0005-0000-0000-0000EE1D0000}"/>
    <cellStyle name="Millares 2 2 6 8" xfId="16338" xr:uid="{00000000-0005-0000-0000-0000EF1D0000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3" xfId="22361" xr:uid="{00000000-0005-0000-0000-0000F61D0000}"/>
    <cellStyle name="Millares 2 2 7 2 2 3" xfId="12446" xr:uid="{00000000-0005-0000-0000-0000F71D0000}"/>
    <cellStyle name="Millares 2 2 7 2 2 4" xfId="19133" xr:uid="{00000000-0005-0000-0000-0000F81D0000}"/>
    <cellStyle name="Millares 2 2 7 2 3" xfId="7865" xr:uid="{00000000-0005-0000-0000-0000F91D0000}"/>
    <cellStyle name="Millares 2 2 7 2 3 2" xfId="14443" xr:uid="{00000000-0005-0000-0000-0000FA1D0000}"/>
    <cellStyle name="Millares 2 2 7 2 3 3" xfId="21130" xr:uid="{00000000-0005-0000-0000-0000FB1D0000}"/>
    <cellStyle name="Millares 2 2 7 2 4" xfId="11152" xr:uid="{00000000-0005-0000-0000-0000FC1D0000}"/>
    <cellStyle name="Millares 2 2 7 2 5" xfId="16360" xr:uid="{00000000-0005-0000-0000-0000FD1D0000}"/>
    <cellStyle name="Millares 2 2 7 2 6" xfId="17902" xr:uid="{00000000-0005-0000-0000-0000FE1D0000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3" xfId="20734" xr:uid="{00000000-0005-0000-0000-0000021E0000}"/>
    <cellStyle name="Millares 2 2 7 3 3" xfId="10731" xr:uid="{00000000-0005-0000-0000-0000031E0000}"/>
    <cellStyle name="Millares 2 2 7 3 4" xfId="17506" xr:uid="{00000000-0005-0000-0000-0000041E0000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3" xfId="21965" xr:uid="{00000000-0005-0000-0000-0000081E0000}"/>
    <cellStyle name="Millares 2 2 7 4 3" xfId="12050" xr:uid="{00000000-0005-0000-0000-0000091E0000}"/>
    <cellStyle name="Millares 2 2 7 4 4" xfId="18737" xr:uid="{00000000-0005-0000-0000-00000A1E0000}"/>
    <cellStyle name="Millares 2 2 7 5" xfId="6867" xr:uid="{00000000-0005-0000-0000-00000B1E0000}"/>
    <cellStyle name="Millares 2 2 7 5 2" xfId="13445" xr:uid="{00000000-0005-0000-0000-00000C1E0000}"/>
    <cellStyle name="Millares 2 2 7 5 3" xfId="20132" xr:uid="{00000000-0005-0000-0000-00000D1E0000}"/>
    <cellStyle name="Millares 2 2 7 6" xfId="10128" xr:uid="{00000000-0005-0000-0000-00000E1E0000}"/>
    <cellStyle name="Millares 2 2 7 7" xfId="11402" xr:uid="{00000000-0005-0000-0000-00000F1E0000}"/>
    <cellStyle name="Millares 2 2 7 8" xfId="16904" xr:uid="{00000000-0005-0000-0000-0000101E0000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3" xfId="22439" xr:uid="{00000000-0005-0000-0000-0000161E0000}"/>
    <cellStyle name="Millares 2 2 8 2 2 3" xfId="12524" xr:uid="{00000000-0005-0000-0000-0000171E0000}"/>
    <cellStyle name="Millares 2 2 8 2 2 4" xfId="19211" xr:uid="{00000000-0005-0000-0000-0000181E0000}"/>
    <cellStyle name="Millares 2 2 8 2 3" xfId="7943" xr:uid="{00000000-0005-0000-0000-0000191E0000}"/>
    <cellStyle name="Millares 2 2 8 2 3 2" xfId="14521" xr:uid="{00000000-0005-0000-0000-00001A1E0000}"/>
    <cellStyle name="Millares 2 2 8 2 3 3" xfId="21208" xr:uid="{00000000-0005-0000-0000-00001B1E0000}"/>
    <cellStyle name="Millares 2 2 8 2 4" xfId="11236" xr:uid="{00000000-0005-0000-0000-00001C1E0000}"/>
    <cellStyle name="Millares 2 2 8 2 5" xfId="17980" xr:uid="{00000000-0005-0000-0000-00001D1E0000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3" xfId="22043" xr:uid="{00000000-0005-0000-0000-0000211E0000}"/>
    <cellStyle name="Millares 2 2 8 3 3" xfId="12128" xr:uid="{00000000-0005-0000-0000-0000221E0000}"/>
    <cellStyle name="Millares 2 2 8 3 4" xfId="18815" xr:uid="{00000000-0005-0000-0000-0000231E0000}"/>
    <cellStyle name="Millares 2 2 8 4" xfId="7547" xr:uid="{00000000-0005-0000-0000-0000241E0000}"/>
    <cellStyle name="Millares 2 2 8 4 2" xfId="14125" xr:uid="{00000000-0005-0000-0000-0000251E0000}"/>
    <cellStyle name="Millares 2 2 8 4 3" xfId="20812" xr:uid="{00000000-0005-0000-0000-0000261E0000}"/>
    <cellStyle name="Millares 2 2 8 5" xfId="10809" xr:uid="{00000000-0005-0000-0000-0000271E0000}"/>
    <cellStyle name="Millares 2 2 8 6" xfId="17584" xr:uid="{00000000-0005-0000-0000-0000281E000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3" xfId="22138" xr:uid="{00000000-0005-0000-0000-00002D1E0000}"/>
    <cellStyle name="Millares 2 2 9 2 3" xfId="12223" xr:uid="{00000000-0005-0000-0000-00002E1E0000}"/>
    <cellStyle name="Millares 2 2 9 2 4" xfId="18910" xr:uid="{00000000-0005-0000-0000-00002F1E0000}"/>
    <cellStyle name="Millares 2 2 9 3" xfId="7642" xr:uid="{00000000-0005-0000-0000-0000301E0000}"/>
    <cellStyle name="Millares 2 2 9 3 2" xfId="14220" xr:uid="{00000000-0005-0000-0000-0000311E0000}"/>
    <cellStyle name="Millares 2 2 9 3 3" xfId="20907" xr:uid="{00000000-0005-0000-0000-0000321E0000}"/>
    <cellStyle name="Millares 2 2 9 4" xfId="10913" xr:uid="{00000000-0005-0000-0000-0000331E0000}"/>
    <cellStyle name="Millares 2 2 9 5" xfId="17679" xr:uid="{00000000-0005-0000-0000-0000341E0000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3" xfId="21757" xr:uid="{00000000-0005-0000-0000-0000391E0000}"/>
    <cellStyle name="Millares 2 3 10 3" xfId="11842" xr:uid="{00000000-0005-0000-0000-00003A1E0000}"/>
    <cellStyle name="Millares 2 3 10 4" xfId="18529" xr:uid="{00000000-0005-0000-0000-00003B1E0000}"/>
    <cellStyle name="Millares 2 3 11" xfId="6482" xr:uid="{00000000-0005-0000-0000-00003C1E0000}"/>
    <cellStyle name="Millares 2 3 11 2" xfId="13060" xr:uid="{00000000-0005-0000-0000-00003D1E0000}"/>
    <cellStyle name="Millares 2 3 11 3" xfId="19747" xr:uid="{00000000-0005-0000-0000-00003E1E0000}"/>
    <cellStyle name="Millares 2 3 12" xfId="9714" xr:uid="{00000000-0005-0000-0000-00003F1E0000}"/>
    <cellStyle name="Millares 2 3 13" xfId="16519" xr:uid="{00000000-0005-0000-0000-0000401E0000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3" xfId="19770" xr:uid="{00000000-0005-0000-0000-0000441E0000}"/>
    <cellStyle name="Millares 2 3 2 11" xfId="9739" xr:uid="{00000000-0005-0000-0000-0000451E0000}"/>
    <cellStyle name="Millares 2 3 2 12" xfId="16542" xr:uid="{00000000-0005-0000-0000-0000461E0000}"/>
    <cellStyle name="Millares 2 3 2 2" xfId="355" xr:uid="{00000000-0005-0000-0000-0000471E0000}"/>
    <cellStyle name="Millares 2 3 2 2 10" xfId="9788" xr:uid="{00000000-0005-0000-0000-0000481E0000}"/>
    <cellStyle name="Millares 2 3 2 2 11" xfId="16588" xr:uid="{00000000-0005-0000-0000-0000491E0000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3" xfId="21706" xr:uid="{00000000-0005-0000-0000-0000501E0000}"/>
    <cellStyle name="Millares 2 3 2 2 2 2 2 2 3" xfId="11791" xr:uid="{00000000-0005-0000-0000-0000511E0000}"/>
    <cellStyle name="Millares 2 3 2 2 2 2 2 2 4" xfId="18478" xr:uid="{00000000-0005-0000-0000-0000521E0000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3" xfId="22937" xr:uid="{00000000-0005-0000-0000-0000561E0000}"/>
    <cellStyle name="Millares 2 3 2 2 2 2 2 3 3" xfId="13022" xr:uid="{00000000-0005-0000-0000-0000571E0000}"/>
    <cellStyle name="Millares 2 3 2 2 2 2 2 3 4" xfId="19709" xr:uid="{00000000-0005-0000-0000-0000581E0000}"/>
    <cellStyle name="Millares 2 3 2 2 2 2 2 4" xfId="7224" xr:uid="{00000000-0005-0000-0000-0000591E0000}"/>
    <cellStyle name="Millares 2 3 2 2 2 2 2 4 2" xfId="13802" xr:uid="{00000000-0005-0000-0000-00005A1E0000}"/>
    <cellStyle name="Millares 2 3 2 2 2 2 2 4 3" xfId="20489" xr:uid="{00000000-0005-0000-0000-00005B1E0000}"/>
    <cellStyle name="Millares 2 3 2 2 2 2 2 5" xfId="10485" xr:uid="{00000000-0005-0000-0000-00005C1E0000}"/>
    <cellStyle name="Millares 2 3 2 2 2 2 2 6" xfId="17261" xr:uid="{00000000-0005-0000-0000-00005D1E0000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3" xfId="21096" xr:uid="{00000000-0005-0000-0000-0000611E0000}"/>
    <cellStyle name="Millares 2 3 2 2 2 2 3 3" xfId="11113" xr:uid="{00000000-0005-0000-0000-0000621E0000}"/>
    <cellStyle name="Millares 2 3 2 2 2 2 3 4" xfId="17868" xr:uid="{00000000-0005-0000-0000-0000631E0000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3" xfId="22327" xr:uid="{00000000-0005-0000-0000-0000671E0000}"/>
    <cellStyle name="Millares 2 3 2 2 2 2 4 3" xfId="12412" xr:uid="{00000000-0005-0000-0000-0000681E0000}"/>
    <cellStyle name="Millares 2 3 2 2 2 2 4 4" xfId="19099" xr:uid="{00000000-0005-0000-0000-0000691E0000}"/>
    <cellStyle name="Millares 2 3 2 2 2 2 5" xfId="6836" xr:uid="{00000000-0005-0000-0000-00006A1E0000}"/>
    <cellStyle name="Millares 2 3 2 2 2 2 5 2" xfId="13414" xr:uid="{00000000-0005-0000-0000-00006B1E0000}"/>
    <cellStyle name="Millares 2 3 2 2 2 2 5 3" xfId="20101" xr:uid="{00000000-0005-0000-0000-00006C1E0000}"/>
    <cellStyle name="Millares 2 3 2 2 2 2 6" xfId="10096" xr:uid="{00000000-0005-0000-0000-00006D1E0000}"/>
    <cellStyle name="Millares 2 3 2 2 2 2 7" xfId="16873" xr:uid="{00000000-0005-0000-0000-00006E1E0000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3" xfId="21462" xr:uid="{00000000-0005-0000-0000-0000731E0000}"/>
    <cellStyle name="Millares 2 3 2 2 2 3 2 3" xfId="11526" xr:uid="{00000000-0005-0000-0000-0000741E0000}"/>
    <cellStyle name="Millares 2 3 2 2 2 3 2 4" xfId="18234" xr:uid="{00000000-0005-0000-0000-0000751E0000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3" xfId="22693" xr:uid="{00000000-0005-0000-0000-0000791E0000}"/>
    <cellStyle name="Millares 2 3 2 2 2 3 3 3" xfId="12778" xr:uid="{00000000-0005-0000-0000-00007A1E0000}"/>
    <cellStyle name="Millares 2 3 2 2 2 3 3 4" xfId="19465" xr:uid="{00000000-0005-0000-0000-00007B1E0000}"/>
    <cellStyle name="Millares 2 3 2 2 2 3 4" xfId="7031" xr:uid="{00000000-0005-0000-0000-00007C1E0000}"/>
    <cellStyle name="Millares 2 3 2 2 2 3 4 2" xfId="13609" xr:uid="{00000000-0005-0000-0000-00007D1E0000}"/>
    <cellStyle name="Millares 2 3 2 2 2 3 4 3" xfId="20296" xr:uid="{00000000-0005-0000-0000-00007E1E0000}"/>
    <cellStyle name="Millares 2 3 2 2 2 3 5" xfId="10292" xr:uid="{00000000-0005-0000-0000-00007F1E0000}"/>
    <cellStyle name="Millares 2 3 2 2 2 3 6" xfId="17068" xr:uid="{00000000-0005-0000-0000-0000801E0000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3" xfId="20700" xr:uid="{00000000-0005-0000-0000-0000841E0000}"/>
    <cellStyle name="Millares 2 3 2 2 2 4 3" xfId="10697" xr:uid="{00000000-0005-0000-0000-0000851E0000}"/>
    <cellStyle name="Millares 2 3 2 2 2 4 4" xfId="17472" xr:uid="{00000000-0005-0000-0000-0000861E0000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3" xfId="21931" xr:uid="{00000000-0005-0000-0000-00008A1E0000}"/>
    <cellStyle name="Millares 2 3 2 2 2 5 3" xfId="12016" xr:uid="{00000000-0005-0000-0000-00008B1E0000}"/>
    <cellStyle name="Millares 2 3 2 2 2 5 4" xfId="18703" xr:uid="{00000000-0005-0000-0000-00008C1E0000}"/>
    <cellStyle name="Millares 2 3 2 2 2 6" xfId="6643" xr:uid="{00000000-0005-0000-0000-00008D1E0000}"/>
    <cellStyle name="Millares 2 3 2 2 2 6 2" xfId="13221" xr:uid="{00000000-0005-0000-0000-00008E1E0000}"/>
    <cellStyle name="Millares 2 3 2 2 2 6 3" xfId="19908" xr:uid="{00000000-0005-0000-0000-00008F1E0000}"/>
    <cellStyle name="Millares 2 3 2 2 2 7" xfId="9887" xr:uid="{00000000-0005-0000-0000-0000901E0000}"/>
    <cellStyle name="Millares 2 3 2 2 2 8" xfId="16680" xr:uid="{00000000-0005-0000-0000-0000911E0000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3" xfId="21140" xr:uid="{00000000-0005-0000-0000-0000971E0000}"/>
    <cellStyle name="Millares 2 3 2 2 3 2 2 3" xfId="11162" xr:uid="{00000000-0005-0000-0000-0000981E0000}"/>
    <cellStyle name="Millares 2 3 2 2 3 2 2 4" xfId="17912" xr:uid="{00000000-0005-0000-0000-0000991E0000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3" xfId="22371" xr:uid="{00000000-0005-0000-0000-00009D1E0000}"/>
    <cellStyle name="Millares 2 3 2 2 3 2 3 3" xfId="12456" xr:uid="{00000000-0005-0000-0000-00009E1E0000}"/>
    <cellStyle name="Millares 2 3 2 2 3 2 3 4" xfId="19143" xr:uid="{00000000-0005-0000-0000-00009F1E0000}"/>
    <cellStyle name="Millares 2 3 2 2 3 2 4" xfId="7132" xr:uid="{00000000-0005-0000-0000-0000A01E0000}"/>
    <cellStyle name="Millares 2 3 2 2 3 2 4 2" xfId="13710" xr:uid="{00000000-0005-0000-0000-0000A11E0000}"/>
    <cellStyle name="Millares 2 3 2 2 3 2 4 3" xfId="20397" xr:uid="{00000000-0005-0000-0000-0000A21E0000}"/>
    <cellStyle name="Millares 2 3 2 2 3 2 5" xfId="10393" xr:uid="{00000000-0005-0000-0000-0000A31E0000}"/>
    <cellStyle name="Millares 2 3 2 2 3 2 6" xfId="17169" xr:uid="{00000000-0005-0000-0000-0000A41E0000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3" xfId="22845" xr:uid="{00000000-0005-0000-0000-0000A91E0000}"/>
    <cellStyle name="Millares 2 3 2 2 3 3 2 3" xfId="12930" xr:uid="{00000000-0005-0000-0000-0000AA1E0000}"/>
    <cellStyle name="Millares 2 3 2 2 3 3 2 4" xfId="19617" xr:uid="{00000000-0005-0000-0000-0000AB1E0000}"/>
    <cellStyle name="Millares 2 3 2 2 3 3 3" xfId="8349" xr:uid="{00000000-0005-0000-0000-0000AC1E0000}"/>
    <cellStyle name="Millares 2 3 2 2 3 3 3 2" xfId="14927" xr:uid="{00000000-0005-0000-0000-0000AD1E0000}"/>
    <cellStyle name="Millares 2 3 2 2 3 3 3 3" xfId="21614" xr:uid="{00000000-0005-0000-0000-0000AE1E0000}"/>
    <cellStyle name="Millares 2 3 2 2 3 3 4" xfId="11688" xr:uid="{00000000-0005-0000-0000-0000AF1E0000}"/>
    <cellStyle name="Millares 2 3 2 2 3 3 5" xfId="18386" xr:uid="{00000000-0005-0000-0000-0000B01E0000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3" xfId="20744" xr:uid="{00000000-0005-0000-0000-0000B41E0000}"/>
    <cellStyle name="Millares 2 3 2 2 3 4 3" xfId="10741" xr:uid="{00000000-0005-0000-0000-0000B51E0000}"/>
    <cellStyle name="Millares 2 3 2 2 3 4 4" xfId="17516" xr:uid="{00000000-0005-0000-0000-0000B61E0000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3" xfId="21975" xr:uid="{00000000-0005-0000-0000-0000BA1E0000}"/>
    <cellStyle name="Millares 2 3 2 2 3 5 3" xfId="12060" xr:uid="{00000000-0005-0000-0000-0000BB1E0000}"/>
    <cellStyle name="Millares 2 3 2 2 3 5 4" xfId="18747" xr:uid="{00000000-0005-0000-0000-0000BC1E0000}"/>
    <cellStyle name="Millares 2 3 2 2 3 6" xfId="6744" xr:uid="{00000000-0005-0000-0000-0000BD1E0000}"/>
    <cellStyle name="Millares 2 3 2 2 3 6 2" xfId="13322" xr:uid="{00000000-0005-0000-0000-0000BE1E0000}"/>
    <cellStyle name="Millares 2 3 2 2 3 6 3" xfId="20009" xr:uid="{00000000-0005-0000-0000-0000BF1E0000}"/>
    <cellStyle name="Millares 2 3 2 2 3 7" xfId="9994" xr:uid="{00000000-0005-0000-0000-0000C01E0000}"/>
    <cellStyle name="Millares 2 3 2 2 3 8" xfId="16781" xr:uid="{00000000-0005-0000-0000-0000C11E0000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3" xfId="22509" xr:uid="{00000000-0005-0000-0000-0000C71E0000}"/>
    <cellStyle name="Millares 2 3 2 2 4 2 2 3" xfId="12594" xr:uid="{00000000-0005-0000-0000-0000C81E0000}"/>
    <cellStyle name="Millares 2 3 2 2 4 2 2 4" xfId="19281" xr:uid="{00000000-0005-0000-0000-0000C91E0000}"/>
    <cellStyle name="Millares 2 3 2 2 4 2 3" xfId="8013" xr:uid="{00000000-0005-0000-0000-0000CA1E0000}"/>
    <cellStyle name="Millares 2 3 2 2 4 2 3 2" xfId="14591" xr:uid="{00000000-0005-0000-0000-0000CB1E0000}"/>
    <cellStyle name="Millares 2 3 2 2 4 2 3 3" xfId="21278" xr:uid="{00000000-0005-0000-0000-0000CC1E0000}"/>
    <cellStyle name="Millares 2 3 2 2 4 2 4" xfId="11312" xr:uid="{00000000-0005-0000-0000-0000CD1E0000}"/>
    <cellStyle name="Millares 2 3 2 2 4 2 5" xfId="18050" xr:uid="{00000000-0005-0000-0000-0000CE1E0000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3" xfId="20882" xr:uid="{00000000-0005-0000-0000-0000D21E0000}"/>
    <cellStyle name="Millares 2 3 2 2 4 3 3" xfId="10886" xr:uid="{00000000-0005-0000-0000-0000D31E0000}"/>
    <cellStyle name="Millares 2 3 2 2 4 3 4" xfId="17654" xr:uid="{00000000-0005-0000-0000-0000D41E000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3" xfId="22113" xr:uid="{00000000-0005-0000-0000-0000D81E0000}"/>
    <cellStyle name="Millares 2 3 2 2 4 4 3" xfId="12198" xr:uid="{00000000-0005-0000-0000-0000D91E0000}"/>
    <cellStyle name="Millares 2 3 2 2 4 4 4" xfId="18885" xr:uid="{00000000-0005-0000-0000-0000DA1E0000}"/>
    <cellStyle name="Millares 2 3 2 2 4 5" xfId="6939" xr:uid="{00000000-0005-0000-0000-0000DB1E0000}"/>
    <cellStyle name="Millares 2 3 2 2 4 5 2" xfId="13517" xr:uid="{00000000-0005-0000-0000-0000DC1E0000}"/>
    <cellStyle name="Millares 2 3 2 2 4 5 3" xfId="20204" xr:uid="{00000000-0005-0000-0000-0000DD1E0000}"/>
    <cellStyle name="Millares 2 3 2 2 4 6" xfId="10200" xr:uid="{00000000-0005-0000-0000-0000DE1E0000}"/>
    <cellStyle name="Millares 2 3 2 2 4 7" xfId="16976" xr:uid="{00000000-0005-0000-0000-0000DF1E0000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3" xfId="22221" xr:uid="{00000000-0005-0000-0000-0000E41E0000}"/>
    <cellStyle name="Millares 2 3 2 2 5 2 3" xfId="12306" xr:uid="{00000000-0005-0000-0000-0000E51E0000}"/>
    <cellStyle name="Millares 2 3 2 2 5 2 4" xfId="18993" xr:uid="{00000000-0005-0000-0000-0000E61E0000}"/>
    <cellStyle name="Millares 2 3 2 2 5 3" xfId="7725" xr:uid="{00000000-0005-0000-0000-0000E71E0000}"/>
    <cellStyle name="Millares 2 3 2 2 5 3 2" xfId="14303" xr:uid="{00000000-0005-0000-0000-0000E81E0000}"/>
    <cellStyle name="Millares 2 3 2 2 5 3 3" xfId="20990" xr:uid="{00000000-0005-0000-0000-0000E91E0000}"/>
    <cellStyle name="Millares 2 3 2 2 5 4" xfId="11004" xr:uid="{00000000-0005-0000-0000-0000EA1E0000}"/>
    <cellStyle name="Millares 2 3 2 2 5 5" xfId="17762" xr:uid="{00000000-0005-0000-0000-0000EB1E0000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3" xfId="22601" xr:uid="{00000000-0005-0000-0000-0000F01E0000}"/>
    <cellStyle name="Millares 2 3 2 2 6 2 3" xfId="12686" xr:uid="{00000000-0005-0000-0000-0000F11E0000}"/>
    <cellStyle name="Millares 2 3 2 2 6 2 4" xfId="19373" xr:uid="{00000000-0005-0000-0000-0000F21E0000}"/>
    <cellStyle name="Millares 2 3 2 2 6 3" xfId="8105" xr:uid="{00000000-0005-0000-0000-0000F31E0000}"/>
    <cellStyle name="Millares 2 3 2 2 6 3 2" xfId="14683" xr:uid="{00000000-0005-0000-0000-0000F41E0000}"/>
    <cellStyle name="Millares 2 3 2 2 6 3 3" xfId="21370" xr:uid="{00000000-0005-0000-0000-0000F51E0000}"/>
    <cellStyle name="Millares 2 3 2 2 6 4" xfId="11414" xr:uid="{00000000-0005-0000-0000-0000F61E0000}"/>
    <cellStyle name="Millares 2 3 2 2 6 5" xfId="18142" xr:uid="{00000000-0005-0000-0000-0000F71E000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3" xfId="20594" xr:uid="{00000000-0005-0000-0000-0000FB1E0000}"/>
    <cellStyle name="Millares 2 3 2 2 7 3" xfId="10591" xr:uid="{00000000-0005-0000-0000-0000FC1E0000}"/>
    <cellStyle name="Millares 2 3 2 2 7 4" xfId="17366" xr:uid="{00000000-0005-0000-0000-0000FD1E0000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3" xfId="21825" xr:uid="{00000000-0005-0000-0000-0000011F0000}"/>
    <cellStyle name="Millares 2 3 2 2 8 3" xfId="11910" xr:uid="{00000000-0005-0000-0000-0000021F0000}"/>
    <cellStyle name="Millares 2 3 2 2 8 4" xfId="18597" xr:uid="{00000000-0005-0000-0000-0000031F0000}"/>
    <cellStyle name="Millares 2 3 2 2 9" xfId="6551" xr:uid="{00000000-0005-0000-0000-0000041F0000}"/>
    <cellStyle name="Millares 2 3 2 2 9 2" xfId="13129" xr:uid="{00000000-0005-0000-0000-0000051F0000}"/>
    <cellStyle name="Millares 2 3 2 2 9 3" xfId="19816" xr:uid="{00000000-0005-0000-0000-0000061F0000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3" xfId="21661" xr:uid="{00000000-0005-0000-0000-00000D1F0000}"/>
    <cellStyle name="Millares 2 3 2 3 2 2 2 3" xfId="11739" xr:uid="{00000000-0005-0000-0000-00000E1F0000}"/>
    <cellStyle name="Millares 2 3 2 3 2 2 2 4" xfId="18433" xr:uid="{00000000-0005-0000-0000-00000F1F0000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3" xfId="22892" xr:uid="{00000000-0005-0000-0000-0000131F0000}"/>
    <cellStyle name="Millares 2 3 2 3 2 2 3 3" xfId="12977" xr:uid="{00000000-0005-0000-0000-0000141F0000}"/>
    <cellStyle name="Millares 2 3 2 3 2 2 3 4" xfId="19664" xr:uid="{00000000-0005-0000-0000-0000151F0000}"/>
    <cellStyle name="Millares 2 3 2 3 2 2 4" xfId="7179" xr:uid="{00000000-0005-0000-0000-0000161F0000}"/>
    <cellStyle name="Millares 2 3 2 3 2 2 4 2" xfId="13757" xr:uid="{00000000-0005-0000-0000-0000171F0000}"/>
    <cellStyle name="Millares 2 3 2 3 2 2 4 3" xfId="20444" xr:uid="{00000000-0005-0000-0000-0000181F0000}"/>
    <cellStyle name="Millares 2 3 2 3 2 2 5" xfId="10440" xr:uid="{00000000-0005-0000-0000-0000191F0000}"/>
    <cellStyle name="Millares 2 3 2 3 2 2 6" xfId="17216" xr:uid="{00000000-0005-0000-0000-00001A1F0000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3" xfId="21051" xr:uid="{00000000-0005-0000-0000-00001E1F0000}"/>
    <cellStyle name="Millares 2 3 2 3 2 3 3" xfId="11067" xr:uid="{00000000-0005-0000-0000-00001F1F0000}"/>
    <cellStyle name="Millares 2 3 2 3 2 3 4" xfId="17823" xr:uid="{00000000-0005-0000-0000-0000201F0000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3" xfId="22282" xr:uid="{00000000-0005-0000-0000-0000241F0000}"/>
    <cellStyle name="Millares 2 3 2 3 2 4 3" xfId="12367" xr:uid="{00000000-0005-0000-0000-0000251F0000}"/>
    <cellStyle name="Millares 2 3 2 3 2 4 4" xfId="19054" xr:uid="{00000000-0005-0000-0000-0000261F0000}"/>
    <cellStyle name="Millares 2 3 2 3 2 5" xfId="6791" xr:uid="{00000000-0005-0000-0000-0000271F0000}"/>
    <cellStyle name="Millares 2 3 2 3 2 5 2" xfId="13369" xr:uid="{00000000-0005-0000-0000-0000281F0000}"/>
    <cellStyle name="Millares 2 3 2 3 2 5 3" xfId="20056" xr:uid="{00000000-0005-0000-0000-0000291F0000}"/>
    <cellStyle name="Millares 2 3 2 3 2 6" xfId="10046" xr:uid="{00000000-0005-0000-0000-00002A1F0000}"/>
    <cellStyle name="Millares 2 3 2 3 2 7" xfId="16828" xr:uid="{00000000-0005-0000-0000-00002B1F0000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3" xfId="21417" xr:uid="{00000000-0005-0000-0000-0000301F0000}"/>
    <cellStyle name="Millares 2 3 2 3 3 2 3" xfId="11468" xr:uid="{00000000-0005-0000-0000-0000311F0000}"/>
    <cellStyle name="Millares 2 3 2 3 3 2 4" xfId="18189" xr:uid="{00000000-0005-0000-0000-0000321F0000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3" xfId="22648" xr:uid="{00000000-0005-0000-0000-0000361F0000}"/>
    <cellStyle name="Millares 2 3 2 3 3 3 3" xfId="12733" xr:uid="{00000000-0005-0000-0000-0000371F0000}"/>
    <cellStyle name="Millares 2 3 2 3 3 3 4" xfId="19420" xr:uid="{00000000-0005-0000-0000-0000381F0000}"/>
    <cellStyle name="Millares 2 3 2 3 3 4" xfId="6986" xr:uid="{00000000-0005-0000-0000-0000391F0000}"/>
    <cellStyle name="Millares 2 3 2 3 3 4 2" xfId="13564" xr:uid="{00000000-0005-0000-0000-00003A1F0000}"/>
    <cellStyle name="Millares 2 3 2 3 3 4 3" xfId="20251" xr:uid="{00000000-0005-0000-0000-00003B1F0000}"/>
    <cellStyle name="Millares 2 3 2 3 3 5" xfId="10247" xr:uid="{00000000-0005-0000-0000-00003C1F0000}"/>
    <cellStyle name="Millares 2 3 2 3 3 6" xfId="17023" xr:uid="{00000000-0005-0000-0000-00003D1F0000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3" xfId="20655" xr:uid="{00000000-0005-0000-0000-0000411F0000}"/>
    <cellStyle name="Millares 2 3 2 3 4 3" xfId="10652" xr:uid="{00000000-0005-0000-0000-0000421F0000}"/>
    <cellStyle name="Millares 2 3 2 3 4 4" xfId="17427" xr:uid="{00000000-0005-0000-0000-0000431F0000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3" xfId="21886" xr:uid="{00000000-0005-0000-0000-0000471F0000}"/>
    <cellStyle name="Millares 2 3 2 3 5 3" xfId="11971" xr:uid="{00000000-0005-0000-0000-0000481F0000}"/>
    <cellStyle name="Millares 2 3 2 3 5 4" xfId="18658" xr:uid="{00000000-0005-0000-0000-0000491F0000}"/>
    <cellStyle name="Millares 2 3 2 3 6" xfId="6598" xr:uid="{00000000-0005-0000-0000-00004A1F0000}"/>
    <cellStyle name="Millares 2 3 2 3 6 2" xfId="13176" xr:uid="{00000000-0005-0000-0000-00004B1F0000}"/>
    <cellStyle name="Millares 2 3 2 3 6 3" xfId="19863" xr:uid="{00000000-0005-0000-0000-00004C1F0000}"/>
    <cellStyle name="Millares 2 3 2 3 7" xfId="9837" xr:uid="{00000000-0005-0000-0000-00004D1F0000}"/>
    <cellStyle name="Millares 2 3 2 3 8" xfId="16635" xr:uid="{00000000-0005-0000-0000-00004E1F0000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3" xfId="21139" xr:uid="{00000000-0005-0000-0000-0000541F0000}"/>
    <cellStyle name="Millares 2 3 2 4 2 2 3" xfId="11161" xr:uid="{00000000-0005-0000-0000-0000551F0000}"/>
    <cellStyle name="Millares 2 3 2 4 2 2 4" xfId="17911" xr:uid="{00000000-0005-0000-0000-0000561F0000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3" xfId="22370" xr:uid="{00000000-0005-0000-0000-00005A1F0000}"/>
    <cellStyle name="Millares 2 3 2 4 2 3 3" xfId="12455" xr:uid="{00000000-0005-0000-0000-00005B1F0000}"/>
    <cellStyle name="Millares 2 3 2 4 2 3 4" xfId="19142" xr:uid="{00000000-0005-0000-0000-00005C1F0000}"/>
    <cellStyle name="Millares 2 3 2 4 2 4" xfId="7086" xr:uid="{00000000-0005-0000-0000-00005D1F0000}"/>
    <cellStyle name="Millares 2 3 2 4 2 4 2" xfId="13664" xr:uid="{00000000-0005-0000-0000-00005E1F0000}"/>
    <cellStyle name="Millares 2 3 2 4 2 4 3" xfId="20351" xr:uid="{00000000-0005-0000-0000-00005F1F0000}"/>
    <cellStyle name="Millares 2 3 2 4 2 5" xfId="10347" xr:uid="{00000000-0005-0000-0000-0000601F0000}"/>
    <cellStyle name="Millares 2 3 2 4 2 6" xfId="17123" xr:uid="{00000000-0005-0000-0000-0000611F0000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3" xfId="22799" xr:uid="{00000000-0005-0000-0000-0000661F0000}"/>
    <cellStyle name="Millares 2 3 2 4 3 2 3" xfId="12884" xr:uid="{00000000-0005-0000-0000-0000671F0000}"/>
    <cellStyle name="Millares 2 3 2 4 3 2 4" xfId="19571" xr:uid="{00000000-0005-0000-0000-0000681F0000}"/>
    <cellStyle name="Millares 2 3 2 4 3 3" xfId="8303" xr:uid="{00000000-0005-0000-0000-0000691F0000}"/>
    <cellStyle name="Millares 2 3 2 4 3 3 2" xfId="14881" xr:uid="{00000000-0005-0000-0000-00006A1F0000}"/>
    <cellStyle name="Millares 2 3 2 4 3 3 3" xfId="21568" xr:uid="{00000000-0005-0000-0000-00006B1F0000}"/>
    <cellStyle name="Millares 2 3 2 4 3 4" xfId="11637" xr:uid="{00000000-0005-0000-0000-00006C1F0000}"/>
    <cellStyle name="Millares 2 3 2 4 3 5" xfId="18340" xr:uid="{00000000-0005-0000-0000-00006D1F0000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3" xfId="20743" xr:uid="{00000000-0005-0000-0000-0000711F0000}"/>
    <cellStyle name="Millares 2 3 2 4 4 3" xfId="10740" xr:uid="{00000000-0005-0000-0000-0000721F0000}"/>
    <cellStyle name="Millares 2 3 2 4 4 4" xfId="17515" xr:uid="{00000000-0005-0000-0000-0000731F0000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3" xfId="21974" xr:uid="{00000000-0005-0000-0000-0000771F0000}"/>
    <cellStyle name="Millares 2 3 2 4 5 3" xfId="12059" xr:uid="{00000000-0005-0000-0000-0000781F0000}"/>
    <cellStyle name="Millares 2 3 2 4 5 4" xfId="18746" xr:uid="{00000000-0005-0000-0000-0000791F0000}"/>
    <cellStyle name="Millares 2 3 2 4 6" xfId="6698" xr:uid="{00000000-0005-0000-0000-00007A1F0000}"/>
    <cellStyle name="Millares 2 3 2 4 6 2" xfId="13276" xr:uid="{00000000-0005-0000-0000-00007B1F0000}"/>
    <cellStyle name="Millares 2 3 2 4 6 3" xfId="19963" xr:uid="{00000000-0005-0000-0000-00007C1F0000}"/>
    <cellStyle name="Millares 2 3 2 4 7" xfId="9946" xr:uid="{00000000-0005-0000-0000-00007D1F0000}"/>
    <cellStyle name="Millares 2 3 2 4 8" xfId="16735" xr:uid="{00000000-0005-0000-0000-00007E1F0000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3" xfId="22464" xr:uid="{00000000-0005-0000-0000-0000841F0000}"/>
    <cellStyle name="Millares 2 3 2 5 2 2 3" xfId="12549" xr:uid="{00000000-0005-0000-0000-0000851F0000}"/>
    <cellStyle name="Millares 2 3 2 5 2 2 4" xfId="19236" xr:uid="{00000000-0005-0000-0000-0000861F0000}"/>
    <cellStyle name="Millares 2 3 2 5 2 3" xfId="7968" xr:uid="{00000000-0005-0000-0000-0000871F0000}"/>
    <cellStyle name="Millares 2 3 2 5 2 3 2" xfId="14546" xr:uid="{00000000-0005-0000-0000-0000881F0000}"/>
    <cellStyle name="Millares 2 3 2 5 2 3 3" xfId="21233" xr:uid="{00000000-0005-0000-0000-0000891F0000}"/>
    <cellStyle name="Millares 2 3 2 5 2 4" xfId="11262" xr:uid="{00000000-0005-0000-0000-00008A1F0000}"/>
    <cellStyle name="Millares 2 3 2 5 2 5" xfId="18005" xr:uid="{00000000-0005-0000-0000-00008B1F0000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3" xfId="20837" xr:uid="{00000000-0005-0000-0000-00008F1F0000}"/>
    <cellStyle name="Millares 2 3 2 5 3 3" xfId="10835" xr:uid="{00000000-0005-0000-0000-0000901F0000}"/>
    <cellStyle name="Millares 2 3 2 5 3 4" xfId="17609" xr:uid="{00000000-0005-0000-0000-0000911F0000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3" xfId="22068" xr:uid="{00000000-0005-0000-0000-0000951F0000}"/>
    <cellStyle name="Millares 2 3 2 5 4 3" xfId="12153" xr:uid="{00000000-0005-0000-0000-0000961F0000}"/>
    <cellStyle name="Millares 2 3 2 5 4 4" xfId="18840" xr:uid="{00000000-0005-0000-0000-0000971F0000}"/>
    <cellStyle name="Millares 2 3 2 5 5" xfId="6893" xr:uid="{00000000-0005-0000-0000-0000981F0000}"/>
    <cellStyle name="Millares 2 3 2 5 5 2" xfId="13471" xr:uid="{00000000-0005-0000-0000-0000991F0000}"/>
    <cellStyle name="Millares 2 3 2 5 5 3" xfId="20158" xr:uid="{00000000-0005-0000-0000-00009A1F0000}"/>
    <cellStyle name="Millares 2 3 2 5 6" xfId="10154" xr:uid="{00000000-0005-0000-0000-00009B1F0000}"/>
    <cellStyle name="Millares 2 3 2 5 7" xfId="16930" xr:uid="{00000000-0005-0000-0000-00009C1F0000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3" xfId="22176" xr:uid="{00000000-0005-0000-0000-0000A11F0000}"/>
    <cellStyle name="Millares 2 3 2 6 2 3" xfId="12261" xr:uid="{00000000-0005-0000-0000-0000A21F0000}"/>
    <cellStyle name="Millares 2 3 2 6 2 4" xfId="18948" xr:uid="{00000000-0005-0000-0000-0000A31F0000}"/>
    <cellStyle name="Millares 2 3 2 6 3" xfId="7680" xr:uid="{00000000-0005-0000-0000-0000A41F0000}"/>
    <cellStyle name="Millares 2 3 2 6 3 2" xfId="14258" xr:uid="{00000000-0005-0000-0000-0000A51F0000}"/>
    <cellStyle name="Millares 2 3 2 6 3 3" xfId="20945" xr:uid="{00000000-0005-0000-0000-0000A61F0000}"/>
    <cellStyle name="Millares 2 3 2 6 4" xfId="10952" xr:uid="{00000000-0005-0000-0000-0000A71F0000}"/>
    <cellStyle name="Millares 2 3 2 6 5" xfId="17717" xr:uid="{00000000-0005-0000-0000-0000A81F0000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3" xfId="22556" xr:uid="{00000000-0005-0000-0000-0000AD1F0000}"/>
    <cellStyle name="Millares 2 3 2 7 2 3" xfId="12641" xr:uid="{00000000-0005-0000-0000-0000AE1F0000}"/>
    <cellStyle name="Millares 2 3 2 7 2 4" xfId="19328" xr:uid="{00000000-0005-0000-0000-0000AF1F0000}"/>
    <cellStyle name="Millares 2 3 2 7 3" xfId="8060" xr:uid="{00000000-0005-0000-0000-0000B01F0000}"/>
    <cellStyle name="Millares 2 3 2 7 3 2" xfId="14638" xr:uid="{00000000-0005-0000-0000-0000B11F0000}"/>
    <cellStyle name="Millares 2 3 2 7 3 3" xfId="21325" xr:uid="{00000000-0005-0000-0000-0000B21F0000}"/>
    <cellStyle name="Millares 2 3 2 7 4" xfId="11362" xr:uid="{00000000-0005-0000-0000-0000B31F0000}"/>
    <cellStyle name="Millares 2 3 2 7 5" xfId="18097" xr:uid="{00000000-0005-0000-0000-0000B41F0000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3" xfId="20549" xr:uid="{00000000-0005-0000-0000-0000B81F0000}"/>
    <cellStyle name="Millares 2 3 2 8 3" xfId="10546" xr:uid="{00000000-0005-0000-0000-0000B91F0000}"/>
    <cellStyle name="Millares 2 3 2 8 4" xfId="17321" xr:uid="{00000000-0005-0000-0000-0000BA1F0000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3" xfId="21780" xr:uid="{00000000-0005-0000-0000-0000BE1F0000}"/>
    <cellStyle name="Millares 2 3 2 9 3" xfId="11865" xr:uid="{00000000-0005-0000-0000-0000BF1F0000}"/>
    <cellStyle name="Millares 2 3 2 9 4" xfId="18552" xr:uid="{00000000-0005-0000-0000-0000C01F0000}"/>
    <cellStyle name="Millares 2 3 3" xfId="269" xr:uid="{00000000-0005-0000-0000-0000C11F0000}"/>
    <cellStyle name="Millares 2 3 3 10" xfId="9764" xr:uid="{00000000-0005-0000-0000-0000C21F0000}"/>
    <cellStyle name="Millares 2 3 3 11" xfId="16566" xr:uid="{00000000-0005-0000-0000-0000C31F0000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3" xfId="21684" xr:uid="{00000000-0005-0000-0000-0000CA1F0000}"/>
    <cellStyle name="Millares 2 3 3 2 2 2 2 3" xfId="11767" xr:uid="{00000000-0005-0000-0000-0000CB1F0000}"/>
    <cellStyle name="Millares 2 3 3 2 2 2 2 4" xfId="18456" xr:uid="{00000000-0005-0000-0000-0000CC1F0000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3" xfId="22915" xr:uid="{00000000-0005-0000-0000-0000D01F0000}"/>
    <cellStyle name="Millares 2 3 3 2 2 2 3 3" xfId="13000" xr:uid="{00000000-0005-0000-0000-0000D11F0000}"/>
    <cellStyle name="Millares 2 3 3 2 2 2 3 4" xfId="19687" xr:uid="{00000000-0005-0000-0000-0000D21F0000}"/>
    <cellStyle name="Millares 2 3 3 2 2 2 4" xfId="7202" xr:uid="{00000000-0005-0000-0000-0000D31F0000}"/>
    <cellStyle name="Millares 2 3 3 2 2 2 4 2" xfId="13780" xr:uid="{00000000-0005-0000-0000-0000D41F0000}"/>
    <cellStyle name="Millares 2 3 3 2 2 2 4 3" xfId="20467" xr:uid="{00000000-0005-0000-0000-0000D51F0000}"/>
    <cellStyle name="Millares 2 3 3 2 2 2 5" xfId="10463" xr:uid="{00000000-0005-0000-0000-0000D61F0000}"/>
    <cellStyle name="Millares 2 3 3 2 2 2 6" xfId="17239" xr:uid="{00000000-0005-0000-0000-0000D71F0000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3" xfId="21074" xr:uid="{00000000-0005-0000-0000-0000DB1F0000}"/>
    <cellStyle name="Millares 2 3 3 2 2 3 3" xfId="11091" xr:uid="{00000000-0005-0000-0000-0000DC1F0000}"/>
    <cellStyle name="Millares 2 3 3 2 2 3 4" xfId="17846" xr:uid="{00000000-0005-0000-0000-0000DD1F000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3" xfId="22305" xr:uid="{00000000-0005-0000-0000-0000E11F0000}"/>
    <cellStyle name="Millares 2 3 3 2 2 4 3" xfId="12390" xr:uid="{00000000-0005-0000-0000-0000E21F0000}"/>
    <cellStyle name="Millares 2 3 3 2 2 4 4" xfId="19077" xr:uid="{00000000-0005-0000-0000-0000E31F0000}"/>
    <cellStyle name="Millares 2 3 3 2 2 5" xfId="6814" xr:uid="{00000000-0005-0000-0000-0000E41F0000}"/>
    <cellStyle name="Millares 2 3 3 2 2 5 2" xfId="13392" xr:uid="{00000000-0005-0000-0000-0000E51F0000}"/>
    <cellStyle name="Millares 2 3 3 2 2 5 3" xfId="20079" xr:uid="{00000000-0005-0000-0000-0000E61F0000}"/>
    <cellStyle name="Millares 2 3 3 2 2 6" xfId="10071" xr:uid="{00000000-0005-0000-0000-0000E71F0000}"/>
    <cellStyle name="Millares 2 3 3 2 2 7" xfId="16851" xr:uid="{00000000-0005-0000-0000-0000E81F0000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3" xfId="21440" xr:uid="{00000000-0005-0000-0000-0000ED1F0000}"/>
    <cellStyle name="Millares 2 3 3 2 3 2 3" xfId="11499" xr:uid="{00000000-0005-0000-0000-0000EE1F0000}"/>
    <cellStyle name="Millares 2 3 3 2 3 2 4" xfId="18212" xr:uid="{00000000-0005-0000-0000-0000EF1F0000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3" xfId="22671" xr:uid="{00000000-0005-0000-0000-0000F31F0000}"/>
    <cellStyle name="Millares 2 3 3 2 3 3 3" xfId="12756" xr:uid="{00000000-0005-0000-0000-0000F41F0000}"/>
    <cellStyle name="Millares 2 3 3 2 3 3 4" xfId="19443" xr:uid="{00000000-0005-0000-0000-0000F51F0000}"/>
    <cellStyle name="Millares 2 3 3 2 3 4" xfId="7009" xr:uid="{00000000-0005-0000-0000-0000F61F0000}"/>
    <cellStyle name="Millares 2 3 3 2 3 4 2" xfId="13587" xr:uid="{00000000-0005-0000-0000-0000F71F0000}"/>
    <cellStyle name="Millares 2 3 3 2 3 4 3" xfId="20274" xr:uid="{00000000-0005-0000-0000-0000F81F0000}"/>
    <cellStyle name="Millares 2 3 3 2 3 5" xfId="10270" xr:uid="{00000000-0005-0000-0000-0000F91F0000}"/>
    <cellStyle name="Millares 2 3 3 2 3 6" xfId="17046" xr:uid="{00000000-0005-0000-0000-0000FA1F0000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3" xfId="20678" xr:uid="{00000000-0005-0000-0000-0000FE1F0000}"/>
    <cellStyle name="Millares 2 3 3 2 4 3" xfId="10675" xr:uid="{00000000-0005-0000-0000-0000FF1F0000}"/>
    <cellStyle name="Millares 2 3 3 2 4 4" xfId="17450" xr:uid="{00000000-0005-0000-0000-000000200000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3" xfId="21909" xr:uid="{00000000-0005-0000-0000-000004200000}"/>
    <cellStyle name="Millares 2 3 3 2 5 3" xfId="11994" xr:uid="{00000000-0005-0000-0000-000005200000}"/>
    <cellStyle name="Millares 2 3 3 2 5 4" xfId="18681" xr:uid="{00000000-0005-0000-0000-000006200000}"/>
    <cellStyle name="Millares 2 3 3 2 6" xfId="6621" xr:uid="{00000000-0005-0000-0000-000007200000}"/>
    <cellStyle name="Millares 2 3 3 2 6 2" xfId="13199" xr:uid="{00000000-0005-0000-0000-000008200000}"/>
    <cellStyle name="Millares 2 3 3 2 6 3" xfId="19886" xr:uid="{00000000-0005-0000-0000-000009200000}"/>
    <cellStyle name="Millares 2 3 3 2 7" xfId="9862" xr:uid="{00000000-0005-0000-0000-00000A200000}"/>
    <cellStyle name="Millares 2 3 3 2 8" xfId="16658" xr:uid="{00000000-0005-0000-0000-00000B200000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3" xfId="21141" xr:uid="{00000000-0005-0000-0000-000011200000}"/>
    <cellStyle name="Millares 2 3 3 3 2 2 3" xfId="11163" xr:uid="{00000000-0005-0000-0000-000012200000}"/>
    <cellStyle name="Millares 2 3 3 3 2 2 4" xfId="17913" xr:uid="{00000000-0005-0000-0000-000013200000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3" xfId="22372" xr:uid="{00000000-0005-0000-0000-000017200000}"/>
    <cellStyle name="Millares 2 3 3 3 2 3 3" xfId="12457" xr:uid="{00000000-0005-0000-0000-000018200000}"/>
    <cellStyle name="Millares 2 3 3 3 2 3 4" xfId="19144" xr:uid="{00000000-0005-0000-0000-000019200000}"/>
    <cellStyle name="Millares 2 3 3 3 2 4" xfId="7110" xr:uid="{00000000-0005-0000-0000-00001A200000}"/>
    <cellStyle name="Millares 2 3 3 3 2 4 2" xfId="13688" xr:uid="{00000000-0005-0000-0000-00001B200000}"/>
    <cellStyle name="Millares 2 3 3 3 2 4 3" xfId="20375" xr:uid="{00000000-0005-0000-0000-00001C200000}"/>
    <cellStyle name="Millares 2 3 3 3 2 5" xfId="10371" xr:uid="{00000000-0005-0000-0000-00001D200000}"/>
    <cellStyle name="Millares 2 3 3 3 2 6" xfId="17147" xr:uid="{00000000-0005-0000-0000-00001E200000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3" xfId="22823" xr:uid="{00000000-0005-0000-0000-000023200000}"/>
    <cellStyle name="Millares 2 3 3 3 3 2 3" xfId="12908" xr:uid="{00000000-0005-0000-0000-000024200000}"/>
    <cellStyle name="Millares 2 3 3 3 3 2 4" xfId="19595" xr:uid="{00000000-0005-0000-0000-000025200000}"/>
    <cellStyle name="Millares 2 3 3 3 3 3" xfId="8327" xr:uid="{00000000-0005-0000-0000-000026200000}"/>
    <cellStyle name="Millares 2 3 3 3 3 3 2" xfId="14905" xr:uid="{00000000-0005-0000-0000-000027200000}"/>
    <cellStyle name="Millares 2 3 3 3 3 3 3" xfId="21592" xr:uid="{00000000-0005-0000-0000-000028200000}"/>
    <cellStyle name="Millares 2 3 3 3 3 4" xfId="11662" xr:uid="{00000000-0005-0000-0000-000029200000}"/>
    <cellStyle name="Millares 2 3 3 3 3 5" xfId="18364" xr:uid="{00000000-0005-0000-0000-00002A200000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3" xfId="20745" xr:uid="{00000000-0005-0000-0000-00002E200000}"/>
    <cellStyle name="Millares 2 3 3 3 4 3" xfId="10742" xr:uid="{00000000-0005-0000-0000-00002F200000}"/>
    <cellStyle name="Millares 2 3 3 3 4 4" xfId="17517" xr:uid="{00000000-0005-0000-0000-000030200000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3" xfId="21976" xr:uid="{00000000-0005-0000-0000-000034200000}"/>
    <cellStyle name="Millares 2 3 3 3 5 3" xfId="12061" xr:uid="{00000000-0005-0000-0000-000035200000}"/>
    <cellStyle name="Millares 2 3 3 3 5 4" xfId="18748" xr:uid="{00000000-0005-0000-0000-000036200000}"/>
    <cellStyle name="Millares 2 3 3 3 6" xfId="6722" xr:uid="{00000000-0005-0000-0000-000037200000}"/>
    <cellStyle name="Millares 2 3 3 3 6 2" xfId="13300" xr:uid="{00000000-0005-0000-0000-000038200000}"/>
    <cellStyle name="Millares 2 3 3 3 6 3" xfId="19987" xr:uid="{00000000-0005-0000-0000-000039200000}"/>
    <cellStyle name="Millares 2 3 3 3 7" xfId="9970" xr:uid="{00000000-0005-0000-0000-00003A200000}"/>
    <cellStyle name="Millares 2 3 3 3 8" xfId="16759" xr:uid="{00000000-0005-0000-0000-00003B200000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3" xfId="22487" xr:uid="{00000000-0005-0000-0000-000041200000}"/>
    <cellStyle name="Millares 2 3 3 4 2 2 3" xfId="12572" xr:uid="{00000000-0005-0000-0000-000042200000}"/>
    <cellStyle name="Millares 2 3 3 4 2 2 4" xfId="19259" xr:uid="{00000000-0005-0000-0000-000043200000}"/>
    <cellStyle name="Millares 2 3 3 4 2 3" xfId="7991" xr:uid="{00000000-0005-0000-0000-000044200000}"/>
    <cellStyle name="Millares 2 3 3 4 2 3 2" xfId="14569" xr:uid="{00000000-0005-0000-0000-000045200000}"/>
    <cellStyle name="Millares 2 3 3 4 2 3 3" xfId="21256" xr:uid="{00000000-0005-0000-0000-000046200000}"/>
    <cellStyle name="Millares 2 3 3 4 2 4" xfId="11288" xr:uid="{00000000-0005-0000-0000-000047200000}"/>
    <cellStyle name="Millares 2 3 3 4 2 5" xfId="18028" xr:uid="{00000000-0005-0000-0000-000048200000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3" xfId="20860" xr:uid="{00000000-0005-0000-0000-00004C200000}"/>
    <cellStyle name="Millares 2 3 3 4 3 3" xfId="10860" xr:uid="{00000000-0005-0000-0000-00004D200000}"/>
    <cellStyle name="Millares 2 3 3 4 3 4" xfId="17632" xr:uid="{00000000-0005-0000-0000-00004E20000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3" xfId="22091" xr:uid="{00000000-0005-0000-0000-000052200000}"/>
    <cellStyle name="Millares 2 3 3 4 4 3" xfId="12176" xr:uid="{00000000-0005-0000-0000-000053200000}"/>
    <cellStyle name="Millares 2 3 3 4 4 4" xfId="18863" xr:uid="{00000000-0005-0000-0000-000054200000}"/>
    <cellStyle name="Millares 2 3 3 4 5" xfId="6917" xr:uid="{00000000-0005-0000-0000-000055200000}"/>
    <cellStyle name="Millares 2 3 3 4 5 2" xfId="13495" xr:uid="{00000000-0005-0000-0000-000056200000}"/>
    <cellStyle name="Millares 2 3 3 4 5 3" xfId="20182" xr:uid="{00000000-0005-0000-0000-000057200000}"/>
    <cellStyle name="Millares 2 3 3 4 6" xfId="10178" xr:uid="{00000000-0005-0000-0000-000058200000}"/>
    <cellStyle name="Millares 2 3 3 4 7" xfId="16954" xr:uid="{00000000-0005-0000-0000-000059200000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3" xfId="22199" xr:uid="{00000000-0005-0000-0000-00005E200000}"/>
    <cellStyle name="Millares 2 3 3 5 2 3" xfId="12284" xr:uid="{00000000-0005-0000-0000-00005F200000}"/>
    <cellStyle name="Millares 2 3 3 5 2 4" xfId="18971" xr:uid="{00000000-0005-0000-0000-000060200000}"/>
    <cellStyle name="Millares 2 3 3 5 3" xfId="7703" xr:uid="{00000000-0005-0000-0000-000061200000}"/>
    <cellStyle name="Millares 2 3 3 5 3 2" xfId="14281" xr:uid="{00000000-0005-0000-0000-000062200000}"/>
    <cellStyle name="Millares 2 3 3 5 3 3" xfId="20968" xr:uid="{00000000-0005-0000-0000-000063200000}"/>
    <cellStyle name="Millares 2 3 3 5 4" xfId="10979" xr:uid="{00000000-0005-0000-0000-000064200000}"/>
    <cellStyle name="Millares 2 3 3 5 5" xfId="17740" xr:uid="{00000000-0005-0000-0000-000065200000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3" xfId="22579" xr:uid="{00000000-0005-0000-0000-00006A200000}"/>
    <cellStyle name="Millares 2 3 3 6 2 3" xfId="12664" xr:uid="{00000000-0005-0000-0000-00006B200000}"/>
    <cellStyle name="Millares 2 3 3 6 2 4" xfId="19351" xr:uid="{00000000-0005-0000-0000-00006C200000}"/>
    <cellStyle name="Millares 2 3 3 6 3" xfId="8083" xr:uid="{00000000-0005-0000-0000-00006D200000}"/>
    <cellStyle name="Millares 2 3 3 6 3 2" xfId="14661" xr:uid="{00000000-0005-0000-0000-00006E200000}"/>
    <cellStyle name="Millares 2 3 3 6 3 3" xfId="21348" xr:uid="{00000000-0005-0000-0000-00006F200000}"/>
    <cellStyle name="Millares 2 3 3 6 4" xfId="11388" xr:uid="{00000000-0005-0000-0000-000070200000}"/>
    <cellStyle name="Millares 2 3 3 6 5" xfId="18120" xr:uid="{00000000-0005-0000-0000-000071200000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3" xfId="20572" xr:uid="{00000000-0005-0000-0000-000075200000}"/>
    <cellStyle name="Millares 2 3 3 7 3" xfId="10569" xr:uid="{00000000-0005-0000-0000-000076200000}"/>
    <cellStyle name="Millares 2 3 3 7 4" xfId="17344" xr:uid="{00000000-0005-0000-0000-000077200000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3" xfId="21803" xr:uid="{00000000-0005-0000-0000-00007B200000}"/>
    <cellStyle name="Millares 2 3 3 8 3" xfId="11888" xr:uid="{00000000-0005-0000-0000-00007C200000}"/>
    <cellStyle name="Millares 2 3 3 8 4" xfId="18575" xr:uid="{00000000-0005-0000-0000-00007D200000}"/>
    <cellStyle name="Millares 2 3 3 9" xfId="6529" xr:uid="{00000000-0005-0000-0000-00007E200000}"/>
    <cellStyle name="Millares 2 3 3 9 2" xfId="13107" xr:uid="{00000000-0005-0000-0000-00007F200000}"/>
    <cellStyle name="Millares 2 3 3 9 3" xfId="19794" xr:uid="{00000000-0005-0000-0000-000080200000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3" xfId="21639" xr:uid="{00000000-0005-0000-0000-000087200000}"/>
    <cellStyle name="Millares 2 3 4 2 2 2 3" xfId="11716" xr:uid="{00000000-0005-0000-0000-000088200000}"/>
    <cellStyle name="Millares 2 3 4 2 2 2 4" xfId="18411" xr:uid="{00000000-0005-0000-0000-000089200000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3" xfId="22870" xr:uid="{00000000-0005-0000-0000-00008D200000}"/>
    <cellStyle name="Millares 2 3 4 2 2 3 3" xfId="12955" xr:uid="{00000000-0005-0000-0000-00008E200000}"/>
    <cellStyle name="Millares 2 3 4 2 2 3 4" xfId="19642" xr:uid="{00000000-0005-0000-0000-00008F200000}"/>
    <cellStyle name="Millares 2 3 4 2 2 4" xfId="7157" xr:uid="{00000000-0005-0000-0000-000090200000}"/>
    <cellStyle name="Millares 2 3 4 2 2 4 2" xfId="13735" xr:uid="{00000000-0005-0000-0000-000091200000}"/>
    <cellStyle name="Millares 2 3 4 2 2 4 3" xfId="20422" xr:uid="{00000000-0005-0000-0000-000092200000}"/>
    <cellStyle name="Millares 2 3 4 2 2 5" xfId="10418" xr:uid="{00000000-0005-0000-0000-000093200000}"/>
    <cellStyle name="Millares 2 3 4 2 2 6" xfId="17194" xr:uid="{00000000-0005-0000-0000-000094200000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3" xfId="21028" xr:uid="{00000000-0005-0000-0000-000098200000}"/>
    <cellStyle name="Millares 2 3 4 2 3 3" xfId="11044" xr:uid="{00000000-0005-0000-0000-000099200000}"/>
    <cellStyle name="Millares 2 3 4 2 3 4" xfId="17800" xr:uid="{00000000-0005-0000-0000-00009A200000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3" xfId="22259" xr:uid="{00000000-0005-0000-0000-00009E200000}"/>
    <cellStyle name="Millares 2 3 4 2 4 3" xfId="12344" xr:uid="{00000000-0005-0000-0000-00009F200000}"/>
    <cellStyle name="Millares 2 3 4 2 4 4" xfId="19031" xr:uid="{00000000-0005-0000-0000-0000A0200000}"/>
    <cellStyle name="Millares 2 3 4 2 5" xfId="6769" xr:uid="{00000000-0005-0000-0000-0000A1200000}"/>
    <cellStyle name="Millares 2 3 4 2 5 2" xfId="13347" xr:uid="{00000000-0005-0000-0000-0000A2200000}"/>
    <cellStyle name="Millares 2 3 4 2 5 3" xfId="20034" xr:uid="{00000000-0005-0000-0000-0000A3200000}"/>
    <cellStyle name="Millares 2 3 4 2 6" xfId="10024" xr:uid="{00000000-0005-0000-0000-0000A4200000}"/>
    <cellStyle name="Millares 2 3 4 2 7" xfId="16806" xr:uid="{00000000-0005-0000-0000-0000A5200000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3" xfId="21395" xr:uid="{00000000-0005-0000-0000-0000AA200000}"/>
    <cellStyle name="Millares 2 3 4 3 2 3" xfId="11443" xr:uid="{00000000-0005-0000-0000-0000AB200000}"/>
    <cellStyle name="Millares 2 3 4 3 2 4" xfId="18167" xr:uid="{00000000-0005-0000-0000-0000AC200000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3" xfId="22626" xr:uid="{00000000-0005-0000-0000-0000B0200000}"/>
    <cellStyle name="Millares 2 3 4 3 3 3" xfId="12711" xr:uid="{00000000-0005-0000-0000-0000B1200000}"/>
    <cellStyle name="Millares 2 3 4 3 3 4" xfId="19398" xr:uid="{00000000-0005-0000-0000-0000B2200000}"/>
    <cellStyle name="Millares 2 3 4 3 4" xfId="6964" xr:uid="{00000000-0005-0000-0000-0000B3200000}"/>
    <cellStyle name="Millares 2 3 4 3 4 2" xfId="13542" xr:uid="{00000000-0005-0000-0000-0000B4200000}"/>
    <cellStyle name="Millares 2 3 4 3 4 3" xfId="20229" xr:uid="{00000000-0005-0000-0000-0000B5200000}"/>
    <cellStyle name="Millares 2 3 4 3 5" xfId="10225" xr:uid="{00000000-0005-0000-0000-0000B6200000}"/>
    <cellStyle name="Millares 2 3 4 3 6" xfId="17001" xr:uid="{00000000-0005-0000-0000-0000B7200000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3" xfId="20632" xr:uid="{00000000-0005-0000-0000-0000BB200000}"/>
    <cellStyle name="Millares 2 3 4 4 3" xfId="10629" xr:uid="{00000000-0005-0000-0000-0000BC200000}"/>
    <cellStyle name="Millares 2 3 4 4 4" xfId="17404" xr:uid="{00000000-0005-0000-0000-0000BD200000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3" xfId="21863" xr:uid="{00000000-0005-0000-0000-0000C1200000}"/>
    <cellStyle name="Millares 2 3 4 5 3" xfId="11948" xr:uid="{00000000-0005-0000-0000-0000C2200000}"/>
    <cellStyle name="Millares 2 3 4 5 4" xfId="18635" xr:uid="{00000000-0005-0000-0000-0000C3200000}"/>
    <cellStyle name="Millares 2 3 4 6" xfId="6576" xr:uid="{00000000-0005-0000-0000-0000C4200000}"/>
    <cellStyle name="Millares 2 3 4 6 2" xfId="13154" xr:uid="{00000000-0005-0000-0000-0000C5200000}"/>
    <cellStyle name="Millares 2 3 4 6 3" xfId="19841" xr:uid="{00000000-0005-0000-0000-0000C6200000}"/>
    <cellStyle name="Millares 2 3 4 7" xfId="9814" xr:uid="{00000000-0005-0000-0000-0000C7200000}"/>
    <cellStyle name="Millares 2 3 4 8" xfId="16613" xr:uid="{00000000-0005-0000-0000-0000C8200000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3" xfId="21138" xr:uid="{00000000-0005-0000-0000-0000CE200000}"/>
    <cellStyle name="Millares 2 3 5 2 2 3" xfId="11160" xr:uid="{00000000-0005-0000-0000-0000CF200000}"/>
    <cellStyle name="Millares 2 3 5 2 2 4" xfId="17910" xr:uid="{00000000-0005-0000-0000-0000D0200000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3" xfId="22369" xr:uid="{00000000-0005-0000-0000-0000D4200000}"/>
    <cellStyle name="Millares 2 3 5 2 3 3" xfId="12454" xr:uid="{00000000-0005-0000-0000-0000D5200000}"/>
    <cellStyle name="Millares 2 3 5 2 3 4" xfId="19141" xr:uid="{00000000-0005-0000-0000-0000D6200000}"/>
    <cellStyle name="Millares 2 3 5 2 4" xfId="7063" xr:uid="{00000000-0005-0000-0000-0000D7200000}"/>
    <cellStyle name="Millares 2 3 5 2 4 2" xfId="13641" xr:uid="{00000000-0005-0000-0000-0000D8200000}"/>
    <cellStyle name="Millares 2 3 5 2 4 3" xfId="20328" xr:uid="{00000000-0005-0000-0000-0000D9200000}"/>
    <cellStyle name="Millares 2 3 5 2 5" xfId="10324" xr:uid="{00000000-0005-0000-0000-0000DA200000}"/>
    <cellStyle name="Millares 2 3 5 2 6" xfId="17100" xr:uid="{00000000-0005-0000-0000-0000DB2000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3" xfId="22776" xr:uid="{00000000-0005-0000-0000-0000E0200000}"/>
    <cellStyle name="Millares 2 3 5 3 2 3" xfId="12861" xr:uid="{00000000-0005-0000-0000-0000E1200000}"/>
    <cellStyle name="Millares 2 3 5 3 2 4" xfId="19548" xr:uid="{00000000-0005-0000-0000-0000E2200000}"/>
    <cellStyle name="Millares 2 3 5 3 3" xfId="8280" xr:uid="{00000000-0005-0000-0000-0000E3200000}"/>
    <cellStyle name="Millares 2 3 5 3 3 2" xfId="14858" xr:uid="{00000000-0005-0000-0000-0000E4200000}"/>
    <cellStyle name="Millares 2 3 5 3 3 3" xfId="21545" xr:uid="{00000000-0005-0000-0000-0000E5200000}"/>
    <cellStyle name="Millares 2 3 5 3 4" xfId="11610" xr:uid="{00000000-0005-0000-0000-0000E6200000}"/>
    <cellStyle name="Millares 2 3 5 3 5" xfId="18317" xr:uid="{00000000-0005-0000-0000-0000E7200000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3" xfId="20742" xr:uid="{00000000-0005-0000-0000-0000EB200000}"/>
    <cellStyle name="Millares 2 3 5 4 3" xfId="10739" xr:uid="{00000000-0005-0000-0000-0000EC200000}"/>
    <cellStyle name="Millares 2 3 5 4 4" xfId="17514" xr:uid="{00000000-0005-0000-0000-0000ED200000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3" xfId="21973" xr:uid="{00000000-0005-0000-0000-0000F1200000}"/>
    <cellStyle name="Millares 2 3 5 5 3" xfId="12058" xr:uid="{00000000-0005-0000-0000-0000F2200000}"/>
    <cellStyle name="Millares 2 3 5 5 4" xfId="18745" xr:uid="{00000000-0005-0000-0000-0000F3200000}"/>
    <cellStyle name="Millares 2 3 5 6" xfId="6675" xr:uid="{00000000-0005-0000-0000-0000F4200000}"/>
    <cellStyle name="Millares 2 3 5 6 2" xfId="13253" xr:uid="{00000000-0005-0000-0000-0000F5200000}"/>
    <cellStyle name="Millares 2 3 5 6 3" xfId="19940" xr:uid="{00000000-0005-0000-0000-0000F6200000}"/>
    <cellStyle name="Millares 2 3 5 7" xfId="9921" xr:uid="{00000000-0005-0000-0000-0000F7200000}"/>
    <cellStyle name="Millares 2 3 5 8" xfId="16712" xr:uid="{00000000-0005-0000-0000-0000F8200000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3" xfId="22442" xr:uid="{00000000-0005-0000-0000-0000FE200000}"/>
    <cellStyle name="Millares 2 3 6 2 2 3" xfId="12527" xr:uid="{00000000-0005-0000-0000-0000FF200000}"/>
    <cellStyle name="Millares 2 3 6 2 2 4" xfId="19214" xr:uid="{00000000-0005-0000-0000-000000210000}"/>
    <cellStyle name="Millares 2 3 6 2 3" xfId="7946" xr:uid="{00000000-0005-0000-0000-000001210000}"/>
    <cellStyle name="Millares 2 3 6 2 3 2" xfId="14524" xr:uid="{00000000-0005-0000-0000-000002210000}"/>
    <cellStyle name="Millares 2 3 6 2 3 3" xfId="21211" xr:uid="{00000000-0005-0000-0000-000003210000}"/>
    <cellStyle name="Millares 2 3 6 2 4" xfId="11239" xr:uid="{00000000-0005-0000-0000-000004210000}"/>
    <cellStyle name="Millares 2 3 6 2 5" xfId="17983" xr:uid="{00000000-0005-0000-0000-000005210000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3" xfId="20815" xr:uid="{00000000-0005-0000-0000-000009210000}"/>
    <cellStyle name="Millares 2 3 6 3 3" xfId="10812" xr:uid="{00000000-0005-0000-0000-00000A210000}"/>
    <cellStyle name="Millares 2 3 6 3 4" xfId="17587" xr:uid="{00000000-0005-0000-0000-00000B21000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3" xfId="22046" xr:uid="{00000000-0005-0000-0000-00000F210000}"/>
    <cellStyle name="Millares 2 3 6 4 3" xfId="12131" xr:uid="{00000000-0005-0000-0000-000010210000}"/>
    <cellStyle name="Millares 2 3 6 4 4" xfId="18818" xr:uid="{00000000-0005-0000-0000-000011210000}"/>
    <cellStyle name="Millares 2 3 6 5" xfId="6870" xr:uid="{00000000-0005-0000-0000-000012210000}"/>
    <cellStyle name="Millares 2 3 6 5 2" xfId="13448" xr:uid="{00000000-0005-0000-0000-000013210000}"/>
    <cellStyle name="Millares 2 3 6 5 3" xfId="20135" xr:uid="{00000000-0005-0000-0000-000014210000}"/>
    <cellStyle name="Millares 2 3 6 6" xfId="10131" xr:uid="{00000000-0005-0000-0000-000015210000}"/>
    <cellStyle name="Millares 2 3 6 7" xfId="16907" xr:uid="{00000000-0005-0000-0000-000016210000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3" xfId="22153" xr:uid="{00000000-0005-0000-0000-00001B210000}"/>
    <cellStyle name="Millares 2 3 7 2 3" xfId="12238" xr:uid="{00000000-0005-0000-0000-00001C210000}"/>
    <cellStyle name="Millares 2 3 7 2 4" xfId="18925" xr:uid="{00000000-0005-0000-0000-00001D210000}"/>
    <cellStyle name="Millares 2 3 7 3" xfId="7657" xr:uid="{00000000-0005-0000-0000-00001E210000}"/>
    <cellStyle name="Millares 2 3 7 3 2" xfId="14235" xr:uid="{00000000-0005-0000-0000-00001F210000}"/>
    <cellStyle name="Millares 2 3 7 3 3" xfId="20922" xr:uid="{00000000-0005-0000-0000-000020210000}"/>
    <cellStyle name="Millares 2 3 7 4" xfId="10928" xr:uid="{00000000-0005-0000-0000-000021210000}"/>
    <cellStyle name="Millares 2 3 7 5" xfId="17694" xr:uid="{00000000-0005-0000-0000-000022210000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3" xfId="22534" xr:uid="{00000000-0005-0000-0000-000027210000}"/>
    <cellStyle name="Millares 2 3 8 2 3" xfId="12619" xr:uid="{00000000-0005-0000-0000-000028210000}"/>
    <cellStyle name="Millares 2 3 8 2 4" xfId="19306" xr:uid="{00000000-0005-0000-0000-000029210000}"/>
    <cellStyle name="Millares 2 3 8 3" xfId="8038" xr:uid="{00000000-0005-0000-0000-00002A210000}"/>
    <cellStyle name="Millares 2 3 8 3 2" xfId="14616" xr:uid="{00000000-0005-0000-0000-00002B210000}"/>
    <cellStyle name="Millares 2 3 8 3 3" xfId="21303" xr:uid="{00000000-0005-0000-0000-00002C210000}"/>
    <cellStyle name="Millares 2 3 8 4" xfId="11338" xr:uid="{00000000-0005-0000-0000-00002D210000}"/>
    <cellStyle name="Millares 2 3 8 5" xfId="18075" xr:uid="{00000000-0005-0000-0000-00002E21000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3" xfId="20526" xr:uid="{00000000-0005-0000-0000-000032210000}"/>
    <cellStyle name="Millares 2 3 9 3" xfId="10523" xr:uid="{00000000-0005-0000-0000-000033210000}"/>
    <cellStyle name="Millares 2 3 9 4" xfId="17298" xr:uid="{00000000-0005-0000-0000-000034210000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3" xfId="19760" xr:uid="{00000000-0005-0000-0000-000038210000}"/>
    <cellStyle name="Millares 2 4 11" xfId="9729" xr:uid="{00000000-0005-0000-0000-000039210000}"/>
    <cellStyle name="Millares 2 4 12" xfId="16532" xr:uid="{00000000-0005-0000-0000-00003A210000}"/>
    <cellStyle name="Millares 2 4 2" xfId="327" xr:uid="{00000000-0005-0000-0000-00003B210000}"/>
    <cellStyle name="Millares 2 4 2 10" xfId="9778" xr:uid="{00000000-0005-0000-0000-00003C210000}"/>
    <cellStyle name="Millares 2 4 2 11" xfId="16578" xr:uid="{00000000-0005-0000-0000-00003D210000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3" xfId="21696" xr:uid="{00000000-0005-0000-0000-000044210000}"/>
    <cellStyle name="Millares 2 4 2 2 2 2 2 3" xfId="11780" xr:uid="{00000000-0005-0000-0000-000045210000}"/>
    <cellStyle name="Millares 2 4 2 2 2 2 2 4" xfId="18468" xr:uid="{00000000-0005-0000-0000-000046210000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3" xfId="22927" xr:uid="{00000000-0005-0000-0000-00004A210000}"/>
    <cellStyle name="Millares 2 4 2 2 2 2 3 3" xfId="13012" xr:uid="{00000000-0005-0000-0000-00004B210000}"/>
    <cellStyle name="Millares 2 4 2 2 2 2 3 4" xfId="19699" xr:uid="{00000000-0005-0000-0000-00004C210000}"/>
    <cellStyle name="Millares 2 4 2 2 2 2 4" xfId="7214" xr:uid="{00000000-0005-0000-0000-00004D210000}"/>
    <cellStyle name="Millares 2 4 2 2 2 2 4 2" xfId="13792" xr:uid="{00000000-0005-0000-0000-00004E210000}"/>
    <cellStyle name="Millares 2 4 2 2 2 2 4 3" xfId="20479" xr:uid="{00000000-0005-0000-0000-00004F210000}"/>
    <cellStyle name="Millares 2 4 2 2 2 2 5" xfId="10475" xr:uid="{00000000-0005-0000-0000-000050210000}"/>
    <cellStyle name="Millares 2 4 2 2 2 2 6" xfId="17251" xr:uid="{00000000-0005-0000-0000-000051210000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3" xfId="21086" xr:uid="{00000000-0005-0000-0000-000055210000}"/>
    <cellStyle name="Millares 2 4 2 2 2 3 3" xfId="11103" xr:uid="{00000000-0005-0000-0000-000056210000}"/>
    <cellStyle name="Millares 2 4 2 2 2 3 4" xfId="17858" xr:uid="{00000000-0005-0000-0000-00005721000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3" xfId="22317" xr:uid="{00000000-0005-0000-0000-00005B210000}"/>
    <cellStyle name="Millares 2 4 2 2 2 4 3" xfId="12402" xr:uid="{00000000-0005-0000-0000-00005C210000}"/>
    <cellStyle name="Millares 2 4 2 2 2 4 4" xfId="19089" xr:uid="{00000000-0005-0000-0000-00005D210000}"/>
    <cellStyle name="Millares 2 4 2 2 2 5" xfId="6826" xr:uid="{00000000-0005-0000-0000-00005E210000}"/>
    <cellStyle name="Millares 2 4 2 2 2 5 2" xfId="13404" xr:uid="{00000000-0005-0000-0000-00005F210000}"/>
    <cellStyle name="Millares 2 4 2 2 2 5 3" xfId="20091" xr:uid="{00000000-0005-0000-0000-000060210000}"/>
    <cellStyle name="Millares 2 4 2 2 2 6" xfId="10085" xr:uid="{00000000-0005-0000-0000-000061210000}"/>
    <cellStyle name="Millares 2 4 2 2 2 7" xfId="16863" xr:uid="{00000000-0005-0000-0000-000062210000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3" xfId="21452" xr:uid="{00000000-0005-0000-0000-000067210000}"/>
    <cellStyle name="Millares 2 4 2 2 3 2 3" xfId="11514" xr:uid="{00000000-0005-0000-0000-000068210000}"/>
    <cellStyle name="Millares 2 4 2 2 3 2 4" xfId="18224" xr:uid="{00000000-0005-0000-0000-000069210000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3" xfId="22683" xr:uid="{00000000-0005-0000-0000-00006D210000}"/>
    <cellStyle name="Millares 2 4 2 2 3 3 3" xfId="12768" xr:uid="{00000000-0005-0000-0000-00006E210000}"/>
    <cellStyle name="Millares 2 4 2 2 3 3 4" xfId="19455" xr:uid="{00000000-0005-0000-0000-00006F210000}"/>
    <cellStyle name="Millares 2 4 2 2 3 4" xfId="7021" xr:uid="{00000000-0005-0000-0000-000070210000}"/>
    <cellStyle name="Millares 2 4 2 2 3 4 2" xfId="13599" xr:uid="{00000000-0005-0000-0000-000071210000}"/>
    <cellStyle name="Millares 2 4 2 2 3 4 3" xfId="20286" xr:uid="{00000000-0005-0000-0000-000072210000}"/>
    <cellStyle name="Millares 2 4 2 2 3 5" xfId="10282" xr:uid="{00000000-0005-0000-0000-000073210000}"/>
    <cellStyle name="Millares 2 4 2 2 3 6" xfId="17058" xr:uid="{00000000-0005-0000-0000-00007421000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3" xfId="20690" xr:uid="{00000000-0005-0000-0000-000078210000}"/>
    <cellStyle name="Millares 2 4 2 2 4 3" xfId="10687" xr:uid="{00000000-0005-0000-0000-000079210000}"/>
    <cellStyle name="Millares 2 4 2 2 4 4" xfId="17462" xr:uid="{00000000-0005-0000-0000-00007A210000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3" xfId="21921" xr:uid="{00000000-0005-0000-0000-00007E210000}"/>
    <cellStyle name="Millares 2 4 2 2 5 3" xfId="12006" xr:uid="{00000000-0005-0000-0000-00007F210000}"/>
    <cellStyle name="Millares 2 4 2 2 5 4" xfId="18693" xr:uid="{00000000-0005-0000-0000-000080210000}"/>
    <cellStyle name="Millares 2 4 2 2 6" xfId="6633" xr:uid="{00000000-0005-0000-0000-000081210000}"/>
    <cellStyle name="Millares 2 4 2 2 6 2" xfId="13211" xr:uid="{00000000-0005-0000-0000-000082210000}"/>
    <cellStyle name="Millares 2 4 2 2 6 3" xfId="19898" xr:uid="{00000000-0005-0000-0000-000083210000}"/>
    <cellStyle name="Millares 2 4 2 2 7" xfId="9877" xr:uid="{00000000-0005-0000-0000-000084210000}"/>
    <cellStyle name="Millares 2 4 2 2 8" xfId="16670" xr:uid="{00000000-0005-0000-0000-000085210000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3" xfId="21143" xr:uid="{00000000-0005-0000-0000-00008B210000}"/>
    <cellStyle name="Millares 2 4 2 3 2 2 3" xfId="11165" xr:uid="{00000000-0005-0000-0000-00008C210000}"/>
    <cellStyle name="Millares 2 4 2 3 2 2 4" xfId="17915" xr:uid="{00000000-0005-0000-0000-00008D210000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3" xfId="22374" xr:uid="{00000000-0005-0000-0000-000091210000}"/>
    <cellStyle name="Millares 2 4 2 3 2 3 3" xfId="12459" xr:uid="{00000000-0005-0000-0000-000092210000}"/>
    <cellStyle name="Millares 2 4 2 3 2 3 4" xfId="19146" xr:uid="{00000000-0005-0000-0000-000093210000}"/>
    <cellStyle name="Millares 2 4 2 3 2 4" xfId="7122" xr:uid="{00000000-0005-0000-0000-000094210000}"/>
    <cellStyle name="Millares 2 4 2 3 2 4 2" xfId="13700" xr:uid="{00000000-0005-0000-0000-000095210000}"/>
    <cellStyle name="Millares 2 4 2 3 2 4 3" xfId="20387" xr:uid="{00000000-0005-0000-0000-000096210000}"/>
    <cellStyle name="Millares 2 4 2 3 2 5" xfId="10383" xr:uid="{00000000-0005-0000-0000-000097210000}"/>
    <cellStyle name="Millares 2 4 2 3 2 6" xfId="17159" xr:uid="{00000000-0005-0000-0000-000098210000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3" xfId="22835" xr:uid="{00000000-0005-0000-0000-00009D210000}"/>
    <cellStyle name="Millares 2 4 2 3 3 2 3" xfId="12920" xr:uid="{00000000-0005-0000-0000-00009E210000}"/>
    <cellStyle name="Millares 2 4 2 3 3 2 4" xfId="19607" xr:uid="{00000000-0005-0000-0000-00009F210000}"/>
    <cellStyle name="Millares 2 4 2 3 3 3" xfId="8339" xr:uid="{00000000-0005-0000-0000-0000A0210000}"/>
    <cellStyle name="Millares 2 4 2 3 3 3 2" xfId="14917" xr:uid="{00000000-0005-0000-0000-0000A1210000}"/>
    <cellStyle name="Millares 2 4 2 3 3 3 3" xfId="21604" xr:uid="{00000000-0005-0000-0000-0000A2210000}"/>
    <cellStyle name="Millares 2 4 2 3 3 4" xfId="11675" xr:uid="{00000000-0005-0000-0000-0000A3210000}"/>
    <cellStyle name="Millares 2 4 2 3 3 5" xfId="18376" xr:uid="{00000000-0005-0000-0000-0000A4210000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3" xfId="20747" xr:uid="{00000000-0005-0000-0000-0000A8210000}"/>
    <cellStyle name="Millares 2 4 2 3 4 3" xfId="10744" xr:uid="{00000000-0005-0000-0000-0000A9210000}"/>
    <cellStyle name="Millares 2 4 2 3 4 4" xfId="17519" xr:uid="{00000000-0005-0000-0000-0000AA210000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3" xfId="21978" xr:uid="{00000000-0005-0000-0000-0000AE210000}"/>
    <cellStyle name="Millares 2 4 2 3 5 3" xfId="12063" xr:uid="{00000000-0005-0000-0000-0000AF210000}"/>
    <cellStyle name="Millares 2 4 2 3 5 4" xfId="18750" xr:uid="{00000000-0005-0000-0000-0000B0210000}"/>
    <cellStyle name="Millares 2 4 2 3 6" xfId="6734" xr:uid="{00000000-0005-0000-0000-0000B1210000}"/>
    <cellStyle name="Millares 2 4 2 3 6 2" xfId="13312" xr:uid="{00000000-0005-0000-0000-0000B2210000}"/>
    <cellStyle name="Millares 2 4 2 3 6 3" xfId="19999" xr:uid="{00000000-0005-0000-0000-0000B3210000}"/>
    <cellStyle name="Millares 2 4 2 3 7" xfId="9983" xr:uid="{00000000-0005-0000-0000-0000B4210000}"/>
    <cellStyle name="Millares 2 4 2 3 8" xfId="16771" xr:uid="{00000000-0005-0000-0000-0000B5210000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3" xfId="22499" xr:uid="{00000000-0005-0000-0000-0000BB210000}"/>
    <cellStyle name="Millares 2 4 2 4 2 2 3" xfId="12584" xr:uid="{00000000-0005-0000-0000-0000BC210000}"/>
    <cellStyle name="Millares 2 4 2 4 2 2 4" xfId="19271" xr:uid="{00000000-0005-0000-0000-0000BD210000}"/>
    <cellStyle name="Millares 2 4 2 4 2 3" xfId="8003" xr:uid="{00000000-0005-0000-0000-0000BE210000}"/>
    <cellStyle name="Millares 2 4 2 4 2 3 2" xfId="14581" xr:uid="{00000000-0005-0000-0000-0000BF210000}"/>
    <cellStyle name="Millares 2 4 2 4 2 3 3" xfId="21268" xr:uid="{00000000-0005-0000-0000-0000C0210000}"/>
    <cellStyle name="Millares 2 4 2 4 2 4" xfId="11301" xr:uid="{00000000-0005-0000-0000-0000C1210000}"/>
    <cellStyle name="Millares 2 4 2 4 2 5" xfId="18040" xr:uid="{00000000-0005-0000-0000-0000C2210000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3" xfId="20872" xr:uid="{00000000-0005-0000-0000-0000C6210000}"/>
    <cellStyle name="Millares 2 4 2 4 3 3" xfId="10875" xr:uid="{00000000-0005-0000-0000-0000C7210000}"/>
    <cellStyle name="Millares 2 4 2 4 3 4" xfId="17644" xr:uid="{00000000-0005-0000-0000-0000C8210000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3" xfId="22103" xr:uid="{00000000-0005-0000-0000-0000CC210000}"/>
    <cellStyle name="Millares 2 4 2 4 4 3" xfId="12188" xr:uid="{00000000-0005-0000-0000-0000CD210000}"/>
    <cellStyle name="Millares 2 4 2 4 4 4" xfId="18875" xr:uid="{00000000-0005-0000-0000-0000CE210000}"/>
    <cellStyle name="Millares 2 4 2 4 5" xfId="6929" xr:uid="{00000000-0005-0000-0000-0000CF210000}"/>
    <cellStyle name="Millares 2 4 2 4 5 2" xfId="13507" xr:uid="{00000000-0005-0000-0000-0000D0210000}"/>
    <cellStyle name="Millares 2 4 2 4 5 3" xfId="20194" xr:uid="{00000000-0005-0000-0000-0000D1210000}"/>
    <cellStyle name="Millares 2 4 2 4 6" xfId="10190" xr:uid="{00000000-0005-0000-0000-0000D2210000}"/>
    <cellStyle name="Millares 2 4 2 4 7" xfId="16966" xr:uid="{00000000-0005-0000-0000-0000D3210000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3" xfId="22211" xr:uid="{00000000-0005-0000-0000-0000D8210000}"/>
    <cellStyle name="Millares 2 4 2 5 2 3" xfId="12296" xr:uid="{00000000-0005-0000-0000-0000D9210000}"/>
    <cellStyle name="Millares 2 4 2 5 2 4" xfId="18983" xr:uid="{00000000-0005-0000-0000-0000DA210000}"/>
    <cellStyle name="Millares 2 4 2 5 3" xfId="7715" xr:uid="{00000000-0005-0000-0000-0000DB210000}"/>
    <cellStyle name="Millares 2 4 2 5 3 2" xfId="14293" xr:uid="{00000000-0005-0000-0000-0000DC210000}"/>
    <cellStyle name="Millares 2 4 2 5 3 3" xfId="20980" xr:uid="{00000000-0005-0000-0000-0000DD210000}"/>
    <cellStyle name="Millares 2 4 2 5 4" xfId="10992" xr:uid="{00000000-0005-0000-0000-0000DE210000}"/>
    <cellStyle name="Millares 2 4 2 5 5" xfId="17752" xr:uid="{00000000-0005-0000-0000-0000DF21000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3" xfId="22591" xr:uid="{00000000-0005-0000-0000-0000E4210000}"/>
    <cellStyle name="Millares 2 4 2 6 2 3" xfId="12676" xr:uid="{00000000-0005-0000-0000-0000E5210000}"/>
    <cellStyle name="Millares 2 4 2 6 2 4" xfId="19363" xr:uid="{00000000-0005-0000-0000-0000E6210000}"/>
    <cellStyle name="Millares 2 4 2 6 3" xfId="8095" xr:uid="{00000000-0005-0000-0000-0000E7210000}"/>
    <cellStyle name="Millares 2 4 2 6 3 2" xfId="14673" xr:uid="{00000000-0005-0000-0000-0000E8210000}"/>
    <cellStyle name="Millares 2 4 2 6 3 3" xfId="21360" xr:uid="{00000000-0005-0000-0000-0000E9210000}"/>
    <cellStyle name="Millares 2 4 2 6 4" xfId="11401" xr:uid="{00000000-0005-0000-0000-0000EA210000}"/>
    <cellStyle name="Millares 2 4 2 6 5" xfId="18132" xr:uid="{00000000-0005-0000-0000-0000EB21000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3" xfId="20584" xr:uid="{00000000-0005-0000-0000-0000EF210000}"/>
    <cellStyle name="Millares 2 4 2 7 3" xfId="10581" xr:uid="{00000000-0005-0000-0000-0000F0210000}"/>
    <cellStyle name="Millares 2 4 2 7 4" xfId="17356" xr:uid="{00000000-0005-0000-0000-0000F1210000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3" xfId="21815" xr:uid="{00000000-0005-0000-0000-0000F5210000}"/>
    <cellStyle name="Millares 2 4 2 8 3" xfId="11900" xr:uid="{00000000-0005-0000-0000-0000F6210000}"/>
    <cellStyle name="Millares 2 4 2 8 4" xfId="18587" xr:uid="{00000000-0005-0000-0000-0000F7210000}"/>
    <cellStyle name="Millares 2 4 2 9" xfId="6541" xr:uid="{00000000-0005-0000-0000-0000F8210000}"/>
    <cellStyle name="Millares 2 4 2 9 2" xfId="13119" xr:uid="{00000000-0005-0000-0000-0000F9210000}"/>
    <cellStyle name="Millares 2 4 2 9 3" xfId="19806" xr:uid="{00000000-0005-0000-0000-0000FA210000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3" xfId="21651" xr:uid="{00000000-0005-0000-0000-000001220000}"/>
    <cellStyle name="Millares 2 4 3 2 2 2 3" xfId="11729" xr:uid="{00000000-0005-0000-0000-000002220000}"/>
    <cellStyle name="Millares 2 4 3 2 2 2 4" xfId="18423" xr:uid="{00000000-0005-0000-0000-000003220000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3" xfId="22882" xr:uid="{00000000-0005-0000-0000-000007220000}"/>
    <cellStyle name="Millares 2 4 3 2 2 3 3" xfId="12967" xr:uid="{00000000-0005-0000-0000-000008220000}"/>
    <cellStyle name="Millares 2 4 3 2 2 3 4" xfId="19654" xr:uid="{00000000-0005-0000-0000-000009220000}"/>
    <cellStyle name="Millares 2 4 3 2 2 4" xfId="7169" xr:uid="{00000000-0005-0000-0000-00000A220000}"/>
    <cellStyle name="Millares 2 4 3 2 2 4 2" xfId="13747" xr:uid="{00000000-0005-0000-0000-00000B220000}"/>
    <cellStyle name="Millares 2 4 3 2 2 4 3" xfId="20434" xr:uid="{00000000-0005-0000-0000-00000C220000}"/>
    <cellStyle name="Millares 2 4 3 2 2 5" xfId="10430" xr:uid="{00000000-0005-0000-0000-00000D220000}"/>
    <cellStyle name="Millares 2 4 3 2 2 6" xfId="17206" xr:uid="{00000000-0005-0000-0000-00000E220000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3" xfId="21041" xr:uid="{00000000-0005-0000-0000-000012220000}"/>
    <cellStyle name="Millares 2 4 3 2 3 3" xfId="11057" xr:uid="{00000000-0005-0000-0000-000013220000}"/>
    <cellStyle name="Millares 2 4 3 2 3 4" xfId="17813" xr:uid="{00000000-0005-0000-0000-000014220000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3" xfId="22272" xr:uid="{00000000-0005-0000-0000-000018220000}"/>
    <cellStyle name="Millares 2 4 3 2 4 3" xfId="12357" xr:uid="{00000000-0005-0000-0000-000019220000}"/>
    <cellStyle name="Millares 2 4 3 2 4 4" xfId="19044" xr:uid="{00000000-0005-0000-0000-00001A220000}"/>
    <cellStyle name="Millares 2 4 3 2 5" xfId="6781" xr:uid="{00000000-0005-0000-0000-00001B220000}"/>
    <cellStyle name="Millares 2 4 3 2 5 2" xfId="13359" xr:uid="{00000000-0005-0000-0000-00001C220000}"/>
    <cellStyle name="Millares 2 4 3 2 5 3" xfId="20046" xr:uid="{00000000-0005-0000-0000-00001D220000}"/>
    <cellStyle name="Millares 2 4 3 2 6" xfId="10036" xr:uid="{00000000-0005-0000-0000-00001E220000}"/>
    <cellStyle name="Millares 2 4 3 2 7" xfId="16818" xr:uid="{00000000-0005-0000-0000-00001F220000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3" xfId="21407" xr:uid="{00000000-0005-0000-0000-000024220000}"/>
    <cellStyle name="Millares 2 4 3 3 2 3" xfId="11456" xr:uid="{00000000-0005-0000-0000-000025220000}"/>
    <cellStyle name="Millares 2 4 3 3 2 4" xfId="18179" xr:uid="{00000000-0005-0000-0000-00002622000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3" xfId="22638" xr:uid="{00000000-0005-0000-0000-00002A220000}"/>
    <cellStyle name="Millares 2 4 3 3 3 3" xfId="12723" xr:uid="{00000000-0005-0000-0000-00002B220000}"/>
    <cellStyle name="Millares 2 4 3 3 3 4" xfId="19410" xr:uid="{00000000-0005-0000-0000-00002C220000}"/>
    <cellStyle name="Millares 2 4 3 3 4" xfId="6976" xr:uid="{00000000-0005-0000-0000-00002D220000}"/>
    <cellStyle name="Millares 2 4 3 3 4 2" xfId="13554" xr:uid="{00000000-0005-0000-0000-00002E220000}"/>
    <cellStyle name="Millares 2 4 3 3 4 3" xfId="20241" xr:uid="{00000000-0005-0000-0000-00002F220000}"/>
    <cellStyle name="Millares 2 4 3 3 5" xfId="10237" xr:uid="{00000000-0005-0000-0000-000030220000}"/>
    <cellStyle name="Millares 2 4 3 3 6" xfId="17013" xr:uid="{00000000-0005-0000-0000-00003122000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3" xfId="20645" xr:uid="{00000000-0005-0000-0000-000035220000}"/>
    <cellStyle name="Millares 2 4 3 4 3" xfId="10642" xr:uid="{00000000-0005-0000-0000-000036220000}"/>
    <cellStyle name="Millares 2 4 3 4 4" xfId="17417" xr:uid="{00000000-0005-0000-0000-000037220000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3" xfId="21876" xr:uid="{00000000-0005-0000-0000-00003B220000}"/>
    <cellStyle name="Millares 2 4 3 5 3" xfId="11961" xr:uid="{00000000-0005-0000-0000-00003C220000}"/>
    <cellStyle name="Millares 2 4 3 5 4" xfId="18648" xr:uid="{00000000-0005-0000-0000-00003D220000}"/>
    <cellStyle name="Millares 2 4 3 6" xfId="6588" xr:uid="{00000000-0005-0000-0000-00003E220000}"/>
    <cellStyle name="Millares 2 4 3 6 2" xfId="13166" xr:uid="{00000000-0005-0000-0000-00003F220000}"/>
    <cellStyle name="Millares 2 4 3 6 3" xfId="19853" xr:uid="{00000000-0005-0000-0000-000040220000}"/>
    <cellStyle name="Millares 2 4 3 7" xfId="9827" xr:uid="{00000000-0005-0000-0000-000041220000}"/>
    <cellStyle name="Millares 2 4 3 8" xfId="16625" xr:uid="{00000000-0005-0000-0000-000042220000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3" xfId="21142" xr:uid="{00000000-0005-0000-0000-000048220000}"/>
    <cellStyle name="Millares 2 4 4 2 2 3" xfId="11164" xr:uid="{00000000-0005-0000-0000-000049220000}"/>
    <cellStyle name="Millares 2 4 4 2 2 4" xfId="17914" xr:uid="{00000000-0005-0000-0000-00004A220000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3" xfId="22373" xr:uid="{00000000-0005-0000-0000-00004E220000}"/>
    <cellStyle name="Millares 2 4 4 2 3 3" xfId="12458" xr:uid="{00000000-0005-0000-0000-00004F220000}"/>
    <cellStyle name="Millares 2 4 4 2 3 4" xfId="19145" xr:uid="{00000000-0005-0000-0000-000050220000}"/>
    <cellStyle name="Millares 2 4 4 2 4" xfId="7076" xr:uid="{00000000-0005-0000-0000-000051220000}"/>
    <cellStyle name="Millares 2 4 4 2 4 2" xfId="13654" xr:uid="{00000000-0005-0000-0000-000052220000}"/>
    <cellStyle name="Millares 2 4 4 2 4 3" xfId="20341" xr:uid="{00000000-0005-0000-0000-000053220000}"/>
    <cellStyle name="Millares 2 4 4 2 5" xfId="10337" xr:uid="{00000000-0005-0000-0000-000054220000}"/>
    <cellStyle name="Millares 2 4 4 2 6" xfId="17113" xr:uid="{00000000-0005-0000-0000-000055220000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3" xfId="22789" xr:uid="{00000000-0005-0000-0000-00005A220000}"/>
    <cellStyle name="Millares 2 4 4 3 2 3" xfId="12874" xr:uid="{00000000-0005-0000-0000-00005B220000}"/>
    <cellStyle name="Millares 2 4 4 3 2 4" xfId="19561" xr:uid="{00000000-0005-0000-0000-00005C220000}"/>
    <cellStyle name="Millares 2 4 4 3 3" xfId="8293" xr:uid="{00000000-0005-0000-0000-00005D220000}"/>
    <cellStyle name="Millares 2 4 4 3 3 2" xfId="14871" xr:uid="{00000000-0005-0000-0000-00005E220000}"/>
    <cellStyle name="Millares 2 4 4 3 3 3" xfId="21558" xr:uid="{00000000-0005-0000-0000-00005F220000}"/>
    <cellStyle name="Millares 2 4 4 3 4" xfId="11624" xr:uid="{00000000-0005-0000-0000-000060220000}"/>
    <cellStyle name="Millares 2 4 4 3 5" xfId="18330" xr:uid="{00000000-0005-0000-0000-000061220000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3" xfId="20746" xr:uid="{00000000-0005-0000-0000-000065220000}"/>
    <cellStyle name="Millares 2 4 4 4 3" xfId="10743" xr:uid="{00000000-0005-0000-0000-000066220000}"/>
    <cellStyle name="Millares 2 4 4 4 4" xfId="17518" xr:uid="{00000000-0005-0000-0000-000067220000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3" xfId="21977" xr:uid="{00000000-0005-0000-0000-00006B220000}"/>
    <cellStyle name="Millares 2 4 4 5 3" xfId="12062" xr:uid="{00000000-0005-0000-0000-00006C220000}"/>
    <cellStyle name="Millares 2 4 4 5 4" xfId="18749" xr:uid="{00000000-0005-0000-0000-00006D220000}"/>
    <cellStyle name="Millares 2 4 4 6" xfId="6688" xr:uid="{00000000-0005-0000-0000-00006E220000}"/>
    <cellStyle name="Millares 2 4 4 6 2" xfId="13266" xr:uid="{00000000-0005-0000-0000-00006F220000}"/>
    <cellStyle name="Millares 2 4 4 6 3" xfId="19953" xr:uid="{00000000-0005-0000-0000-000070220000}"/>
    <cellStyle name="Millares 2 4 4 7" xfId="9936" xr:uid="{00000000-0005-0000-0000-000071220000}"/>
    <cellStyle name="Millares 2 4 4 8" xfId="16725" xr:uid="{00000000-0005-0000-0000-000072220000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3" xfId="22454" xr:uid="{00000000-0005-0000-0000-000078220000}"/>
    <cellStyle name="Millares 2 4 5 2 2 3" xfId="12539" xr:uid="{00000000-0005-0000-0000-000079220000}"/>
    <cellStyle name="Millares 2 4 5 2 2 4" xfId="19226" xr:uid="{00000000-0005-0000-0000-00007A220000}"/>
    <cellStyle name="Millares 2 4 5 2 3" xfId="7958" xr:uid="{00000000-0005-0000-0000-00007B220000}"/>
    <cellStyle name="Millares 2 4 5 2 3 2" xfId="14536" xr:uid="{00000000-0005-0000-0000-00007C220000}"/>
    <cellStyle name="Millares 2 4 5 2 3 3" xfId="21223" xr:uid="{00000000-0005-0000-0000-00007D220000}"/>
    <cellStyle name="Millares 2 4 5 2 4" xfId="11252" xr:uid="{00000000-0005-0000-0000-00007E220000}"/>
    <cellStyle name="Millares 2 4 5 2 5" xfId="17995" xr:uid="{00000000-0005-0000-0000-00007F220000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3" xfId="20827" xr:uid="{00000000-0005-0000-0000-000083220000}"/>
    <cellStyle name="Millares 2 4 5 3 3" xfId="10825" xr:uid="{00000000-0005-0000-0000-000084220000}"/>
    <cellStyle name="Millares 2 4 5 3 4" xfId="17599" xr:uid="{00000000-0005-0000-0000-000085220000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3" xfId="22058" xr:uid="{00000000-0005-0000-0000-000089220000}"/>
    <cellStyle name="Millares 2 4 5 4 3" xfId="12143" xr:uid="{00000000-0005-0000-0000-00008A220000}"/>
    <cellStyle name="Millares 2 4 5 4 4" xfId="18830" xr:uid="{00000000-0005-0000-0000-00008B220000}"/>
    <cellStyle name="Millares 2 4 5 5" xfId="6883" xr:uid="{00000000-0005-0000-0000-00008C220000}"/>
    <cellStyle name="Millares 2 4 5 5 2" xfId="13461" xr:uid="{00000000-0005-0000-0000-00008D220000}"/>
    <cellStyle name="Millares 2 4 5 5 3" xfId="20148" xr:uid="{00000000-0005-0000-0000-00008E220000}"/>
    <cellStyle name="Millares 2 4 5 6" xfId="10144" xr:uid="{00000000-0005-0000-0000-00008F220000}"/>
    <cellStyle name="Millares 2 4 5 7" xfId="16920" xr:uid="{00000000-0005-0000-0000-000090220000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3" xfId="22166" xr:uid="{00000000-0005-0000-0000-000095220000}"/>
    <cellStyle name="Millares 2 4 6 2 3" xfId="12251" xr:uid="{00000000-0005-0000-0000-000096220000}"/>
    <cellStyle name="Millares 2 4 6 2 4" xfId="18938" xr:uid="{00000000-0005-0000-0000-000097220000}"/>
    <cellStyle name="Millares 2 4 6 3" xfId="7670" xr:uid="{00000000-0005-0000-0000-000098220000}"/>
    <cellStyle name="Millares 2 4 6 3 2" xfId="14248" xr:uid="{00000000-0005-0000-0000-000099220000}"/>
    <cellStyle name="Millares 2 4 6 3 3" xfId="20935" xr:uid="{00000000-0005-0000-0000-00009A220000}"/>
    <cellStyle name="Millares 2 4 6 4" xfId="10942" xr:uid="{00000000-0005-0000-0000-00009B220000}"/>
    <cellStyle name="Millares 2 4 6 5" xfId="17707" xr:uid="{00000000-0005-0000-0000-00009C220000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3" xfId="22546" xr:uid="{00000000-0005-0000-0000-0000A1220000}"/>
    <cellStyle name="Millares 2 4 7 2 3" xfId="12631" xr:uid="{00000000-0005-0000-0000-0000A2220000}"/>
    <cellStyle name="Millares 2 4 7 2 4" xfId="19318" xr:uid="{00000000-0005-0000-0000-0000A3220000}"/>
    <cellStyle name="Millares 2 4 7 3" xfId="8050" xr:uid="{00000000-0005-0000-0000-0000A4220000}"/>
    <cellStyle name="Millares 2 4 7 3 2" xfId="14628" xr:uid="{00000000-0005-0000-0000-0000A5220000}"/>
    <cellStyle name="Millares 2 4 7 3 3" xfId="21315" xr:uid="{00000000-0005-0000-0000-0000A6220000}"/>
    <cellStyle name="Millares 2 4 7 4" xfId="11352" xr:uid="{00000000-0005-0000-0000-0000A7220000}"/>
    <cellStyle name="Millares 2 4 7 5" xfId="18087" xr:uid="{00000000-0005-0000-0000-0000A8220000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3" xfId="20539" xr:uid="{00000000-0005-0000-0000-0000AC220000}"/>
    <cellStyle name="Millares 2 4 8 3" xfId="10536" xr:uid="{00000000-0005-0000-0000-0000AD220000}"/>
    <cellStyle name="Millares 2 4 8 4" xfId="17311" xr:uid="{00000000-0005-0000-0000-0000AE220000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3" xfId="21770" xr:uid="{00000000-0005-0000-0000-0000B2220000}"/>
    <cellStyle name="Millares 2 4 9 3" xfId="11855" xr:uid="{00000000-0005-0000-0000-0000B3220000}"/>
    <cellStyle name="Millares 2 4 9 4" xfId="18542" xr:uid="{00000000-0005-0000-0000-0000B4220000}"/>
    <cellStyle name="Millares 2 5" xfId="239" xr:uid="{00000000-0005-0000-0000-0000B5220000}"/>
    <cellStyle name="Millares 2 5 10" xfId="9754" xr:uid="{00000000-0005-0000-0000-0000B6220000}"/>
    <cellStyle name="Millares 2 5 11" xfId="16556" xr:uid="{00000000-0005-0000-0000-0000B7220000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3" xfId="21674" xr:uid="{00000000-0005-0000-0000-0000BE220000}"/>
    <cellStyle name="Millares 2 5 2 2 2 2 3" xfId="11755" xr:uid="{00000000-0005-0000-0000-0000BF220000}"/>
    <cellStyle name="Millares 2 5 2 2 2 2 4" xfId="18446" xr:uid="{00000000-0005-0000-0000-0000C0220000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3" xfId="22905" xr:uid="{00000000-0005-0000-0000-0000C4220000}"/>
    <cellStyle name="Millares 2 5 2 2 2 3 3" xfId="12990" xr:uid="{00000000-0005-0000-0000-0000C5220000}"/>
    <cellStyle name="Millares 2 5 2 2 2 3 4" xfId="19677" xr:uid="{00000000-0005-0000-0000-0000C6220000}"/>
    <cellStyle name="Millares 2 5 2 2 2 4" xfId="7192" xr:uid="{00000000-0005-0000-0000-0000C7220000}"/>
    <cellStyle name="Millares 2 5 2 2 2 4 2" xfId="13770" xr:uid="{00000000-0005-0000-0000-0000C8220000}"/>
    <cellStyle name="Millares 2 5 2 2 2 4 3" xfId="20457" xr:uid="{00000000-0005-0000-0000-0000C9220000}"/>
    <cellStyle name="Millares 2 5 2 2 2 5" xfId="10453" xr:uid="{00000000-0005-0000-0000-0000CA220000}"/>
    <cellStyle name="Millares 2 5 2 2 2 6" xfId="17229" xr:uid="{00000000-0005-0000-0000-0000CB220000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3" xfId="21017" xr:uid="{00000000-0005-0000-0000-0000CF220000}"/>
    <cellStyle name="Millares 2 5 2 2 3 3" xfId="11033" xr:uid="{00000000-0005-0000-0000-0000D0220000}"/>
    <cellStyle name="Millares 2 5 2 2 3 4" xfId="17789" xr:uid="{00000000-0005-0000-0000-0000D1220000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3" xfId="22248" xr:uid="{00000000-0005-0000-0000-0000D5220000}"/>
    <cellStyle name="Millares 2 5 2 2 4 3" xfId="12333" xr:uid="{00000000-0005-0000-0000-0000D6220000}"/>
    <cellStyle name="Millares 2 5 2 2 4 4" xfId="19020" xr:uid="{00000000-0005-0000-0000-0000D7220000}"/>
    <cellStyle name="Millares 2 5 2 2 5" xfId="6804" xr:uid="{00000000-0005-0000-0000-0000D8220000}"/>
    <cellStyle name="Millares 2 5 2 2 5 2" xfId="13382" xr:uid="{00000000-0005-0000-0000-0000D9220000}"/>
    <cellStyle name="Millares 2 5 2 2 5 3" xfId="20069" xr:uid="{00000000-0005-0000-0000-0000DA220000}"/>
    <cellStyle name="Millares 2 5 2 2 6" xfId="10060" xr:uid="{00000000-0005-0000-0000-0000DB220000}"/>
    <cellStyle name="Millares 2 5 2 2 7" xfId="16841" xr:uid="{00000000-0005-0000-0000-0000DC22000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3" xfId="21430" xr:uid="{00000000-0005-0000-0000-0000E1220000}"/>
    <cellStyle name="Millares 2 5 2 3 2 3" xfId="11485" xr:uid="{00000000-0005-0000-0000-0000E2220000}"/>
    <cellStyle name="Millares 2 5 2 3 2 4" xfId="18202" xr:uid="{00000000-0005-0000-0000-0000E3220000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3" xfId="22661" xr:uid="{00000000-0005-0000-0000-0000E7220000}"/>
    <cellStyle name="Millares 2 5 2 3 3 3" xfId="12746" xr:uid="{00000000-0005-0000-0000-0000E8220000}"/>
    <cellStyle name="Millares 2 5 2 3 3 4" xfId="19433" xr:uid="{00000000-0005-0000-0000-0000E9220000}"/>
    <cellStyle name="Millares 2 5 2 3 4" xfId="6999" xr:uid="{00000000-0005-0000-0000-0000EA220000}"/>
    <cellStyle name="Millares 2 5 2 3 4 2" xfId="13577" xr:uid="{00000000-0005-0000-0000-0000EB220000}"/>
    <cellStyle name="Millares 2 5 2 3 4 3" xfId="20264" xr:uid="{00000000-0005-0000-0000-0000EC220000}"/>
    <cellStyle name="Millares 2 5 2 3 5" xfId="10260" xr:uid="{00000000-0005-0000-0000-0000ED220000}"/>
    <cellStyle name="Millares 2 5 2 3 6" xfId="17036" xr:uid="{00000000-0005-0000-0000-0000EE220000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3" xfId="20621" xr:uid="{00000000-0005-0000-0000-0000F2220000}"/>
    <cellStyle name="Millares 2 5 2 4 3" xfId="10618" xr:uid="{00000000-0005-0000-0000-0000F3220000}"/>
    <cellStyle name="Millares 2 5 2 4 4" xfId="17393" xr:uid="{00000000-0005-0000-0000-0000F4220000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3" xfId="21852" xr:uid="{00000000-0005-0000-0000-0000F8220000}"/>
    <cellStyle name="Millares 2 5 2 5 3" xfId="11937" xr:uid="{00000000-0005-0000-0000-0000F9220000}"/>
    <cellStyle name="Millares 2 5 2 5 4" xfId="18624" xr:uid="{00000000-0005-0000-0000-0000FA220000}"/>
    <cellStyle name="Millares 2 5 2 6" xfId="6611" xr:uid="{00000000-0005-0000-0000-0000FB220000}"/>
    <cellStyle name="Millares 2 5 2 6 2" xfId="13189" xr:uid="{00000000-0005-0000-0000-0000FC220000}"/>
    <cellStyle name="Millares 2 5 2 6 3" xfId="19876" xr:uid="{00000000-0005-0000-0000-0000FD220000}"/>
    <cellStyle name="Millares 2 5 2 7" xfId="9851" xr:uid="{00000000-0005-0000-0000-0000FE220000}"/>
    <cellStyle name="Millares 2 5 2 8" xfId="16648" xr:uid="{00000000-0005-0000-0000-0000FF220000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3" xfId="21144" xr:uid="{00000000-0005-0000-0000-000005230000}"/>
    <cellStyle name="Millares 2 5 3 2 2 3" xfId="11166" xr:uid="{00000000-0005-0000-0000-000006230000}"/>
    <cellStyle name="Millares 2 5 3 2 2 4" xfId="17916" xr:uid="{00000000-0005-0000-0000-000007230000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3" xfId="22375" xr:uid="{00000000-0005-0000-0000-00000B230000}"/>
    <cellStyle name="Millares 2 5 3 2 3 3" xfId="12460" xr:uid="{00000000-0005-0000-0000-00000C230000}"/>
    <cellStyle name="Millares 2 5 3 2 3 4" xfId="19147" xr:uid="{00000000-0005-0000-0000-00000D230000}"/>
    <cellStyle name="Millares 2 5 3 2 4" xfId="7100" xr:uid="{00000000-0005-0000-0000-00000E230000}"/>
    <cellStyle name="Millares 2 5 3 2 4 2" xfId="13678" xr:uid="{00000000-0005-0000-0000-00000F230000}"/>
    <cellStyle name="Millares 2 5 3 2 4 3" xfId="20365" xr:uid="{00000000-0005-0000-0000-000010230000}"/>
    <cellStyle name="Millares 2 5 3 2 5" xfId="10361" xr:uid="{00000000-0005-0000-0000-000011230000}"/>
    <cellStyle name="Millares 2 5 3 2 6" xfId="17137" xr:uid="{00000000-0005-0000-0000-000012230000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3" xfId="22813" xr:uid="{00000000-0005-0000-0000-000017230000}"/>
    <cellStyle name="Millares 2 5 3 3 2 3" xfId="12898" xr:uid="{00000000-0005-0000-0000-000018230000}"/>
    <cellStyle name="Millares 2 5 3 3 2 4" xfId="19585" xr:uid="{00000000-0005-0000-0000-000019230000}"/>
    <cellStyle name="Millares 2 5 3 3 3" xfId="8317" xr:uid="{00000000-0005-0000-0000-00001A230000}"/>
    <cellStyle name="Millares 2 5 3 3 3 2" xfId="14895" xr:uid="{00000000-0005-0000-0000-00001B230000}"/>
    <cellStyle name="Millares 2 5 3 3 3 3" xfId="21582" xr:uid="{00000000-0005-0000-0000-00001C230000}"/>
    <cellStyle name="Millares 2 5 3 3 4" xfId="11651" xr:uid="{00000000-0005-0000-0000-00001D230000}"/>
    <cellStyle name="Millares 2 5 3 3 5" xfId="18354" xr:uid="{00000000-0005-0000-0000-00001E230000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3" xfId="20748" xr:uid="{00000000-0005-0000-0000-000022230000}"/>
    <cellStyle name="Millares 2 5 3 4 3" xfId="10745" xr:uid="{00000000-0005-0000-0000-000023230000}"/>
    <cellStyle name="Millares 2 5 3 4 4" xfId="17520" xr:uid="{00000000-0005-0000-0000-000024230000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3" xfId="21979" xr:uid="{00000000-0005-0000-0000-000028230000}"/>
    <cellStyle name="Millares 2 5 3 5 3" xfId="12064" xr:uid="{00000000-0005-0000-0000-000029230000}"/>
    <cellStyle name="Millares 2 5 3 5 4" xfId="18751" xr:uid="{00000000-0005-0000-0000-00002A230000}"/>
    <cellStyle name="Millares 2 5 3 6" xfId="6712" xr:uid="{00000000-0005-0000-0000-00002B230000}"/>
    <cellStyle name="Millares 2 5 3 6 2" xfId="13290" xr:uid="{00000000-0005-0000-0000-00002C230000}"/>
    <cellStyle name="Millares 2 5 3 6 3" xfId="19977" xr:uid="{00000000-0005-0000-0000-00002D230000}"/>
    <cellStyle name="Millares 2 5 3 7" xfId="9960" xr:uid="{00000000-0005-0000-0000-00002E230000}"/>
    <cellStyle name="Millares 2 5 3 8" xfId="16749" xr:uid="{00000000-0005-0000-0000-00002F230000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3" xfId="22477" xr:uid="{00000000-0005-0000-0000-000035230000}"/>
    <cellStyle name="Millares 2 5 4 2 2 3" xfId="12562" xr:uid="{00000000-0005-0000-0000-000036230000}"/>
    <cellStyle name="Millares 2 5 4 2 2 4" xfId="19249" xr:uid="{00000000-0005-0000-0000-000037230000}"/>
    <cellStyle name="Millares 2 5 4 2 3" xfId="7981" xr:uid="{00000000-0005-0000-0000-000038230000}"/>
    <cellStyle name="Millares 2 5 4 2 3 2" xfId="14559" xr:uid="{00000000-0005-0000-0000-000039230000}"/>
    <cellStyle name="Millares 2 5 4 2 3 3" xfId="21246" xr:uid="{00000000-0005-0000-0000-00003A230000}"/>
    <cellStyle name="Millares 2 5 4 2 4" xfId="11277" xr:uid="{00000000-0005-0000-0000-00003B230000}"/>
    <cellStyle name="Millares 2 5 4 2 5" xfId="18018" xr:uid="{00000000-0005-0000-0000-00003C230000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3" xfId="20850" xr:uid="{00000000-0005-0000-0000-000040230000}"/>
    <cellStyle name="Millares 2 5 4 3 3" xfId="10850" xr:uid="{00000000-0005-0000-0000-000041230000}"/>
    <cellStyle name="Millares 2 5 4 3 4" xfId="17622" xr:uid="{00000000-0005-0000-0000-000042230000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3" xfId="22081" xr:uid="{00000000-0005-0000-0000-000046230000}"/>
    <cellStyle name="Millares 2 5 4 4 3" xfId="12166" xr:uid="{00000000-0005-0000-0000-000047230000}"/>
    <cellStyle name="Millares 2 5 4 4 4" xfId="18853" xr:uid="{00000000-0005-0000-0000-000048230000}"/>
    <cellStyle name="Millares 2 5 4 5" xfId="6907" xr:uid="{00000000-0005-0000-0000-000049230000}"/>
    <cellStyle name="Millares 2 5 4 5 2" xfId="13485" xr:uid="{00000000-0005-0000-0000-00004A230000}"/>
    <cellStyle name="Millares 2 5 4 5 3" xfId="20172" xr:uid="{00000000-0005-0000-0000-00004B230000}"/>
    <cellStyle name="Millares 2 5 4 6" xfId="10168" xr:uid="{00000000-0005-0000-0000-00004C230000}"/>
    <cellStyle name="Millares 2 5 4 7" xfId="16944" xr:uid="{00000000-0005-0000-0000-00004D230000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3" xfId="22142" xr:uid="{00000000-0005-0000-0000-000052230000}"/>
    <cellStyle name="Millares 2 5 5 2 3" xfId="12227" xr:uid="{00000000-0005-0000-0000-000053230000}"/>
    <cellStyle name="Millares 2 5 5 2 4" xfId="18914" xr:uid="{00000000-0005-0000-0000-000054230000}"/>
    <cellStyle name="Millares 2 5 5 3" xfId="7646" xr:uid="{00000000-0005-0000-0000-000055230000}"/>
    <cellStyle name="Millares 2 5 5 3 2" xfId="14224" xr:uid="{00000000-0005-0000-0000-000056230000}"/>
    <cellStyle name="Millares 2 5 5 3 3" xfId="20911" xr:uid="{00000000-0005-0000-0000-000057230000}"/>
    <cellStyle name="Millares 2 5 5 4" xfId="10917" xr:uid="{00000000-0005-0000-0000-000058230000}"/>
    <cellStyle name="Millares 2 5 5 5" xfId="17683" xr:uid="{00000000-0005-0000-0000-000059230000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3" xfId="22569" xr:uid="{00000000-0005-0000-0000-00005E230000}"/>
    <cellStyle name="Millares 2 5 6 2 3" xfId="12654" xr:uid="{00000000-0005-0000-0000-00005F230000}"/>
    <cellStyle name="Millares 2 5 6 2 4" xfId="19341" xr:uid="{00000000-0005-0000-0000-000060230000}"/>
    <cellStyle name="Millares 2 5 6 3" xfId="8073" xr:uid="{00000000-0005-0000-0000-000061230000}"/>
    <cellStyle name="Millares 2 5 6 3 2" xfId="14651" xr:uid="{00000000-0005-0000-0000-000062230000}"/>
    <cellStyle name="Millares 2 5 6 3 3" xfId="21338" xr:uid="{00000000-0005-0000-0000-000063230000}"/>
    <cellStyle name="Millares 2 5 6 4" xfId="11375" xr:uid="{00000000-0005-0000-0000-000064230000}"/>
    <cellStyle name="Millares 2 5 6 5" xfId="18110" xr:uid="{00000000-0005-0000-0000-000065230000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3" xfId="20515" xr:uid="{00000000-0005-0000-0000-000069230000}"/>
    <cellStyle name="Millares 2 5 7 3" xfId="10511" xr:uid="{00000000-0005-0000-0000-00006A230000}"/>
    <cellStyle name="Millares 2 5 7 4" xfId="17287" xr:uid="{00000000-0005-0000-0000-00006B230000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3" xfId="21746" xr:uid="{00000000-0005-0000-0000-00006F230000}"/>
    <cellStyle name="Millares 2 5 8 3" xfId="11831" xr:uid="{00000000-0005-0000-0000-000070230000}"/>
    <cellStyle name="Millares 2 5 8 4" xfId="18518" xr:uid="{00000000-0005-0000-0000-000071230000}"/>
    <cellStyle name="Millares 2 5 9" xfId="6519" xr:uid="{00000000-0005-0000-0000-000072230000}"/>
    <cellStyle name="Millares 2 5 9 2" xfId="13097" xr:uid="{00000000-0005-0000-0000-000073230000}"/>
    <cellStyle name="Millares 2 5 9 3" xfId="19784" xr:uid="{00000000-0005-0000-0000-000074230000}"/>
    <cellStyle name="Millares 2 6" xfId="5" xr:uid="{00000000-0005-0000-0000-000075230000}"/>
    <cellStyle name="Millares 2 6 10" xfId="16603" xr:uid="{00000000-0005-0000-0000-000076230000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3" xfId="21064" xr:uid="{00000000-0005-0000-0000-00007C230000}"/>
    <cellStyle name="Millares 2 6 2 2 2 3" xfId="11080" xr:uid="{00000000-0005-0000-0000-00007D230000}"/>
    <cellStyle name="Millares 2 6 2 2 2 4" xfId="17836" xr:uid="{00000000-0005-0000-0000-00007E230000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3" xfId="22295" xr:uid="{00000000-0005-0000-0000-000082230000}"/>
    <cellStyle name="Millares 2 6 2 2 3 3" xfId="12380" xr:uid="{00000000-0005-0000-0000-000083230000}"/>
    <cellStyle name="Millares 2 6 2 2 3 4" xfId="19067" xr:uid="{00000000-0005-0000-0000-000084230000}"/>
    <cellStyle name="Millares 2 6 2 2 4" xfId="7147" xr:uid="{00000000-0005-0000-0000-000085230000}"/>
    <cellStyle name="Millares 2 6 2 2 4 2" xfId="13725" xr:uid="{00000000-0005-0000-0000-000086230000}"/>
    <cellStyle name="Millares 2 6 2 2 4 3" xfId="20412" xr:uid="{00000000-0005-0000-0000-000087230000}"/>
    <cellStyle name="Millares 2 6 2 2 5" xfId="10408" xr:uid="{00000000-0005-0000-0000-000088230000}"/>
    <cellStyle name="Millares 2 6 2 2 6" xfId="17184" xr:uid="{00000000-0005-0000-0000-000089230000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3" xfId="22860" xr:uid="{00000000-0005-0000-0000-00008E230000}"/>
    <cellStyle name="Millares 2 6 2 3 2 3" xfId="12945" xr:uid="{00000000-0005-0000-0000-00008F230000}"/>
    <cellStyle name="Millares 2 6 2 3 2 4" xfId="19632" xr:uid="{00000000-0005-0000-0000-000090230000}"/>
    <cellStyle name="Millares 2 6 2 3 3" xfId="8364" xr:uid="{00000000-0005-0000-0000-000091230000}"/>
    <cellStyle name="Millares 2 6 2 3 3 2" xfId="14942" xr:uid="{00000000-0005-0000-0000-000092230000}"/>
    <cellStyle name="Millares 2 6 2 3 3 3" xfId="21629" xr:uid="{00000000-0005-0000-0000-000093230000}"/>
    <cellStyle name="Millares 2 6 2 3 4" xfId="11706" xr:uid="{00000000-0005-0000-0000-000094230000}"/>
    <cellStyle name="Millares 2 6 2 3 5" xfId="18401" xr:uid="{00000000-0005-0000-0000-000095230000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3" xfId="20668" xr:uid="{00000000-0005-0000-0000-000099230000}"/>
    <cellStyle name="Millares 2 6 2 4 3" xfId="10665" xr:uid="{00000000-0005-0000-0000-00009A230000}"/>
    <cellStyle name="Millares 2 6 2 4 4" xfId="17440" xr:uid="{00000000-0005-0000-0000-00009B230000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3" xfId="21899" xr:uid="{00000000-0005-0000-0000-00009F230000}"/>
    <cellStyle name="Millares 2 6 2 5 3" xfId="11984" xr:uid="{00000000-0005-0000-0000-0000A0230000}"/>
    <cellStyle name="Millares 2 6 2 5 4" xfId="18671" xr:uid="{00000000-0005-0000-0000-0000A1230000}"/>
    <cellStyle name="Millares 2 6 2 6" xfId="6759" xr:uid="{00000000-0005-0000-0000-0000A2230000}"/>
    <cellStyle name="Millares 2 6 2 6 2" xfId="13337" xr:uid="{00000000-0005-0000-0000-0000A3230000}"/>
    <cellStyle name="Millares 2 6 2 6 3" xfId="20024" xr:uid="{00000000-0005-0000-0000-0000A4230000}"/>
    <cellStyle name="Millares 2 6 2 7" xfId="10013" xr:uid="{00000000-0005-0000-0000-0000A5230000}"/>
    <cellStyle name="Millares 2 6 2 8" xfId="16796" xr:uid="{00000000-0005-0000-0000-0000A6230000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3" xfId="20958" xr:uid="{00000000-0005-0000-0000-0000AB230000}"/>
    <cellStyle name="Millares 2 6 3 2 3" xfId="10967" xr:uid="{00000000-0005-0000-0000-0000AC230000}"/>
    <cellStyle name="Millares 2 6 3 2 4" xfId="17730" xr:uid="{00000000-0005-0000-0000-0000AD230000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3" xfId="22189" xr:uid="{00000000-0005-0000-0000-0000B1230000}"/>
    <cellStyle name="Millares 2 6 3 3 3" xfId="12274" xr:uid="{00000000-0005-0000-0000-0000B2230000}"/>
    <cellStyle name="Millares 2 6 3 3 4" xfId="18961" xr:uid="{00000000-0005-0000-0000-0000B3230000}"/>
    <cellStyle name="Millares 2 6 3 4" xfId="6954" xr:uid="{00000000-0005-0000-0000-0000B4230000}"/>
    <cellStyle name="Millares 2 6 3 4 2" xfId="13532" xr:uid="{00000000-0005-0000-0000-0000B5230000}"/>
    <cellStyle name="Millares 2 6 3 4 3" xfId="20219" xr:uid="{00000000-0005-0000-0000-0000B6230000}"/>
    <cellStyle name="Millares 2 6 3 5" xfId="10215" xr:uid="{00000000-0005-0000-0000-0000B7230000}"/>
    <cellStyle name="Millares 2 6 3 6" xfId="16991" xr:uid="{00000000-0005-0000-0000-0000B8230000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3" xfId="22616" xr:uid="{00000000-0005-0000-0000-0000BD230000}"/>
    <cellStyle name="Millares 2 6 4 2 3" xfId="12701" xr:uid="{00000000-0005-0000-0000-0000BE230000}"/>
    <cellStyle name="Millares 2 6 4 2 4" xfId="19388" xr:uid="{00000000-0005-0000-0000-0000BF230000}"/>
    <cellStyle name="Millares 2 6 4 3" xfId="8120" xr:uid="{00000000-0005-0000-0000-0000C0230000}"/>
    <cellStyle name="Millares 2 6 4 3 2" xfId="14698" xr:uid="{00000000-0005-0000-0000-0000C1230000}"/>
    <cellStyle name="Millares 2 6 4 3 3" xfId="21385" xr:uid="{00000000-0005-0000-0000-0000C2230000}"/>
    <cellStyle name="Millares 2 6 4 4" xfId="11431" xr:uid="{00000000-0005-0000-0000-0000C3230000}"/>
    <cellStyle name="Millares 2 6 4 5" xfId="18157" xr:uid="{00000000-0005-0000-0000-0000C423000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3" xfId="20562" xr:uid="{00000000-0005-0000-0000-0000C8230000}"/>
    <cellStyle name="Millares 2 6 5 3" xfId="10559" xr:uid="{00000000-0005-0000-0000-0000C9230000}"/>
    <cellStyle name="Millares 2 6 5 4" xfId="17334" xr:uid="{00000000-0005-0000-0000-0000CA230000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3" xfId="21793" xr:uid="{00000000-0005-0000-0000-0000CE230000}"/>
    <cellStyle name="Millares 2 6 6 3" xfId="11878" xr:uid="{00000000-0005-0000-0000-0000CF230000}"/>
    <cellStyle name="Millares 2 6 6 4" xfId="18565" xr:uid="{00000000-0005-0000-0000-0000D0230000}"/>
    <cellStyle name="Millares 2 6 7" xfId="6566" xr:uid="{00000000-0005-0000-0000-0000D1230000}"/>
    <cellStyle name="Millares 2 6 7 2" xfId="13144" xr:uid="{00000000-0005-0000-0000-0000D2230000}"/>
    <cellStyle name="Millares 2 6 7 3" xfId="19831" xr:uid="{00000000-0005-0000-0000-0000D3230000}"/>
    <cellStyle name="Millares 2 6 8" xfId="420" xr:uid="{00000000-0005-0000-0000-0000D4230000}"/>
    <cellStyle name="Millares 2 6 8 2" xfId="11630" xr:uid="{00000000-0005-0000-0000-0000D5230000}"/>
    <cellStyle name="Millares 2 6 9" xfId="9803" xr:uid="{00000000-0005-0000-0000-0000D6230000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3" xfId="21628" xr:uid="{00000000-0005-0000-0000-0000DD230000}"/>
    <cellStyle name="Millares 2 7 2 2 2 3" xfId="11705" xr:uid="{00000000-0005-0000-0000-0000DE230000}"/>
    <cellStyle name="Millares 2 7 2 2 2 4" xfId="18400" xr:uid="{00000000-0005-0000-0000-0000DF230000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3" xfId="22859" xr:uid="{00000000-0005-0000-0000-0000E3230000}"/>
    <cellStyle name="Millares 2 7 2 2 3 3" xfId="12944" xr:uid="{00000000-0005-0000-0000-0000E4230000}"/>
    <cellStyle name="Millares 2 7 2 2 3 4" xfId="19631" xr:uid="{00000000-0005-0000-0000-0000E5230000}"/>
    <cellStyle name="Millares 2 7 2 2 4" xfId="7146" xr:uid="{00000000-0005-0000-0000-0000E6230000}"/>
    <cellStyle name="Millares 2 7 2 2 4 2" xfId="13724" xr:uid="{00000000-0005-0000-0000-0000E7230000}"/>
    <cellStyle name="Millares 2 7 2 2 4 3" xfId="20411" xr:uid="{00000000-0005-0000-0000-0000E8230000}"/>
    <cellStyle name="Millares 2 7 2 2 5" xfId="10407" xr:uid="{00000000-0005-0000-0000-0000E9230000}"/>
    <cellStyle name="Millares 2 7 2 2 6" xfId="17183" xr:uid="{00000000-0005-0000-0000-0000EA230000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3" xfId="21005" xr:uid="{00000000-0005-0000-0000-0000EE230000}"/>
    <cellStyle name="Millares 2 7 2 3 3" xfId="11021" xr:uid="{00000000-0005-0000-0000-0000EF230000}"/>
    <cellStyle name="Millares 2 7 2 3 4" xfId="17777" xr:uid="{00000000-0005-0000-0000-0000F0230000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3" xfId="22236" xr:uid="{00000000-0005-0000-0000-0000F4230000}"/>
    <cellStyle name="Millares 2 7 2 4 3" xfId="12321" xr:uid="{00000000-0005-0000-0000-0000F5230000}"/>
    <cellStyle name="Millares 2 7 2 4 4" xfId="19008" xr:uid="{00000000-0005-0000-0000-0000F6230000}"/>
    <cellStyle name="Millares 2 7 2 5" xfId="6758" xr:uid="{00000000-0005-0000-0000-0000F7230000}"/>
    <cellStyle name="Millares 2 7 2 5 2" xfId="13336" xr:uid="{00000000-0005-0000-0000-0000F8230000}"/>
    <cellStyle name="Millares 2 7 2 5 3" xfId="20023" xr:uid="{00000000-0005-0000-0000-0000F9230000}"/>
    <cellStyle name="Millares 2 7 2 6" xfId="10012" xr:uid="{00000000-0005-0000-0000-0000FA230000}"/>
    <cellStyle name="Millares 2 7 2 7" xfId="16795" xr:uid="{00000000-0005-0000-0000-0000FB230000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3" xfId="21384" xr:uid="{00000000-0005-0000-0000-000000240000}"/>
    <cellStyle name="Millares 2 7 3 2 3" xfId="11430" xr:uid="{00000000-0005-0000-0000-000001240000}"/>
    <cellStyle name="Millares 2 7 3 2 4" xfId="18156" xr:uid="{00000000-0005-0000-0000-000002240000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3" xfId="22615" xr:uid="{00000000-0005-0000-0000-000006240000}"/>
    <cellStyle name="Millares 2 7 3 3 3" xfId="12700" xr:uid="{00000000-0005-0000-0000-000007240000}"/>
    <cellStyle name="Millares 2 7 3 3 4" xfId="19387" xr:uid="{00000000-0005-0000-0000-000008240000}"/>
    <cellStyle name="Millares 2 7 3 4" xfId="6953" xr:uid="{00000000-0005-0000-0000-000009240000}"/>
    <cellStyle name="Millares 2 7 3 4 2" xfId="13531" xr:uid="{00000000-0005-0000-0000-00000A240000}"/>
    <cellStyle name="Millares 2 7 3 4 3" xfId="20218" xr:uid="{00000000-0005-0000-0000-00000B240000}"/>
    <cellStyle name="Millares 2 7 3 5" xfId="10214" xr:uid="{00000000-0005-0000-0000-00000C240000}"/>
    <cellStyle name="Millares 2 7 3 6" xfId="16990" xr:uid="{00000000-0005-0000-0000-00000D240000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3" xfId="20609" xr:uid="{00000000-0005-0000-0000-000011240000}"/>
    <cellStyle name="Millares 2 7 4 3" xfId="10606" xr:uid="{00000000-0005-0000-0000-000012240000}"/>
    <cellStyle name="Millares 2 7 4 4" xfId="17381" xr:uid="{00000000-0005-0000-0000-000013240000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3" xfId="21840" xr:uid="{00000000-0005-0000-0000-000017240000}"/>
    <cellStyle name="Millares 2 7 5 3" xfId="11925" xr:uid="{00000000-0005-0000-0000-000018240000}"/>
    <cellStyle name="Millares 2 7 5 4" xfId="18612" xr:uid="{00000000-0005-0000-0000-000019240000}"/>
    <cellStyle name="Millares 2 7 6" xfId="6565" xr:uid="{00000000-0005-0000-0000-00001A240000}"/>
    <cellStyle name="Millares 2 7 6 2" xfId="13143" xr:uid="{00000000-0005-0000-0000-00001B240000}"/>
    <cellStyle name="Millares 2 7 6 3" xfId="19830" xr:uid="{00000000-0005-0000-0000-00001C240000}"/>
    <cellStyle name="Millares 2 7 7" xfId="9802" xr:uid="{00000000-0005-0000-0000-00001D240000}"/>
    <cellStyle name="Millares 2 7 8" xfId="16602" xr:uid="{00000000-0005-0000-0000-00001E240000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3" xfId="21110" xr:uid="{00000000-0005-0000-0000-000024240000}"/>
    <cellStyle name="Millares 2 8 2 2 3" xfId="11127" xr:uid="{00000000-0005-0000-0000-000025240000}"/>
    <cellStyle name="Millares 2 8 2 2 4" xfId="17882" xr:uid="{00000000-0005-0000-0000-000026240000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3" xfId="22341" xr:uid="{00000000-0005-0000-0000-00002A240000}"/>
    <cellStyle name="Millares 2 8 2 3 3" xfId="12426" xr:uid="{00000000-0005-0000-0000-00002B240000}"/>
    <cellStyle name="Millares 2 8 2 3 4" xfId="19113" xr:uid="{00000000-0005-0000-0000-00002C240000}"/>
    <cellStyle name="Millares 2 8 2 4" xfId="7052" xr:uid="{00000000-0005-0000-0000-00002D240000}"/>
    <cellStyle name="Millares 2 8 2 4 2" xfId="13630" xr:uid="{00000000-0005-0000-0000-00002E240000}"/>
    <cellStyle name="Millares 2 8 2 4 3" xfId="20317" xr:uid="{00000000-0005-0000-0000-00002F240000}"/>
    <cellStyle name="Millares 2 8 2 5" xfId="10313" xr:uid="{00000000-0005-0000-0000-000030240000}"/>
    <cellStyle name="Millares 2 8 2 6" xfId="17089" xr:uid="{00000000-0005-0000-0000-000031240000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3" xfId="22765" xr:uid="{00000000-0005-0000-0000-000036240000}"/>
    <cellStyle name="Millares 2 8 3 2 3" xfId="12850" xr:uid="{00000000-0005-0000-0000-000037240000}"/>
    <cellStyle name="Millares 2 8 3 2 4" xfId="19537" xr:uid="{00000000-0005-0000-0000-000038240000}"/>
    <cellStyle name="Millares 2 8 3 3" xfId="8269" xr:uid="{00000000-0005-0000-0000-000039240000}"/>
    <cellStyle name="Millares 2 8 3 3 2" xfId="14847" xr:uid="{00000000-0005-0000-0000-00003A240000}"/>
    <cellStyle name="Millares 2 8 3 3 3" xfId="21534" xr:uid="{00000000-0005-0000-0000-00003B240000}"/>
    <cellStyle name="Millares 2 8 3 4" xfId="11598" xr:uid="{00000000-0005-0000-0000-00003C240000}"/>
    <cellStyle name="Millares 2 8 3 5" xfId="18306" xr:uid="{00000000-0005-0000-0000-00003D240000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3" xfId="20714" xr:uid="{00000000-0005-0000-0000-000041240000}"/>
    <cellStyle name="Millares 2 8 4 3" xfId="10711" xr:uid="{00000000-0005-0000-0000-000042240000}"/>
    <cellStyle name="Millares 2 8 4 4" xfId="17486" xr:uid="{00000000-0005-0000-0000-000043240000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3" xfId="21945" xr:uid="{00000000-0005-0000-0000-000047240000}"/>
    <cellStyle name="Millares 2 8 5 3" xfId="12030" xr:uid="{00000000-0005-0000-0000-000048240000}"/>
    <cellStyle name="Millares 2 8 5 4" xfId="18717" xr:uid="{00000000-0005-0000-0000-000049240000}"/>
    <cellStyle name="Millares 2 8 6" xfId="6664" xr:uid="{00000000-0005-0000-0000-00004A240000}"/>
    <cellStyle name="Millares 2 8 6 2" xfId="13242" xr:uid="{00000000-0005-0000-0000-00004B240000}"/>
    <cellStyle name="Millares 2 8 6 3" xfId="19929" xr:uid="{00000000-0005-0000-0000-00004C240000}"/>
    <cellStyle name="Millares 2 8 7" xfId="9910" xr:uid="{00000000-0005-0000-0000-00004D240000}"/>
    <cellStyle name="Millares 2 8 8" xfId="16701" xr:uid="{00000000-0005-0000-0000-00004E240000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3" xfId="22432" xr:uid="{00000000-0005-0000-0000-000054240000}"/>
    <cellStyle name="Millares 2 9 2 2 3" xfId="12517" xr:uid="{00000000-0005-0000-0000-000055240000}"/>
    <cellStyle name="Millares 2 9 2 2 4" xfId="19204" xr:uid="{00000000-0005-0000-0000-000056240000}"/>
    <cellStyle name="Millares 2 9 2 3" xfId="7936" xr:uid="{00000000-0005-0000-0000-000057240000}"/>
    <cellStyle name="Millares 2 9 2 3 2" xfId="14514" xr:uid="{00000000-0005-0000-0000-000058240000}"/>
    <cellStyle name="Millares 2 9 2 3 3" xfId="21201" xr:uid="{00000000-0005-0000-0000-000059240000}"/>
    <cellStyle name="Millares 2 9 2 4" xfId="11229" xr:uid="{00000000-0005-0000-0000-00005A240000}"/>
    <cellStyle name="Millares 2 9 2 5" xfId="17973" xr:uid="{00000000-0005-0000-0000-00005B240000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3" xfId="22959" xr:uid="{00000000-0005-0000-0000-000060240000}"/>
    <cellStyle name="Millares 2 9 3 2 3" xfId="13044" xr:uid="{00000000-0005-0000-0000-000061240000}"/>
    <cellStyle name="Millares 2 9 3 2 4" xfId="19731" xr:uid="{00000000-0005-0000-0000-000062240000}"/>
    <cellStyle name="Millares 2 9 3 3" xfId="8463" xr:uid="{00000000-0005-0000-0000-000063240000}"/>
    <cellStyle name="Millares 2 9 3 3 2" xfId="15041" xr:uid="{00000000-0005-0000-0000-000064240000}"/>
    <cellStyle name="Millares 2 9 3 3 3" xfId="21728" xr:uid="{00000000-0005-0000-0000-000065240000}"/>
    <cellStyle name="Millares 2 9 3 4" xfId="11813" xr:uid="{00000000-0005-0000-0000-000066240000}"/>
    <cellStyle name="Millares 2 9 3 5" xfId="18500" xr:uid="{00000000-0005-0000-0000-00006724000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3" xfId="20805" xr:uid="{00000000-0005-0000-0000-00006B240000}"/>
    <cellStyle name="Millares 2 9 4 3" xfId="10802" xr:uid="{00000000-0005-0000-0000-00006C240000}"/>
    <cellStyle name="Millares 2 9 4 4" xfId="17577" xr:uid="{00000000-0005-0000-0000-00006D240000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3" xfId="22036" xr:uid="{00000000-0005-0000-0000-000071240000}"/>
    <cellStyle name="Millares 2 9 5 3" xfId="12121" xr:uid="{00000000-0005-0000-0000-000072240000}"/>
    <cellStyle name="Millares 2 9 5 4" xfId="18808" xr:uid="{00000000-0005-0000-0000-000073240000}"/>
    <cellStyle name="Millares 2 9 6" xfId="6858" xr:uid="{00000000-0005-0000-0000-000074240000}"/>
    <cellStyle name="Millares 2 9 6 2" xfId="13436" xr:uid="{00000000-0005-0000-0000-000075240000}"/>
    <cellStyle name="Millares 2 9 6 3" xfId="20123" xr:uid="{00000000-0005-0000-0000-000076240000}"/>
    <cellStyle name="Millares 2 9 7" xfId="10119" xr:uid="{00000000-0005-0000-0000-000077240000}"/>
    <cellStyle name="Millares 2 9 8" xfId="16895" xr:uid="{00000000-0005-0000-0000-000078240000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3" xfId="20506" xr:uid="{00000000-0005-0000-0000-00007E240000}"/>
    <cellStyle name="Millares 20 2 2 3" xfId="10502" xr:uid="{00000000-0005-0000-0000-00007F240000}"/>
    <cellStyle name="Millares 20 2 2 4" xfId="17278" xr:uid="{00000000-0005-0000-0000-000080240000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3" xfId="21723" xr:uid="{00000000-0005-0000-0000-000084240000}"/>
    <cellStyle name="Millares 20 2 3 3" xfId="11808" xr:uid="{00000000-0005-0000-0000-000085240000}"/>
    <cellStyle name="Millares 20 2 3 4" xfId="18495" xr:uid="{00000000-0005-0000-0000-000086240000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3" xfId="22954" xr:uid="{00000000-0005-0000-0000-00008A240000}"/>
    <cellStyle name="Millares 20 2 4 3" xfId="13039" xr:uid="{00000000-0005-0000-0000-00008B240000}"/>
    <cellStyle name="Millares 20 2 4 4" xfId="19726" xr:uid="{00000000-0005-0000-0000-00008C240000}"/>
    <cellStyle name="Millares 20 2 5" xfId="6853" xr:uid="{00000000-0005-0000-0000-00008D240000}"/>
    <cellStyle name="Millares 20 2 5 2" xfId="13431" xr:uid="{00000000-0005-0000-0000-00008E240000}"/>
    <cellStyle name="Millares 20 2 5 3" xfId="20118" xr:uid="{00000000-0005-0000-0000-00008F240000}"/>
    <cellStyle name="Millares 20 2 6" xfId="10113" xr:uid="{00000000-0005-0000-0000-000090240000}"/>
    <cellStyle name="Millares 20 2 7" xfId="16890" xr:uid="{00000000-0005-0000-0000-000091240000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3" xfId="21530" xr:uid="{00000000-0005-0000-0000-000096240000}"/>
    <cellStyle name="Millares 20 3 2 3" xfId="11594" xr:uid="{00000000-0005-0000-0000-000097240000}"/>
    <cellStyle name="Millares 20 3 2 4" xfId="18302" xr:uid="{00000000-0005-0000-0000-000098240000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3" xfId="22761" xr:uid="{00000000-0005-0000-0000-00009C240000}"/>
    <cellStyle name="Millares 20 3 3 3" xfId="12846" xr:uid="{00000000-0005-0000-0000-00009D240000}"/>
    <cellStyle name="Millares 20 3 3 4" xfId="19533" xr:uid="{00000000-0005-0000-0000-00009E240000}"/>
    <cellStyle name="Millares 20 3 4" xfId="7048" xr:uid="{00000000-0005-0000-0000-00009F240000}"/>
    <cellStyle name="Millares 20 3 4 2" xfId="13626" xr:uid="{00000000-0005-0000-0000-0000A0240000}"/>
    <cellStyle name="Millares 20 3 4 3" xfId="20313" xr:uid="{00000000-0005-0000-0000-0000A1240000}"/>
    <cellStyle name="Millares 20 3 5" xfId="10309" xr:uid="{00000000-0005-0000-0000-0000A2240000}"/>
    <cellStyle name="Millares 20 3 6" xfId="17085" xr:uid="{00000000-0005-0000-0000-0000A3240000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3" xfId="20898" xr:uid="{00000000-0005-0000-0000-0000A7240000}"/>
    <cellStyle name="Millares 20 4 3" xfId="10904" xr:uid="{00000000-0005-0000-0000-0000A8240000}"/>
    <cellStyle name="Millares 20 4 4" xfId="17670" xr:uid="{00000000-0005-0000-0000-0000A9240000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3" xfId="22129" xr:uid="{00000000-0005-0000-0000-0000AD240000}"/>
    <cellStyle name="Millares 20 5 3" xfId="12214" xr:uid="{00000000-0005-0000-0000-0000AE240000}"/>
    <cellStyle name="Millares 20 5 4" xfId="18901" xr:uid="{00000000-0005-0000-0000-0000AF240000}"/>
    <cellStyle name="Millares 20 6" xfId="6660" xr:uid="{00000000-0005-0000-0000-0000B0240000}"/>
    <cellStyle name="Millares 20 6 2" xfId="13238" xr:uid="{00000000-0005-0000-0000-0000B1240000}"/>
    <cellStyle name="Millares 20 6 3" xfId="19925" xr:uid="{00000000-0005-0000-0000-0000B2240000}"/>
    <cellStyle name="Millares 20 7" xfId="9906" xr:uid="{00000000-0005-0000-0000-0000B3240000}"/>
    <cellStyle name="Millares 20 8" xfId="16697" xr:uid="{00000000-0005-0000-0000-0000B4240000}"/>
    <cellStyle name="Millares 21" xfId="767" xr:uid="{00000000-0005-0000-0000-0000B5240000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3" xfId="20507" xr:uid="{00000000-0005-0000-0000-0000BA240000}"/>
    <cellStyle name="Millares 21 2 2 3" xfId="10503" xr:uid="{00000000-0005-0000-0000-0000BB240000}"/>
    <cellStyle name="Millares 21 2 2 4" xfId="17279" xr:uid="{00000000-0005-0000-0000-0000BC240000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3" xfId="21724" xr:uid="{00000000-0005-0000-0000-0000C0240000}"/>
    <cellStyle name="Millares 21 2 3 3" xfId="11809" xr:uid="{00000000-0005-0000-0000-0000C1240000}"/>
    <cellStyle name="Millares 21 2 3 4" xfId="18496" xr:uid="{00000000-0005-0000-0000-0000C2240000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3" xfId="22955" xr:uid="{00000000-0005-0000-0000-0000C6240000}"/>
    <cellStyle name="Millares 21 2 4 3" xfId="13040" xr:uid="{00000000-0005-0000-0000-0000C7240000}"/>
    <cellStyle name="Millares 21 2 4 4" xfId="19727" xr:uid="{00000000-0005-0000-0000-0000C8240000}"/>
    <cellStyle name="Millares 21 2 5" xfId="6854" xr:uid="{00000000-0005-0000-0000-0000C9240000}"/>
    <cellStyle name="Millares 21 2 5 2" xfId="13432" xr:uid="{00000000-0005-0000-0000-0000CA240000}"/>
    <cellStyle name="Millares 21 2 5 3" xfId="20119" xr:uid="{00000000-0005-0000-0000-0000CB240000}"/>
    <cellStyle name="Millares 21 2 6" xfId="10114" xr:uid="{00000000-0005-0000-0000-0000CC240000}"/>
    <cellStyle name="Millares 21 2 7" xfId="10862" xr:uid="{00000000-0005-0000-0000-0000CD240000}"/>
    <cellStyle name="Millares 21 2 8" xfId="16891" xr:uid="{00000000-0005-0000-0000-0000CE240000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3" xfId="21531" xr:uid="{00000000-0005-0000-0000-0000D3240000}"/>
    <cellStyle name="Millares 21 3 2 3" xfId="11595" xr:uid="{00000000-0005-0000-0000-0000D4240000}"/>
    <cellStyle name="Millares 21 3 2 4" xfId="18303" xr:uid="{00000000-0005-0000-0000-0000D5240000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3" xfId="22762" xr:uid="{00000000-0005-0000-0000-0000D9240000}"/>
    <cellStyle name="Millares 21 3 3 3" xfId="12847" xr:uid="{00000000-0005-0000-0000-0000DA240000}"/>
    <cellStyle name="Millares 21 3 3 4" xfId="19534" xr:uid="{00000000-0005-0000-0000-0000DB240000}"/>
    <cellStyle name="Millares 21 3 4" xfId="7049" xr:uid="{00000000-0005-0000-0000-0000DC240000}"/>
    <cellStyle name="Millares 21 3 4 2" xfId="13627" xr:uid="{00000000-0005-0000-0000-0000DD240000}"/>
    <cellStyle name="Millares 21 3 4 3" xfId="20314" xr:uid="{00000000-0005-0000-0000-0000DE240000}"/>
    <cellStyle name="Millares 21 3 5" xfId="10310" xr:uid="{00000000-0005-0000-0000-0000DF240000}"/>
    <cellStyle name="Millares 21 3 6" xfId="17086" xr:uid="{00000000-0005-0000-0000-0000E0240000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3" xfId="20897" xr:uid="{00000000-0005-0000-0000-0000E4240000}"/>
    <cellStyle name="Millares 21 4 3" xfId="10902" xr:uid="{00000000-0005-0000-0000-0000E5240000}"/>
    <cellStyle name="Millares 21 4 4" xfId="17669" xr:uid="{00000000-0005-0000-0000-0000E624000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3" xfId="22128" xr:uid="{00000000-0005-0000-0000-0000EA240000}"/>
    <cellStyle name="Millares 21 5 3" xfId="12213" xr:uid="{00000000-0005-0000-0000-0000EB240000}"/>
    <cellStyle name="Millares 21 5 4" xfId="18900" xr:uid="{00000000-0005-0000-0000-0000EC240000}"/>
    <cellStyle name="Millares 21 6" xfId="6661" xr:uid="{00000000-0005-0000-0000-0000ED240000}"/>
    <cellStyle name="Millares 21 6 2" xfId="13239" xr:uid="{00000000-0005-0000-0000-0000EE240000}"/>
    <cellStyle name="Millares 21 6 3" xfId="19926" xr:uid="{00000000-0005-0000-0000-0000EF240000}"/>
    <cellStyle name="Millares 21 7" xfId="9907" xr:uid="{00000000-0005-0000-0000-0000F0240000}"/>
    <cellStyle name="Millares 21 8" xfId="9863" xr:uid="{00000000-0005-0000-0000-0000F1240000}"/>
    <cellStyle name="Millares 21 9" xfId="16698" xr:uid="{00000000-0005-0000-0000-0000F2240000}"/>
    <cellStyle name="Millares 22" xfId="769" xr:uid="{00000000-0005-0000-0000-0000F3240000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3" xfId="20508" xr:uid="{00000000-0005-0000-0000-0000F8240000}"/>
    <cellStyle name="Millares 22 2 2 3" xfId="10504" xr:uid="{00000000-0005-0000-0000-0000F9240000}"/>
    <cellStyle name="Millares 22 2 2 4" xfId="17280" xr:uid="{00000000-0005-0000-0000-0000FA240000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3" xfId="21725" xr:uid="{00000000-0005-0000-0000-0000FE240000}"/>
    <cellStyle name="Millares 22 2 3 3" xfId="11810" xr:uid="{00000000-0005-0000-0000-0000FF240000}"/>
    <cellStyle name="Millares 22 2 3 4" xfId="18497" xr:uid="{00000000-0005-0000-0000-000000250000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3" xfId="22956" xr:uid="{00000000-0005-0000-0000-000004250000}"/>
    <cellStyle name="Millares 22 2 4 3" xfId="13041" xr:uid="{00000000-0005-0000-0000-000005250000}"/>
    <cellStyle name="Millares 22 2 4 4" xfId="19728" xr:uid="{00000000-0005-0000-0000-000006250000}"/>
    <cellStyle name="Millares 22 2 5" xfId="6855" xr:uid="{00000000-0005-0000-0000-000007250000}"/>
    <cellStyle name="Millares 22 2 5 2" xfId="13433" xr:uid="{00000000-0005-0000-0000-000008250000}"/>
    <cellStyle name="Millares 22 2 5 3" xfId="20120" xr:uid="{00000000-0005-0000-0000-000009250000}"/>
    <cellStyle name="Millares 22 2 6" xfId="10115" xr:uid="{00000000-0005-0000-0000-00000A250000}"/>
    <cellStyle name="Millares 22 2 7" xfId="16399" xr:uid="{00000000-0005-0000-0000-00000B250000}"/>
    <cellStyle name="Millares 22 2 8" xfId="16892" xr:uid="{00000000-0005-0000-0000-00000C250000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3" xfId="21532" xr:uid="{00000000-0005-0000-0000-000011250000}"/>
    <cellStyle name="Millares 22 3 2 3" xfId="11596" xr:uid="{00000000-0005-0000-0000-000012250000}"/>
    <cellStyle name="Millares 22 3 2 4" xfId="18304" xr:uid="{00000000-0005-0000-0000-000013250000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3" xfId="22763" xr:uid="{00000000-0005-0000-0000-000017250000}"/>
    <cellStyle name="Millares 22 3 3 3" xfId="12848" xr:uid="{00000000-0005-0000-0000-000018250000}"/>
    <cellStyle name="Millares 22 3 3 4" xfId="19535" xr:uid="{00000000-0005-0000-0000-000019250000}"/>
    <cellStyle name="Millares 22 3 4" xfId="7050" xr:uid="{00000000-0005-0000-0000-00001A250000}"/>
    <cellStyle name="Millares 22 3 4 2" xfId="13628" xr:uid="{00000000-0005-0000-0000-00001B250000}"/>
    <cellStyle name="Millares 22 3 4 3" xfId="20315" xr:uid="{00000000-0005-0000-0000-00001C250000}"/>
    <cellStyle name="Millares 22 3 5" xfId="10311" xr:uid="{00000000-0005-0000-0000-00001D250000}"/>
    <cellStyle name="Millares 22 3 6" xfId="17087" xr:uid="{00000000-0005-0000-0000-00001E250000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3" xfId="21479" xr:uid="{00000000-0005-0000-0000-000022250000}"/>
    <cellStyle name="Millares 22 4 3" xfId="11543" xr:uid="{00000000-0005-0000-0000-000023250000}"/>
    <cellStyle name="Millares 22 4 4" xfId="18251" xr:uid="{00000000-0005-0000-0000-000024250000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3" xfId="22710" xr:uid="{00000000-0005-0000-0000-000028250000}"/>
    <cellStyle name="Millares 22 5 3" xfId="12795" xr:uid="{00000000-0005-0000-0000-000029250000}"/>
    <cellStyle name="Millares 22 5 4" xfId="19482" xr:uid="{00000000-0005-0000-0000-00002A250000}"/>
    <cellStyle name="Millares 22 6" xfId="6662" xr:uid="{00000000-0005-0000-0000-00002B250000}"/>
    <cellStyle name="Millares 22 6 2" xfId="13240" xr:uid="{00000000-0005-0000-0000-00002C250000}"/>
    <cellStyle name="Millares 22 6 3" xfId="19927" xr:uid="{00000000-0005-0000-0000-00002D250000}"/>
    <cellStyle name="Millares 22 7" xfId="9908" xr:uid="{00000000-0005-0000-0000-00002E250000}"/>
    <cellStyle name="Millares 22 8" xfId="11341" xr:uid="{00000000-0005-0000-0000-00002F250000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3" xfId="20316" xr:uid="{00000000-0005-0000-0000-000035250000}"/>
    <cellStyle name="Millares 23 2 3" xfId="10312" xr:uid="{00000000-0005-0000-0000-000036250000}"/>
    <cellStyle name="Millares 23 2 4" xfId="16444" xr:uid="{00000000-0005-0000-0000-000037250000}"/>
    <cellStyle name="Millares 23 2 5" xfId="17088" xr:uid="{00000000-0005-0000-0000-000038250000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3" xfId="21533" xr:uid="{00000000-0005-0000-0000-00003C250000}"/>
    <cellStyle name="Millares 23 3 3" xfId="11597" xr:uid="{00000000-0005-0000-0000-00003D250000}"/>
    <cellStyle name="Millares 23 3 4" xfId="18305" xr:uid="{00000000-0005-0000-0000-00003E250000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3" xfId="22764" xr:uid="{00000000-0005-0000-0000-000042250000}"/>
    <cellStyle name="Millares 23 4 3" xfId="12849" xr:uid="{00000000-0005-0000-0000-000043250000}"/>
    <cellStyle name="Millares 23 4 4" xfId="19536" xr:uid="{00000000-0005-0000-0000-000044250000}"/>
    <cellStyle name="Millares 23 5" xfId="6663" xr:uid="{00000000-0005-0000-0000-000045250000}"/>
    <cellStyle name="Millares 23 5 2" xfId="13241" xr:uid="{00000000-0005-0000-0000-000046250000}"/>
    <cellStyle name="Millares 23 5 3" xfId="19928" xr:uid="{00000000-0005-0000-0000-000047250000}"/>
    <cellStyle name="Millares 23 6" xfId="9909" xr:uid="{00000000-0005-0000-0000-000048250000}"/>
    <cellStyle name="Millares 23 7" xfId="16367" xr:uid="{00000000-0005-0000-0000-000049250000}"/>
    <cellStyle name="Millares 23 8" xfId="16700" xr:uid="{00000000-0005-0000-0000-00004A250000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3" xfId="20509" xr:uid="{00000000-0005-0000-0000-00004F250000}"/>
    <cellStyle name="Millares 24 2 3" xfId="10505" xr:uid="{00000000-0005-0000-0000-000050250000}"/>
    <cellStyle name="Millares 24 2 4" xfId="17281" xr:uid="{00000000-0005-0000-0000-000051250000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3" xfId="21726" xr:uid="{00000000-0005-0000-0000-000055250000}"/>
    <cellStyle name="Millares 24 3 3" xfId="11811" xr:uid="{00000000-0005-0000-0000-000056250000}"/>
    <cellStyle name="Millares 24 3 4" xfId="18498" xr:uid="{00000000-0005-0000-0000-000057250000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3" xfId="22957" xr:uid="{00000000-0005-0000-0000-00005B250000}"/>
    <cellStyle name="Millares 24 4 3" xfId="13042" xr:uid="{00000000-0005-0000-0000-00005C250000}"/>
    <cellStyle name="Millares 24 4 4" xfId="19729" xr:uid="{00000000-0005-0000-0000-00005D250000}"/>
    <cellStyle name="Millares 24 5" xfId="6856" xr:uid="{00000000-0005-0000-0000-00005E250000}"/>
    <cellStyle name="Millares 24 5 2" xfId="13434" xr:uid="{00000000-0005-0000-0000-00005F250000}"/>
    <cellStyle name="Millares 24 5 3" xfId="20121" xr:uid="{00000000-0005-0000-0000-000060250000}"/>
    <cellStyle name="Millares 24 6" xfId="10116" xr:uid="{00000000-0005-0000-0000-000061250000}"/>
    <cellStyle name="Millares 24 7" xfId="16893" xr:uid="{00000000-0005-0000-0000-00006225000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3" xfId="20124" xr:uid="{00000000-0005-0000-0000-000067250000}"/>
    <cellStyle name="Millares 25 2 3" xfId="10120" xr:uid="{00000000-0005-0000-0000-000068250000}"/>
    <cellStyle name="Millares 25 2 4" xfId="11484" xr:uid="{00000000-0005-0000-0000-000069250000}"/>
    <cellStyle name="Millares 25 2 5" xfId="16896" xr:uid="{00000000-0005-0000-0000-00006A250000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3" xfId="21727" xr:uid="{00000000-0005-0000-0000-00006E250000}"/>
    <cellStyle name="Millares 25 3 3" xfId="11812" xr:uid="{00000000-0005-0000-0000-00006F250000}"/>
    <cellStyle name="Millares 25 3 4" xfId="18499" xr:uid="{00000000-0005-0000-0000-000070250000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3" xfId="22958" xr:uid="{00000000-0005-0000-0000-000074250000}"/>
    <cellStyle name="Millares 25 4 3" xfId="13043" xr:uid="{00000000-0005-0000-0000-000075250000}"/>
    <cellStyle name="Millares 25 4 4" xfId="19730" xr:uid="{00000000-0005-0000-0000-000076250000}"/>
    <cellStyle name="Millares 25 5" xfId="6471" xr:uid="{00000000-0005-0000-0000-000077250000}"/>
    <cellStyle name="Millares 25 5 2" xfId="13049" xr:uid="{00000000-0005-0000-0000-000078250000}"/>
    <cellStyle name="Millares 25 5 3" xfId="19736" xr:uid="{00000000-0005-0000-0000-000079250000}"/>
    <cellStyle name="Millares 25 6" xfId="9703" xr:uid="{00000000-0005-0000-0000-00007A250000}"/>
    <cellStyle name="Millares 25 7" xfId="16428" xr:uid="{00000000-0005-0000-0000-00007B250000}"/>
    <cellStyle name="Millares 25 8" xfId="16508" xr:uid="{00000000-0005-0000-0000-00007C250000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3" xfId="21729" xr:uid="{00000000-0005-0000-0000-000081250000}"/>
    <cellStyle name="Millares 26 2 3" xfId="11814" xr:uid="{00000000-0005-0000-0000-000082250000}"/>
    <cellStyle name="Millares 26 2 4" xfId="16467" xr:uid="{00000000-0005-0000-0000-000083250000}"/>
    <cellStyle name="Millares 26 2 5" xfId="18501" xr:uid="{00000000-0005-0000-0000-000084250000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3" xfId="22960" xr:uid="{00000000-0005-0000-0000-000088250000}"/>
    <cellStyle name="Millares 26 3 3" xfId="13045" xr:uid="{00000000-0005-0000-0000-000089250000}"/>
    <cellStyle name="Millares 26 3 4" xfId="19732" xr:uid="{00000000-0005-0000-0000-00008A250000}"/>
    <cellStyle name="Millares 26 4" xfId="6857" xr:uid="{00000000-0005-0000-0000-00008B250000}"/>
    <cellStyle name="Millares 26 4 2" xfId="13435" xr:uid="{00000000-0005-0000-0000-00008C250000}"/>
    <cellStyle name="Millares 26 4 3" xfId="20122" xr:uid="{00000000-0005-0000-0000-00008D250000}"/>
    <cellStyle name="Millares 26 5" xfId="10117" xr:uid="{00000000-0005-0000-0000-00008E250000}"/>
    <cellStyle name="Millares 26 6" xfId="16298" xr:uid="{00000000-0005-0000-0000-00008F250000}"/>
    <cellStyle name="Millares 26 7" xfId="16894" xr:uid="{00000000-0005-0000-0000-000090250000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3" xfId="22961" xr:uid="{00000000-0005-0000-0000-000095250000}"/>
    <cellStyle name="Millares 27 2 3" xfId="13046" xr:uid="{00000000-0005-0000-0000-000096250000}"/>
    <cellStyle name="Millares 27 2 4" xfId="19733" xr:uid="{00000000-0005-0000-0000-000097250000}"/>
    <cellStyle name="Millares 27 3" xfId="8465" xr:uid="{00000000-0005-0000-0000-000098250000}"/>
    <cellStyle name="Millares 27 3 2" xfId="15043" xr:uid="{00000000-0005-0000-0000-000099250000}"/>
    <cellStyle name="Millares 27 3 3" xfId="21730" xr:uid="{00000000-0005-0000-0000-00009A250000}"/>
    <cellStyle name="Millares 27 4" xfId="11815" xr:uid="{00000000-0005-0000-0000-00009B250000}"/>
    <cellStyle name="Millares 27 5" xfId="18502" xr:uid="{00000000-0005-0000-0000-00009C250000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3" xfId="21731" xr:uid="{00000000-0005-0000-0000-0000A0250000}"/>
    <cellStyle name="Millares 28 3" xfId="11816" xr:uid="{00000000-0005-0000-0000-0000A1250000}"/>
    <cellStyle name="Millares 28 4" xfId="18503" xr:uid="{00000000-0005-0000-0000-0000A2250000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3" xfId="16476" xr:uid="{00000000-0005-0000-0000-0000A6250000}"/>
    <cellStyle name="Millares 29 2 4" xfId="21732" xr:uid="{00000000-0005-0000-0000-0000A7250000}"/>
    <cellStyle name="Millares 29 3" xfId="11817" xr:uid="{00000000-0005-0000-0000-0000A8250000}"/>
    <cellStyle name="Millares 29 4" xfId="11748" xr:uid="{00000000-0005-0000-0000-0000A9250000}"/>
    <cellStyle name="Millares 29 5" xfId="18504" xr:uid="{00000000-0005-0000-0000-0000AA250000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3" xfId="22530" xr:uid="{00000000-0005-0000-0000-0000BC250000}"/>
    <cellStyle name="Millares 3 2 10 2 3" xfId="12615" xr:uid="{00000000-0005-0000-0000-0000BD250000}"/>
    <cellStyle name="Millares 3 2 10 2 4" xfId="19302" xr:uid="{00000000-0005-0000-0000-0000BE250000}"/>
    <cellStyle name="Millares 3 2 10 3" xfId="8034" xr:uid="{00000000-0005-0000-0000-0000BF250000}"/>
    <cellStyle name="Millares 3 2 10 3 2" xfId="14612" xr:uid="{00000000-0005-0000-0000-0000C0250000}"/>
    <cellStyle name="Millares 3 2 10 3 3" xfId="21299" xr:uid="{00000000-0005-0000-0000-0000C1250000}"/>
    <cellStyle name="Millares 3 2 10 4" xfId="11334" xr:uid="{00000000-0005-0000-0000-0000C2250000}"/>
    <cellStyle name="Millares 3 2 10 5" xfId="18071" xr:uid="{00000000-0005-0000-0000-0000C3250000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3" xfId="22713" xr:uid="{00000000-0005-0000-0000-0000C8250000}"/>
    <cellStyle name="Millares 3 2 11 2 3" xfId="12798" xr:uid="{00000000-0005-0000-0000-0000C9250000}"/>
    <cellStyle name="Millares 3 2 11 2 4" xfId="19485" xr:uid="{00000000-0005-0000-0000-0000CA250000}"/>
    <cellStyle name="Millares 3 2 11 3" xfId="8217" xr:uid="{00000000-0005-0000-0000-0000CB250000}"/>
    <cellStyle name="Millares 3 2 11 3 2" xfId="14795" xr:uid="{00000000-0005-0000-0000-0000CC250000}"/>
    <cellStyle name="Millares 3 2 11 3 3" xfId="21482" xr:uid="{00000000-0005-0000-0000-0000CD250000}"/>
    <cellStyle name="Millares 3 2 11 4" xfId="11546" xr:uid="{00000000-0005-0000-0000-0000CE250000}"/>
    <cellStyle name="Millares 3 2 11 5" xfId="18254" xr:uid="{00000000-0005-0000-0000-0000CF250000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3" xfId="20512" xr:uid="{00000000-0005-0000-0000-0000D3250000}"/>
    <cellStyle name="Millares 3 2 12 3" xfId="10508" xr:uid="{00000000-0005-0000-0000-0000D4250000}"/>
    <cellStyle name="Millares 3 2 12 4" xfId="17284" xr:uid="{00000000-0005-0000-0000-0000D5250000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3" xfId="21741" xr:uid="{00000000-0005-0000-0000-0000D9250000}"/>
    <cellStyle name="Millares 3 2 13 3" xfId="11826" xr:uid="{00000000-0005-0000-0000-0000DA250000}"/>
    <cellStyle name="Millares 3 2 13 4" xfId="18513" xr:uid="{00000000-0005-0000-0000-0000DB250000}"/>
    <cellStyle name="Millares 3 2 14" xfId="6478" xr:uid="{00000000-0005-0000-0000-0000DC250000}"/>
    <cellStyle name="Millares 3 2 14 2" xfId="13056" xr:uid="{00000000-0005-0000-0000-0000DD250000}"/>
    <cellStyle name="Millares 3 2 14 3" xfId="19743" xr:uid="{00000000-0005-0000-0000-0000DE250000}"/>
    <cellStyle name="Millares 3 2 15" xfId="9710" xr:uid="{00000000-0005-0000-0000-0000DF250000}"/>
    <cellStyle name="Millares 3 2 16" xfId="16515" xr:uid="{00000000-0005-0000-0000-0000E0250000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3" xfId="20532" xr:uid="{00000000-0005-0000-0000-0000E5250000}"/>
    <cellStyle name="Millares 3 2 2 10 3" xfId="10529" xr:uid="{00000000-0005-0000-0000-0000E6250000}"/>
    <cellStyle name="Millares 3 2 2 10 4" xfId="17304" xr:uid="{00000000-0005-0000-0000-0000E7250000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3" xfId="21763" xr:uid="{00000000-0005-0000-0000-0000EB250000}"/>
    <cellStyle name="Millares 3 2 2 11 3" xfId="11848" xr:uid="{00000000-0005-0000-0000-0000EC250000}"/>
    <cellStyle name="Millares 3 2 2 11 4" xfId="18535" xr:uid="{00000000-0005-0000-0000-0000ED250000}"/>
    <cellStyle name="Millares 3 2 2 12" xfId="6488" xr:uid="{00000000-0005-0000-0000-0000EE250000}"/>
    <cellStyle name="Millares 3 2 2 12 2" xfId="13066" xr:uid="{00000000-0005-0000-0000-0000EF250000}"/>
    <cellStyle name="Millares 3 2 2 12 3" xfId="19753" xr:uid="{00000000-0005-0000-0000-0000F0250000}"/>
    <cellStyle name="Millares 3 2 2 13" xfId="9721" xr:uid="{00000000-0005-0000-0000-0000F1250000}"/>
    <cellStyle name="Millares 3 2 2 14" xfId="16525" xr:uid="{00000000-0005-0000-0000-0000F2250000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3" xfId="21786" xr:uid="{00000000-0005-0000-0000-0000F7250000}"/>
    <cellStyle name="Millares 3 2 2 2 10 3" xfId="11871" xr:uid="{00000000-0005-0000-0000-0000F8250000}"/>
    <cellStyle name="Millares 3 2 2 2 10 4" xfId="18558" xr:uid="{00000000-0005-0000-0000-0000F9250000}"/>
    <cellStyle name="Millares 3 2 2 2 11" xfId="6511" xr:uid="{00000000-0005-0000-0000-0000FA250000}"/>
    <cellStyle name="Millares 3 2 2 2 11 2" xfId="13089" xr:uid="{00000000-0005-0000-0000-0000FB250000}"/>
    <cellStyle name="Millares 3 2 2 2 11 3" xfId="19776" xr:uid="{00000000-0005-0000-0000-0000FC250000}"/>
    <cellStyle name="Millares 3 2 2 2 12" xfId="9746" xr:uid="{00000000-0005-0000-0000-0000FD250000}"/>
    <cellStyle name="Millares 3 2 2 2 13" xfId="16548" xr:uid="{00000000-0005-0000-0000-0000FE250000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3" xfId="19822" xr:uid="{00000000-0005-0000-0000-000002260000}"/>
    <cellStyle name="Millares 3 2 2 2 2 11" xfId="9794" xr:uid="{00000000-0005-0000-0000-000003260000}"/>
    <cellStyle name="Millares 3 2 2 2 2 12" xfId="16594" xr:uid="{00000000-0005-0000-0000-000004260000}"/>
    <cellStyle name="Millares 3 2 2 2 2 2" xfId="739" xr:uid="{00000000-0005-0000-0000-000005260000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3" xfId="21712" xr:uid="{00000000-0005-0000-0000-00000B260000}"/>
    <cellStyle name="Millares 3 2 2 2 2 2 2 2 2 3" xfId="11797" xr:uid="{00000000-0005-0000-0000-00000C260000}"/>
    <cellStyle name="Millares 3 2 2 2 2 2 2 2 2 4" xfId="18484" xr:uid="{00000000-0005-0000-0000-00000D260000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3" xfId="22943" xr:uid="{00000000-0005-0000-0000-000011260000}"/>
    <cellStyle name="Millares 3 2 2 2 2 2 2 2 3 3" xfId="13028" xr:uid="{00000000-0005-0000-0000-000012260000}"/>
    <cellStyle name="Millares 3 2 2 2 2 2 2 2 3 4" xfId="19715" xr:uid="{00000000-0005-0000-0000-000013260000}"/>
    <cellStyle name="Millares 3 2 2 2 2 2 2 2 4" xfId="7230" xr:uid="{00000000-0005-0000-0000-000014260000}"/>
    <cellStyle name="Millares 3 2 2 2 2 2 2 2 4 2" xfId="13808" xr:uid="{00000000-0005-0000-0000-000015260000}"/>
    <cellStyle name="Millares 3 2 2 2 2 2 2 2 4 3" xfId="20495" xr:uid="{00000000-0005-0000-0000-000016260000}"/>
    <cellStyle name="Millares 3 2 2 2 2 2 2 2 5" xfId="10491" xr:uid="{00000000-0005-0000-0000-000017260000}"/>
    <cellStyle name="Millares 3 2 2 2 2 2 2 2 6" xfId="17267" xr:uid="{00000000-0005-0000-0000-000018260000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3" xfId="21102" xr:uid="{00000000-0005-0000-0000-00001C260000}"/>
    <cellStyle name="Millares 3 2 2 2 2 2 2 3 3" xfId="11119" xr:uid="{00000000-0005-0000-0000-00001D260000}"/>
    <cellStyle name="Millares 3 2 2 2 2 2 2 3 4" xfId="17874" xr:uid="{00000000-0005-0000-0000-00001E260000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3" xfId="22333" xr:uid="{00000000-0005-0000-0000-000022260000}"/>
    <cellStyle name="Millares 3 2 2 2 2 2 2 4 3" xfId="12418" xr:uid="{00000000-0005-0000-0000-000023260000}"/>
    <cellStyle name="Millares 3 2 2 2 2 2 2 4 4" xfId="19105" xr:uid="{00000000-0005-0000-0000-000024260000}"/>
    <cellStyle name="Millares 3 2 2 2 2 2 2 5" xfId="6842" xr:uid="{00000000-0005-0000-0000-000025260000}"/>
    <cellStyle name="Millares 3 2 2 2 2 2 2 5 2" xfId="13420" xr:uid="{00000000-0005-0000-0000-000026260000}"/>
    <cellStyle name="Millares 3 2 2 2 2 2 2 5 3" xfId="20107" xr:uid="{00000000-0005-0000-0000-000027260000}"/>
    <cellStyle name="Millares 3 2 2 2 2 2 2 6" xfId="10102" xr:uid="{00000000-0005-0000-0000-000028260000}"/>
    <cellStyle name="Millares 3 2 2 2 2 2 2 7" xfId="16879" xr:uid="{00000000-0005-0000-0000-000029260000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3" xfId="21468" xr:uid="{00000000-0005-0000-0000-00002E260000}"/>
    <cellStyle name="Millares 3 2 2 2 2 2 3 2 3" xfId="11532" xr:uid="{00000000-0005-0000-0000-00002F260000}"/>
    <cellStyle name="Millares 3 2 2 2 2 2 3 2 4" xfId="18240" xr:uid="{00000000-0005-0000-0000-000030260000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3" xfId="22699" xr:uid="{00000000-0005-0000-0000-000034260000}"/>
    <cellStyle name="Millares 3 2 2 2 2 2 3 3 3" xfId="12784" xr:uid="{00000000-0005-0000-0000-000035260000}"/>
    <cellStyle name="Millares 3 2 2 2 2 2 3 3 4" xfId="19471" xr:uid="{00000000-0005-0000-0000-000036260000}"/>
    <cellStyle name="Millares 3 2 2 2 2 2 3 4" xfId="7037" xr:uid="{00000000-0005-0000-0000-000037260000}"/>
    <cellStyle name="Millares 3 2 2 2 2 2 3 4 2" xfId="13615" xr:uid="{00000000-0005-0000-0000-000038260000}"/>
    <cellStyle name="Millares 3 2 2 2 2 2 3 4 3" xfId="20302" xr:uid="{00000000-0005-0000-0000-000039260000}"/>
    <cellStyle name="Millares 3 2 2 2 2 2 3 5" xfId="10298" xr:uid="{00000000-0005-0000-0000-00003A260000}"/>
    <cellStyle name="Millares 3 2 2 2 2 2 3 6" xfId="17074" xr:uid="{00000000-0005-0000-0000-00003B260000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3" xfId="22758" xr:uid="{00000000-0005-0000-0000-000040260000}"/>
    <cellStyle name="Millares 3 2 2 2 2 2 4 2 3" xfId="12843" xr:uid="{00000000-0005-0000-0000-000041260000}"/>
    <cellStyle name="Millares 3 2 2 2 2 2 4 2 4" xfId="19530" xr:uid="{00000000-0005-0000-0000-000042260000}"/>
    <cellStyle name="Millares 3 2 2 2 2 2 4 3" xfId="8262" xr:uid="{00000000-0005-0000-0000-000043260000}"/>
    <cellStyle name="Millares 3 2 2 2 2 2 4 3 2" xfId="14840" xr:uid="{00000000-0005-0000-0000-000044260000}"/>
    <cellStyle name="Millares 3 2 2 2 2 2 4 3 3" xfId="21527" xr:uid="{00000000-0005-0000-0000-000045260000}"/>
    <cellStyle name="Millares 3 2 2 2 2 2 4 4" xfId="11591" xr:uid="{00000000-0005-0000-0000-000046260000}"/>
    <cellStyle name="Millares 3 2 2 2 2 2 4 5" xfId="18299" xr:uid="{00000000-0005-0000-0000-000047260000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3" xfId="20706" xr:uid="{00000000-0005-0000-0000-00004B260000}"/>
    <cellStyle name="Millares 3 2 2 2 2 2 5 3" xfId="10703" xr:uid="{00000000-0005-0000-0000-00004C260000}"/>
    <cellStyle name="Millares 3 2 2 2 2 2 5 4" xfId="17478" xr:uid="{00000000-0005-0000-0000-00004D260000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3" xfId="21937" xr:uid="{00000000-0005-0000-0000-000051260000}"/>
    <cellStyle name="Millares 3 2 2 2 2 2 6 3" xfId="12022" xr:uid="{00000000-0005-0000-0000-000052260000}"/>
    <cellStyle name="Millares 3 2 2 2 2 2 6 4" xfId="18709" xr:uid="{00000000-0005-0000-0000-000053260000}"/>
    <cellStyle name="Millares 3 2 2 2 2 2 7" xfId="6649" xr:uid="{00000000-0005-0000-0000-000054260000}"/>
    <cellStyle name="Millares 3 2 2 2 2 2 7 2" xfId="13227" xr:uid="{00000000-0005-0000-0000-000055260000}"/>
    <cellStyle name="Millares 3 2 2 2 2 2 7 3" xfId="19914" xr:uid="{00000000-0005-0000-0000-000056260000}"/>
    <cellStyle name="Millares 3 2 2 2 2 2 8" xfId="9894" xr:uid="{00000000-0005-0000-0000-000057260000}"/>
    <cellStyle name="Millares 3 2 2 2 2 2 9" xfId="16686" xr:uid="{00000000-0005-0000-0000-000058260000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3" xfId="21148" xr:uid="{00000000-0005-0000-0000-00005E260000}"/>
    <cellStyle name="Millares 3 2 2 2 2 3 2 2 3" xfId="11170" xr:uid="{00000000-0005-0000-0000-00005F260000}"/>
    <cellStyle name="Millares 3 2 2 2 2 3 2 2 4" xfId="17920" xr:uid="{00000000-0005-0000-0000-000060260000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3" xfId="22379" xr:uid="{00000000-0005-0000-0000-000064260000}"/>
    <cellStyle name="Millares 3 2 2 2 2 3 2 3 3" xfId="12464" xr:uid="{00000000-0005-0000-0000-000065260000}"/>
    <cellStyle name="Millares 3 2 2 2 2 3 2 3 4" xfId="19151" xr:uid="{00000000-0005-0000-0000-000066260000}"/>
    <cellStyle name="Millares 3 2 2 2 2 3 2 4" xfId="7138" xr:uid="{00000000-0005-0000-0000-000067260000}"/>
    <cellStyle name="Millares 3 2 2 2 2 3 2 4 2" xfId="13716" xr:uid="{00000000-0005-0000-0000-000068260000}"/>
    <cellStyle name="Millares 3 2 2 2 2 3 2 4 3" xfId="20403" xr:uid="{00000000-0005-0000-0000-000069260000}"/>
    <cellStyle name="Millares 3 2 2 2 2 3 2 5" xfId="10399" xr:uid="{00000000-0005-0000-0000-00006A260000}"/>
    <cellStyle name="Millares 3 2 2 2 2 3 2 6" xfId="17175" xr:uid="{00000000-0005-0000-0000-00006B260000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3" xfId="22851" xr:uid="{00000000-0005-0000-0000-000070260000}"/>
    <cellStyle name="Millares 3 2 2 2 2 3 3 2 3" xfId="12936" xr:uid="{00000000-0005-0000-0000-000071260000}"/>
    <cellStyle name="Millares 3 2 2 2 2 3 3 2 4" xfId="19623" xr:uid="{00000000-0005-0000-0000-000072260000}"/>
    <cellStyle name="Millares 3 2 2 2 2 3 3 3" xfId="8355" xr:uid="{00000000-0005-0000-0000-000073260000}"/>
    <cellStyle name="Millares 3 2 2 2 2 3 3 3 2" xfId="14933" xr:uid="{00000000-0005-0000-0000-000074260000}"/>
    <cellStyle name="Millares 3 2 2 2 2 3 3 3 3" xfId="21620" xr:uid="{00000000-0005-0000-0000-000075260000}"/>
    <cellStyle name="Millares 3 2 2 2 2 3 3 4" xfId="11696" xr:uid="{00000000-0005-0000-0000-000076260000}"/>
    <cellStyle name="Millares 3 2 2 2 2 3 3 5" xfId="18392" xr:uid="{00000000-0005-0000-0000-000077260000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3" xfId="20752" xr:uid="{00000000-0005-0000-0000-00007B260000}"/>
    <cellStyle name="Millares 3 2 2 2 2 3 4 3" xfId="10749" xr:uid="{00000000-0005-0000-0000-00007C260000}"/>
    <cellStyle name="Millares 3 2 2 2 2 3 4 4" xfId="17524" xr:uid="{00000000-0005-0000-0000-00007D260000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3" xfId="21983" xr:uid="{00000000-0005-0000-0000-000081260000}"/>
    <cellStyle name="Millares 3 2 2 2 2 3 5 3" xfId="12068" xr:uid="{00000000-0005-0000-0000-000082260000}"/>
    <cellStyle name="Millares 3 2 2 2 2 3 5 4" xfId="18755" xr:uid="{00000000-0005-0000-0000-000083260000}"/>
    <cellStyle name="Millares 3 2 2 2 2 3 6" xfId="6750" xr:uid="{00000000-0005-0000-0000-000084260000}"/>
    <cellStyle name="Millares 3 2 2 2 2 3 6 2" xfId="13328" xr:uid="{00000000-0005-0000-0000-000085260000}"/>
    <cellStyle name="Millares 3 2 2 2 2 3 6 3" xfId="20015" xr:uid="{00000000-0005-0000-0000-000086260000}"/>
    <cellStyle name="Millares 3 2 2 2 2 3 7" xfId="10002" xr:uid="{00000000-0005-0000-0000-000087260000}"/>
    <cellStyle name="Millares 3 2 2 2 2 3 8" xfId="16787" xr:uid="{00000000-0005-0000-0000-000088260000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3" xfId="22515" xr:uid="{00000000-0005-0000-0000-00008E260000}"/>
    <cellStyle name="Millares 3 2 2 2 2 4 2 2 3" xfId="12600" xr:uid="{00000000-0005-0000-0000-00008F260000}"/>
    <cellStyle name="Millares 3 2 2 2 2 4 2 2 4" xfId="19287" xr:uid="{00000000-0005-0000-0000-000090260000}"/>
    <cellStyle name="Millares 3 2 2 2 2 4 2 3" xfId="8019" xr:uid="{00000000-0005-0000-0000-000091260000}"/>
    <cellStyle name="Millares 3 2 2 2 2 4 2 3 2" xfId="14597" xr:uid="{00000000-0005-0000-0000-000092260000}"/>
    <cellStyle name="Millares 3 2 2 2 2 4 2 3 3" xfId="21284" xr:uid="{00000000-0005-0000-0000-000093260000}"/>
    <cellStyle name="Millares 3 2 2 2 2 4 2 4" xfId="11318" xr:uid="{00000000-0005-0000-0000-000094260000}"/>
    <cellStyle name="Millares 3 2 2 2 2 4 2 5" xfId="18056" xr:uid="{00000000-0005-0000-0000-000095260000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3" xfId="20888" xr:uid="{00000000-0005-0000-0000-000099260000}"/>
    <cellStyle name="Millares 3 2 2 2 2 4 3 3" xfId="10893" xr:uid="{00000000-0005-0000-0000-00009A260000}"/>
    <cellStyle name="Millares 3 2 2 2 2 4 3 4" xfId="17660" xr:uid="{00000000-0005-0000-0000-00009B260000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3" xfId="22119" xr:uid="{00000000-0005-0000-0000-00009F260000}"/>
    <cellStyle name="Millares 3 2 2 2 2 4 4 3" xfId="12204" xr:uid="{00000000-0005-0000-0000-0000A0260000}"/>
    <cellStyle name="Millares 3 2 2 2 2 4 4 4" xfId="18891" xr:uid="{00000000-0005-0000-0000-0000A1260000}"/>
    <cellStyle name="Millares 3 2 2 2 2 4 5" xfId="6945" xr:uid="{00000000-0005-0000-0000-0000A2260000}"/>
    <cellStyle name="Millares 3 2 2 2 2 4 5 2" xfId="13523" xr:uid="{00000000-0005-0000-0000-0000A3260000}"/>
    <cellStyle name="Millares 3 2 2 2 2 4 5 3" xfId="20210" xr:uid="{00000000-0005-0000-0000-0000A4260000}"/>
    <cellStyle name="Millares 3 2 2 2 2 4 6" xfId="10206" xr:uid="{00000000-0005-0000-0000-0000A5260000}"/>
    <cellStyle name="Millares 3 2 2 2 2 4 7" xfId="16982" xr:uid="{00000000-0005-0000-0000-0000A6260000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3" xfId="22227" xr:uid="{00000000-0005-0000-0000-0000AB260000}"/>
    <cellStyle name="Millares 3 2 2 2 2 5 2 3" xfId="12312" xr:uid="{00000000-0005-0000-0000-0000AC260000}"/>
    <cellStyle name="Millares 3 2 2 2 2 5 2 4" xfId="18999" xr:uid="{00000000-0005-0000-0000-0000AD260000}"/>
    <cellStyle name="Millares 3 2 2 2 2 5 3" xfId="7731" xr:uid="{00000000-0005-0000-0000-0000AE260000}"/>
    <cellStyle name="Millares 3 2 2 2 2 5 3 2" xfId="14309" xr:uid="{00000000-0005-0000-0000-0000AF260000}"/>
    <cellStyle name="Millares 3 2 2 2 2 5 3 3" xfId="20996" xr:uid="{00000000-0005-0000-0000-0000B0260000}"/>
    <cellStyle name="Millares 3 2 2 2 2 5 4" xfId="11011" xr:uid="{00000000-0005-0000-0000-0000B1260000}"/>
    <cellStyle name="Millares 3 2 2 2 2 5 5" xfId="17768" xr:uid="{00000000-0005-0000-0000-0000B2260000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3" xfId="22607" xr:uid="{00000000-0005-0000-0000-0000B7260000}"/>
    <cellStyle name="Millares 3 2 2 2 2 6 2 3" xfId="12692" xr:uid="{00000000-0005-0000-0000-0000B8260000}"/>
    <cellStyle name="Millares 3 2 2 2 2 6 2 4" xfId="19379" xr:uid="{00000000-0005-0000-0000-0000B9260000}"/>
    <cellStyle name="Millares 3 2 2 2 2 6 3" xfId="8111" xr:uid="{00000000-0005-0000-0000-0000BA260000}"/>
    <cellStyle name="Millares 3 2 2 2 2 6 3 2" xfId="14689" xr:uid="{00000000-0005-0000-0000-0000BB260000}"/>
    <cellStyle name="Millares 3 2 2 2 2 6 3 3" xfId="21376" xr:uid="{00000000-0005-0000-0000-0000BC260000}"/>
    <cellStyle name="Millares 3 2 2 2 2 6 4" xfId="11422" xr:uid="{00000000-0005-0000-0000-0000BD260000}"/>
    <cellStyle name="Millares 3 2 2 2 2 6 5" xfId="18148" xr:uid="{00000000-0005-0000-0000-0000BE26000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3" xfId="22734" xr:uid="{00000000-0005-0000-0000-0000C3260000}"/>
    <cellStyle name="Millares 3 2 2 2 2 7 2 3" xfId="12819" xr:uid="{00000000-0005-0000-0000-0000C4260000}"/>
    <cellStyle name="Millares 3 2 2 2 2 7 2 4" xfId="19506" xr:uid="{00000000-0005-0000-0000-0000C5260000}"/>
    <cellStyle name="Millares 3 2 2 2 2 7 3" xfId="8238" xr:uid="{00000000-0005-0000-0000-0000C6260000}"/>
    <cellStyle name="Millares 3 2 2 2 2 7 3 2" xfId="14816" xr:uid="{00000000-0005-0000-0000-0000C7260000}"/>
    <cellStyle name="Millares 3 2 2 2 2 7 3 3" xfId="21503" xr:uid="{00000000-0005-0000-0000-0000C8260000}"/>
    <cellStyle name="Millares 3 2 2 2 2 7 4" xfId="11567" xr:uid="{00000000-0005-0000-0000-0000C9260000}"/>
    <cellStyle name="Millares 3 2 2 2 2 7 5" xfId="18275" xr:uid="{00000000-0005-0000-0000-0000CA260000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3" xfId="20600" xr:uid="{00000000-0005-0000-0000-0000CE260000}"/>
    <cellStyle name="Millares 3 2 2 2 2 8 3" xfId="10597" xr:uid="{00000000-0005-0000-0000-0000CF260000}"/>
    <cellStyle name="Millares 3 2 2 2 2 8 4" xfId="17372" xr:uid="{00000000-0005-0000-0000-0000D0260000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3" xfId="21831" xr:uid="{00000000-0005-0000-0000-0000D4260000}"/>
    <cellStyle name="Millares 3 2 2 2 2 9 3" xfId="11916" xr:uid="{00000000-0005-0000-0000-0000D5260000}"/>
    <cellStyle name="Millares 3 2 2 2 2 9 4" xfId="18603" xr:uid="{00000000-0005-0000-0000-0000D6260000}"/>
    <cellStyle name="Millares 3 2 2 2 3" xfId="566" xr:uid="{00000000-0005-0000-0000-0000D7260000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3" xfId="21667" xr:uid="{00000000-0005-0000-0000-0000DD260000}"/>
    <cellStyle name="Millares 3 2 2 2 3 2 2 2 3" xfId="11746" xr:uid="{00000000-0005-0000-0000-0000DE260000}"/>
    <cellStyle name="Millares 3 2 2 2 3 2 2 2 4" xfId="18439" xr:uid="{00000000-0005-0000-0000-0000DF260000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3" xfId="22898" xr:uid="{00000000-0005-0000-0000-0000E3260000}"/>
    <cellStyle name="Millares 3 2 2 2 3 2 2 3 3" xfId="12983" xr:uid="{00000000-0005-0000-0000-0000E4260000}"/>
    <cellStyle name="Millares 3 2 2 2 3 2 2 3 4" xfId="19670" xr:uid="{00000000-0005-0000-0000-0000E5260000}"/>
    <cellStyle name="Millares 3 2 2 2 3 2 2 4" xfId="7185" xr:uid="{00000000-0005-0000-0000-0000E6260000}"/>
    <cellStyle name="Millares 3 2 2 2 3 2 2 4 2" xfId="13763" xr:uid="{00000000-0005-0000-0000-0000E7260000}"/>
    <cellStyle name="Millares 3 2 2 2 3 2 2 4 3" xfId="20450" xr:uid="{00000000-0005-0000-0000-0000E8260000}"/>
    <cellStyle name="Millares 3 2 2 2 3 2 2 5" xfId="10446" xr:uid="{00000000-0005-0000-0000-0000E9260000}"/>
    <cellStyle name="Millares 3 2 2 2 3 2 2 6" xfId="17222" xr:uid="{00000000-0005-0000-0000-0000EA260000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3" xfId="21057" xr:uid="{00000000-0005-0000-0000-0000EE260000}"/>
    <cellStyle name="Millares 3 2 2 2 3 2 3 3" xfId="11073" xr:uid="{00000000-0005-0000-0000-0000EF260000}"/>
    <cellStyle name="Millares 3 2 2 2 3 2 3 4" xfId="17829" xr:uid="{00000000-0005-0000-0000-0000F0260000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3" xfId="22288" xr:uid="{00000000-0005-0000-0000-0000F4260000}"/>
    <cellStyle name="Millares 3 2 2 2 3 2 4 3" xfId="12373" xr:uid="{00000000-0005-0000-0000-0000F5260000}"/>
    <cellStyle name="Millares 3 2 2 2 3 2 4 4" xfId="19060" xr:uid="{00000000-0005-0000-0000-0000F6260000}"/>
    <cellStyle name="Millares 3 2 2 2 3 2 5" xfId="6797" xr:uid="{00000000-0005-0000-0000-0000F7260000}"/>
    <cellStyle name="Millares 3 2 2 2 3 2 5 2" xfId="13375" xr:uid="{00000000-0005-0000-0000-0000F8260000}"/>
    <cellStyle name="Millares 3 2 2 2 3 2 5 3" xfId="20062" xr:uid="{00000000-0005-0000-0000-0000F9260000}"/>
    <cellStyle name="Millares 3 2 2 2 3 2 6" xfId="10053" xr:uid="{00000000-0005-0000-0000-0000FA260000}"/>
    <cellStyle name="Millares 3 2 2 2 3 2 7" xfId="16834" xr:uid="{00000000-0005-0000-0000-0000FB260000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3" xfId="21423" xr:uid="{00000000-0005-0000-0000-000000270000}"/>
    <cellStyle name="Millares 3 2 2 2 3 3 2 3" xfId="11477" xr:uid="{00000000-0005-0000-0000-000001270000}"/>
    <cellStyle name="Millares 3 2 2 2 3 3 2 4" xfId="18195" xr:uid="{00000000-0005-0000-0000-000002270000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3" xfId="22654" xr:uid="{00000000-0005-0000-0000-000006270000}"/>
    <cellStyle name="Millares 3 2 2 2 3 3 3 3" xfId="12739" xr:uid="{00000000-0005-0000-0000-000007270000}"/>
    <cellStyle name="Millares 3 2 2 2 3 3 3 4" xfId="19426" xr:uid="{00000000-0005-0000-0000-000008270000}"/>
    <cellStyle name="Millares 3 2 2 2 3 3 4" xfId="6992" xr:uid="{00000000-0005-0000-0000-000009270000}"/>
    <cellStyle name="Millares 3 2 2 2 3 3 4 2" xfId="13570" xr:uid="{00000000-0005-0000-0000-00000A270000}"/>
    <cellStyle name="Millares 3 2 2 2 3 3 4 3" xfId="20257" xr:uid="{00000000-0005-0000-0000-00000B270000}"/>
    <cellStyle name="Millares 3 2 2 2 3 3 5" xfId="10253" xr:uid="{00000000-0005-0000-0000-00000C270000}"/>
    <cellStyle name="Millares 3 2 2 2 3 3 6" xfId="17029" xr:uid="{00000000-0005-0000-0000-00000D270000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3" xfId="22746" xr:uid="{00000000-0005-0000-0000-000012270000}"/>
    <cellStyle name="Millares 3 2 2 2 3 4 2 3" xfId="12831" xr:uid="{00000000-0005-0000-0000-000013270000}"/>
    <cellStyle name="Millares 3 2 2 2 3 4 2 4" xfId="19518" xr:uid="{00000000-0005-0000-0000-000014270000}"/>
    <cellStyle name="Millares 3 2 2 2 3 4 3" xfId="8250" xr:uid="{00000000-0005-0000-0000-000015270000}"/>
    <cellStyle name="Millares 3 2 2 2 3 4 3 2" xfId="14828" xr:uid="{00000000-0005-0000-0000-000016270000}"/>
    <cellStyle name="Millares 3 2 2 2 3 4 3 3" xfId="21515" xr:uid="{00000000-0005-0000-0000-000017270000}"/>
    <cellStyle name="Millares 3 2 2 2 3 4 4" xfId="11579" xr:uid="{00000000-0005-0000-0000-000018270000}"/>
    <cellStyle name="Millares 3 2 2 2 3 4 5" xfId="18287" xr:uid="{00000000-0005-0000-0000-000019270000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3" xfId="20661" xr:uid="{00000000-0005-0000-0000-00001D270000}"/>
    <cellStyle name="Millares 3 2 2 2 3 5 3" xfId="10658" xr:uid="{00000000-0005-0000-0000-00001E270000}"/>
    <cellStyle name="Millares 3 2 2 2 3 5 4" xfId="17433" xr:uid="{00000000-0005-0000-0000-00001F270000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3" xfId="21892" xr:uid="{00000000-0005-0000-0000-000023270000}"/>
    <cellStyle name="Millares 3 2 2 2 3 6 3" xfId="11977" xr:uid="{00000000-0005-0000-0000-000024270000}"/>
    <cellStyle name="Millares 3 2 2 2 3 6 4" xfId="18664" xr:uid="{00000000-0005-0000-0000-000025270000}"/>
    <cellStyle name="Millares 3 2 2 2 3 7" xfId="6604" xr:uid="{00000000-0005-0000-0000-000026270000}"/>
    <cellStyle name="Millares 3 2 2 2 3 7 2" xfId="13182" xr:uid="{00000000-0005-0000-0000-000027270000}"/>
    <cellStyle name="Millares 3 2 2 2 3 7 3" xfId="19869" xr:uid="{00000000-0005-0000-0000-000028270000}"/>
    <cellStyle name="Millares 3 2 2 2 3 8" xfId="9844" xr:uid="{00000000-0005-0000-0000-000029270000}"/>
    <cellStyle name="Millares 3 2 2 2 3 9" xfId="16641" xr:uid="{00000000-0005-0000-0000-00002A270000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3" xfId="21147" xr:uid="{00000000-0005-0000-0000-000030270000}"/>
    <cellStyle name="Millares 3 2 2 2 4 2 2 3" xfId="11169" xr:uid="{00000000-0005-0000-0000-000031270000}"/>
    <cellStyle name="Millares 3 2 2 2 4 2 2 4" xfId="17919" xr:uid="{00000000-0005-0000-0000-000032270000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3" xfId="22378" xr:uid="{00000000-0005-0000-0000-000036270000}"/>
    <cellStyle name="Millares 3 2 2 2 4 2 3 3" xfId="12463" xr:uid="{00000000-0005-0000-0000-000037270000}"/>
    <cellStyle name="Millares 3 2 2 2 4 2 3 4" xfId="19150" xr:uid="{00000000-0005-0000-0000-000038270000}"/>
    <cellStyle name="Millares 3 2 2 2 4 2 4" xfId="7092" xr:uid="{00000000-0005-0000-0000-000039270000}"/>
    <cellStyle name="Millares 3 2 2 2 4 2 4 2" xfId="13670" xr:uid="{00000000-0005-0000-0000-00003A270000}"/>
    <cellStyle name="Millares 3 2 2 2 4 2 4 3" xfId="20357" xr:uid="{00000000-0005-0000-0000-00003B270000}"/>
    <cellStyle name="Millares 3 2 2 2 4 2 5" xfId="10353" xr:uid="{00000000-0005-0000-0000-00003C270000}"/>
    <cellStyle name="Millares 3 2 2 2 4 2 6" xfId="17129" xr:uid="{00000000-0005-0000-0000-00003D270000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3" xfId="22805" xr:uid="{00000000-0005-0000-0000-000042270000}"/>
    <cellStyle name="Millares 3 2 2 2 4 3 2 3" xfId="12890" xr:uid="{00000000-0005-0000-0000-000043270000}"/>
    <cellStyle name="Millares 3 2 2 2 4 3 2 4" xfId="19577" xr:uid="{00000000-0005-0000-0000-000044270000}"/>
    <cellStyle name="Millares 3 2 2 2 4 3 3" xfId="8309" xr:uid="{00000000-0005-0000-0000-000045270000}"/>
    <cellStyle name="Millares 3 2 2 2 4 3 3 2" xfId="14887" xr:uid="{00000000-0005-0000-0000-000046270000}"/>
    <cellStyle name="Millares 3 2 2 2 4 3 3 3" xfId="21574" xr:uid="{00000000-0005-0000-0000-000047270000}"/>
    <cellStyle name="Millares 3 2 2 2 4 3 4" xfId="11643" xr:uid="{00000000-0005-0000-0000-000048270000}"/>
    <cellStyle name="Millares 3 2 2 2 4 3 5" xfId="18346" xr:uid="{00000000-0005-0000-0000-000049270000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3" xfId="20751" xr:uid="{00000000-0005-0000-0000-00004D270000}"/>
    <cellStyle name="Millares 3 2 2 2 4 4 3" xfId="10748" xr:uid="{00000000-0005-0000-0000-00004E270000}"/>
    <cellStyle name="Millares 3 2 2 2 4 4 4" xfId="17523" xr:uid="{00000000-0005-0000-0000-00004F270000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3" xfId="21982" xr:uid="{00000000-0005-0000-0000-000053270000}"/>
    <cellStyle name="Millares 3 2 2 2 4 5 3" xfId="12067" xr:uid="{00000000-0005-0000-0000-000054270000}"/>
    <cellStyle name="Millares 3 2 2 2 4 5 4" xfId="18754" xr:uid="{00000000-0005-0000-0000-000055270000}"/>
    <cellStyle name="Millares 3 2 2 2 4 6" xfId="6704" xr:uid="{00000000-0005-0000-0000-000056270000}"/>
    <cellStyle name="Millares 3 2 2 2 4 6 2" xfId="13282" xr:uid="{00000000-0005-0000-0000-000057270000}"/>
    <cellStyle name="Millares 3 2 2 2 4 6 3" xfId="19969" xr:uid="{00000000-0005-0000-0000-000058270000}"/>
    <cellStyle name="Millares 3 2 2 2 4 7" xfId="9952" xr:uid="{00000000-0005-0000-0000-000059270000}"/>
    <cellStyle name="Millares 3 2 2 2 4 8" xfId="16741" xr:uid="{00000000-0005-0000-0000-00005A270000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3" xfId="22470" xr:uid="{00000000-0005-0000-0000-000060270000}"/>
    <cellStyle name="Millares 3 2 2 2 5 2 2 3" xfId="12555" xr:uid="{00000000-0005-0000-0000-000061270000}"/>
    <cellStyle name="Millares 3 2 2 2 5 2 2 4" xfId="19242" xr:uid="{00000000-0005-0000-0000-000062270000}"/>
    <cellStyle name="Millares 3 2 2 2 5 2 3" xfId="7974" xr:uid="{00000000-0005-0000-0000-000063270000}"/>
    <cellStyle name="Millares 3 2 2 2 5 2 3 2" xfId="14552" xr:uid="{00000000-0005-0000-0000-000064270000}"/>
    <cellStyle name="Millares 3 2 2 2 5 2 3 3" xfId="21239" xr:uid="{00000000-0005-0000-0000-000065270000}"/>
    <cellStyle name="Millares 3 2 2 2 5 2 4" xfId="11270" xr:uid="{00000000-0005-0000-0000-000066270000}"/>
    <cellStyle name="Millares 3 2 2 2 5 2 5" xfId="18011" xr:uid="{00000000-0005-0000-0000-000067270000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3" xfId="20843" xr:uid="{00000000-0005-0000-0000-00006B270000}"/>
    <cellStyle name="Millares 3 2 2 2 5 3 3" xfId="10841" xr:uid="{00000000-0005-0000-0000-00006C270000}"/>
    <cellStyle name="Millares 3 2 2 2 5 3 4" xfId="17615" xr:uid="{00000000-0005-0000-0000-00006D270000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3" xfId="22074" xr:uid="{00000000-0005-0000-0000-000071270000}"/>
    <cellStyle name="Millares 3 2 2 2 5 4 3" xfId="12159" xr:uid="{00000000-0005-0000-0000-000072270000}"/>
    <cellStyle name="Millares 3 2 2 2 5 4 4" xfId="18846" xr:uid="{00000000-0005-0000-0000-000073270000}"/>
    <cellStyle name="Millares 3 2 2 2 5 5" xfId="6899" xr:uid="{00000000-0005-0000-0000-000074270000}"/>
    <cellStyle name="Millares 3 2 2 2 5 5 2" xfId="13477" xr:uid="{00000000-0005-0000-0000-000075270000}"/>
    <cellStyle name="Millares 3 2 2 2 5 5 3" xfId="20164" xr:uid="{00000000-0005-0000-0000-000076270000}"/>
    <cellStyle name="Millares 3 2 2 2 5 6" xfId="10160" xr:uid="{00000000-0005-0000-0000-000077270000}"/>
    <cellStyle name="Millares 3 2 2 2 5 7" xfId="16936" xr:uid="{00000000-0005-0000-0000-000078270000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3" xfId="22182" xr:uid="{00000000-0005-0000-0000-00007D270000}"/>
    <cellStyle name="Millares 3 2 2 2 6 2 3" xfId="12267" xr:uid="{00000000-0005-0000-0000-00007E270000}"/>
    <cellStyle name="Millares 3 2 2 2 6 2 4" xfId="18954" xr:uid="{00000000-0005-0000-0000-00007F270000}"/>
    <cellStyle name="Millares 3 2 2 2 6 3" xfId="7686" xr:uid="{00000000-0005-0000-0000-000080270000}"/>
    <cellStyle name="Millares 3 2 2 2 6 3 2" xfId="14264" xr:uid="{00000000-0005-0000-0000-000081270000}"/>
    <cellStyle name="Millares 3 2 2 2 6 3 3" xfId="20951" xr:uid="{00000000-0005-0000-0000-000082270000}"/>
    <cellStyle name="Millares 3 2 2 2 6 4" xfId="10959" xr:uid="{00000000-0005-0000-0000-000083270000}"/>
    <cellStyle name="Millares 3 2 2 2 6 5" xfId="17723" xr:uid="{00000000-0005-0000-0000-000084270000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3" xfId="22562" xr:uid="{00000000-0005-0000-0000-000089270000}"/>
    <cellStyle name="Millares 3 2 2 2 7 2 3" xfId="12647" xr:uid="{00000000-0005-0000-0000-00008A270000}"/>
    <cellStyle name="Millares 3 2 2 2 7 2 4" xfId="19334" xr:uid="{00000000-0005-0000-0000-00008B270000}"/>
    <cellStyle name="Millares 3 2 2 2 7 3" xfId="8066" xr:uid="{00000000-0005-0000-0000-00008C270000}"/>
    <cellStyle name="Millares 3 2 2 2 7 3 2" xfId="14644" xr:uid="{00000000-0005-0000-0000-00008D270000}"/>
    <cellStyle name="Millares 3 2 2 2 7 3 3" xfId="21331" xr:uid="{00000000-0005-0000-0000-00008E270000}"/>
    <cellStyle name="Millares 3 2 2 2 7 4" xfId="11368" xr:uid="{00000000-0005-0000-0000-00008F270000}"/>
    <cellStyle name="Millares 3 2 2 2 7 5" xfId="18103" xr:uid="{00000000-0005-0000-0000-00009027000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3" xfId="22722" xr:uid="{00000000-0005-0000-0000-000095270000}"/>
    <cellStyle name="Millares 3 2 2 2 8 2 3" xfId="12807" xr:uid="{00000000-0005-0000-0000-000096270000}"/>
    <cellStyle name="Millares 3 2 2 2 8 2 4" xfId="19494" xr:uid="{00000000-0005-0000-0000-000097270000}"/>
    <cellStyle name="Millares 3 2 2 2 8 3" xfId="8226" xr:uid="{00000000-0005-0000-0000-000098270000}"/>
    <cellStyle name="Millares 3 2 2 2 8 3 2" xfId="14804" xr:uid="{00000000-0005-0000-0000-000099270000}"/>
    <cellStyle name="Millares 3 2 2 2 8 3 3" xfId="21491" xr:uid="{00000000-0005-0000-0000-00009A270000}"/>
    <cellStyle name="Millares 3 2 2 2 8 4" xfId="11555" xr:uid="{00000000-0005-0000-0000-00009B270000}"/>
    <cellStyle name="Millares 3 2 2 2 8 5" xfId="18263" xr:uid="{00000000-0005-0000-0000-00009C270000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3" xfId="20555" xr:uid="{00000000-0005-0000-0000-0000A0270000}"/>
    <cellStyle name="Millares 3 2 2 2 9 3" xfId="10552" xr:uid="{00000000-0005-0000-0000-0000A1270000}"/>
    <cellStyle name="Millares 3 2 2 2 9 4" xfId="17327" xr:uid="{00000000-0005-0000-0000-0000A2270000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3" xfId="19800" xr:uid="{00000000-0005-0000-0000-0000A6270000}"/>
    <cellStyle name="Millares 3 2 2 3 11" xfId="9771" xr:uid="{00000000-0005-0000-0000-0000A7270000}"/>
    <cellStyle name="Millares 3 2 2 3 12" xfId="16572" xr:uid="{00000000-0005-0000-0000-0000A8270000}"/>
    <cellStyle name="Millares 3 2 2 3 2" xfId="654" xr:uid="{00000000-0005-0000-0000-0000A9270000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3" xfId="21690" xr:uid="{00000000-0005-0000-0000-0000AF270000}"/>
    <cellStyle name="Millares 3 2 2 3 2 2 2 2 3" xfId="11773" xr:uid="{00000000-0005-0000-0000-0000B0270000}"/>
    <cellStyle name="Millares 3 2 2 3 2 2 2 2 4" xfId="18462" xr:uid="{00000000-0005-0000-0000-0000B1270000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3" xfId="22921" xr:uid="{00000000-0005-0000-0000-0000B5270000}"/>
    <cellStyle name="Millares 3 2 2 3 2 2 2 3 3" xfId="13006" xr:uid="{00000000-0005-0000-0000-0000B6270000}"/>
    <cellStyle name="Millares 3 2 2 3 2 2 2 3 4" xfId="19693" xr:uid="{00000000-0005-0000-0000-0000B7270000}"/>
    <cellStyle name="Millares 3 2 2 3 2 2 2 4" xfId="7208" xr:uid="{00000000-0005-0000-0000-0000B8270000}"/>
    <cellStyle name="Millares 3 2 2 3 2 2 2 4 2" xfId="13786" xr:uid="{00000000-0005-0000-0000-0000B9270000}"/>
    <cellStyle name="Millares 3 2 2 3 2 2 2 4 3" xfId="20473" xr:uid="{00000000-0005-0000-0000-0000BA270000}"/>
    <cellStyle name="Millares 3 2 2 3 2 2 2 5" xfId="10469" xr:uid="{00000000-0005-0000-0000-0000BB270000}"/>
    <cellStyle name="Millares 3 2 2 3 2 2 2 6" xfId="17245" xr:uid="{00000000-0005-0000-0000-0000BC270000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3" xfId="21080" xr:uid="{00000000-0005-0000-0000-0000C0270000}"/>
    <cellStyle name="Millares 3 2 2 3 2 2 3 3" xfId="11097" xr:uid="{00000000-0005-0000-0000-0000C1270000}"/>
    <cellStyle name="Millares 3 2 2 3 2 2 3 4" xfId="17852" xr:uid="{00000000-0005-0000-0000-0000C2270000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3" xfId="22311" xr:uid="{00000000-0005-0000-0000-0000C6270000}"/>
    <cellStyle name="Millares 3 2 2 3 2 2 4 3" xfId="12396" xr:uid="{00000000-0005-0000-0000-0000C7270000}"/>
    <cellStyle name="Millares 3 2 2 3 2 2 4 4" xfId="19083" xr:uid="{00000000-0005-0000-0000-0000C8270000}"/>
    <cellStyle name="Millares 3 2 2 3 2 2 5" xfId="6820" xr:uid="{00000000-0005-0000-0000-0000C9270000}"/>
    <cellStyle name="Millares 3 2 2 3 2 2 5 2" xfId="13398" xr:uid="{00000000-0005-0000-0000-0000CA270000}"/>
    <cellStyle name="Millares 3 2 2 3 2 2 5 3" xfId="20085" xr:uid="{00000000-0005-0000-0000-0000CB270000}"/>
    <cellStyle name="Millares 3 2 2 3 2 2 6" xfId="10078" xr:uid="{00000000-0005-0000-0000-0000CC270000}"/>
    <cellStyle name="Millares 3 2 2 3 2 2 7" xfId="16857" xr:uid="{00000000-0005-0000-0000-0000CD270000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3" xfId="21446" xr:uid="{00000000-0005-0000-0000-0000D2270000}"/>
    <cellStyle name="Millares 3 2 2 3 2 3 2 3" xfId="11506" xr:uid="{00000000-0005-0000-0000-0000D3270000}"/>
    <cellStyle name="Millares 3 2 2 3 2 3 2 4" xfId="18218" xr:uid="{00000000-0005-0000-0000-0000D4270000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3" xfId="22677" xr:uid="{00000000-0005-0000-0000-0000D8270000}"/>
    <cellStyle name="Millares 3 2 2 3 2 3 3 3" xfId="12762" xr:uid="{00000000-0005-0000-0000-0000D9270000}"/>
    <cellStyle name="Millares 3 2 2 3 2 3 3 4" xfId="19449" xr:uid="{00000000-0005-0000-0000-0000DA270000}"/>
    <cellStyle name="Millares 3 2 2 3 2 3 4" xfId="7015" xr:uid="{00000000-0005-0000-0000-0000DB270000}"/>
    <cellStyle name="Millares 3 2 2 3 2 3 4 2" xfId="13593" xr:uid="{00000000-0005-0000-0000-0000DC270000}"/>
    <cellStyle name="Millares 3 2 2 3 2 3 4 3" xfId="20280" xr:uid="{00000000-0005-0000-0000-0000DD270000}"/>
    <cellStyle name="Millares 3 2 2 3 2 3 5" xfId="10276" xr:uid="{00000000-0005-0000-0000-0000DE270000}"/>
    <cellStyle name="Millares 3 2 2 3 2 3 6" xfId="17052" xr:uid="{00000000-0005-0000-0000-0000DF270000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3" xfId="22752" xr:uid="{00000000-0005-0000-0000-0000E4270000}"/>
    <cellStyle name="Millares 3 2 2 3 2 4 2 3" xfId="12837" xr:uid="{00000000-0005-0000-0000-0000E5270000}"/>
    <cellStyle name="Millares 3 2 2 3 2 4 2 4" xfId="19524" xr:uid="{00000000-0005-0000-0000-0000E6270000}"/>
    <cellStyle name="Millares 3 2 2 3 2 4 3" xfId="8256" xr:uid="{00000000-0005-0000-0000-0000E7270000}"/>
    <cellStyle name="Millares 3 2 2 3 2 4 3 2" xfId="14834" xr:uid="{00000000-0005-0000-0000-0000E8270000}"/>
    <cellStyle name="Millares 3 2 2 3 2 4 3 3" xfId="21521" xr:uid="{00000000-0005-0000-0000-0000E9270000}"/>
    <cellStyle name="Millares 3 2 2 3 2 4 4" xfId="11585" xr:uid="{00000000-0005-0000-0000-0000EA270000}"/>
    <cellStyle name="Millares 3 2 2 3 2 4 5" xfId="18293" xr:uid="{00000000-0005-0000-0000-0000EB270000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3" xfId="20684" xr:uid="{00000000-0005-0000-0000-0000EF270000}"/>
    <cellStyle name="Millares 3 2 2 3 2 5 3" xfId="10681" xr:uid="{00000000-0005-0000-0000-0000F0270000}"/>
    <cellStyle name="Millares 3 2 2 3 2 5 4" xfId="17456" xr:uid="{00000000-0005-0000-0000-0000F1270000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3" xfId="21915" xr:uid="{00000000-0005-0000-0000-0000F5270000}"/>
    <cellStyle name="Millares 3 2 2 3 2 6 3" xfId="12000" xr:uid="{00000000-0005-0000-0000-0000F6270000}"/>
    <cellStyle name="Millares 3 2 2 3 2 6 4" xfId="18687" xr:uid="{00000000-0005-0000-0000-0000F7270000}"/>
    <cellStyle name="Millares 3 2 2 3 2 7" xfId="6627" xr:uid="{00000000-0005-0000-0000-0000F8270000}"/>
    <cellStyle name="Millares 3 2 2 3 2 7 2" xfId="13205" xr:uid="{00000000-0005-0000-0000-0000F9270000}"/>
    <cellStyle name="Millares 3 2 2 3 2 7 3" xfId="19892" xr:uid="{00000000-0005-0000-0000-0000FA270000}"/>
    <cellStyle name="Millares 3 2 2 3 2 8" xfId="9870" xr:uid="{00000000-0005-0000-0000-0000FB270000}"/>
    <cellStyle name="Millares 3 2 2 3 2 9" xfId="16664" xr:uid="{00000000-0005-0000-0000-0000FC270000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3" xfId="21149" xr:uid="{00000000-0005-0000-0000-000002280000}"/>
    <cellStyle name="Millares 3 2 2 3 3 2 2 3" xfId="11171" xr:uid="{00000000-0005-0000-0000-000003280000}"/>
    <cellStyle name="Millares 3 2 2 3 3 2 2 4" xfId="17921" xr:uid="{00000000-0005-0000-0000-000004280000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3" xfId="22380" xr:uid="{00000000-0005-0000-0000-000008280000}"/>
    <cellStyle name="Millares 3 2 2 3 3 2 3 3" xfId="12465" xr:uid="{00000000-0005-0000-0000-000009280000}"/>
    <cellStyle name="Millares 3 2 2 3 3 2 3 4" xfId="19152" xr:uid="{00000000-0005-0000-0000-00000A280000}"/>
    <cellStyle name="Millares 3 2 2 3 3 2 4" xfId="7116" xr:uid="{00000000-0005-0000-0000-00000B280000}"/>
    <cellStyle name="Millares 3 2 2 3 3 2 4 2" xfId="13694" xr:uid="{00000000-0005-0000-0000-00000C280000}"/>
    <cellStyle name="Millares 3 2 2 3 3 2 4 3" xfId="20381" xr:uid="{00000000-0005-0000-0000-00000D280000}"/>
    <cellStyle name="Millares 3 2 2 3 3 2 5" xfId="10377" xr:uid="{00000000-0005-0000-0000-00000E280000}"/>
    <cellStyle name="Millares 3 2 2 3 3 2 6" xfId="17153" xr:uid="{00000000-0005-0000-0000-00000F280000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3" xfId="22829" xr:uid="{00000000-0005-0000-0000-000014280000}"/>
    <cellStyle name="Millares 3 2 2 3 3 3 2 3" xfId="12914" xr:uid="{00000000-0005-0000-0000-000015280000}"/>
    <cellStyle name="Millares 3 2 2 3 3 3 2 4" xfId="19601" xr:uid="{00000000-0005-0000-0000-000016280000}"/>
    <cellStyle name="Millares 3 2 2 3 3 3 3" xfId="8333" xr:uid="{00000000-0005-0000-0000-000017280000}"/>
    <cellStyle name="Millares 3 2 2 3 3 3 3 2" xfId="14911" xr:uid="{00000000-0005-0000-0000-000018280000}"/>
    <cellStyle name="Millares 3 2 2 3 3 3 3 3" xfId="21598" xr:uid="{00000000-0005-0000-0000-000019280000}"/>
    <cellStyle name="Millares 3 2 2 3 3 3 4" xfId="11668" xr:uid="{00000000-0005-0000-0000-00001A280000}"/>
    <cellStyle name="Millares 3 2 2 3 3 3 5" xfId="18370" xr:uid="{00000000-0005-0000-0000-00001B280000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3" xfId="20753" xr:uid="{00000000-0005-0000-0000-00001F280000}"/>
    <cellStyle name="Millares 3 2 2 3 3 4 3" xfId="10750" xr:uid="{00000000-0005-0000-0000-000020280000}"/>
    <cellStyle name="Millares 3 2 2 3 3 4 4" xfId="17525" xr:uid="{00000000-0005-0000-0000-000021280000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3" xfId="21984" xr:uid="{00000000-0005-0000-0000-000025280000}"/>
    <cellStyle name="Millares 3 2 2 3 3 5 3" xfId="12069" xr:uid="{00000000-0005-0000-0000-000026280000}"/>
    <cellStyle name="Millares 3 2 2 3 3 5 4" xfId="18756" xr:uid="{00000000-0005-0000-0000-000027280000}"/>
    <cellStyle name="Millares 3 2 2 3 3 6" xfId="6728" xr:uid="{00000000-0005-0000-0000-000028280000}"/>
    <cellStyle name="Millares 3 2 2 3 3 6 2" xfId="13306" xr:uid="{00000000-0005-0000-0000-000029280000}"/>
    <cellStyle name="Millares 3 2 2 3 3 6 3" xfId="19993" xr:uid="{00000000-0005-0000-0000-00002A280000}"/>
    <cellStyle name="Millares 3 2 2 3 3 7" xfId="9977" xr:uid="{00000000-0005-0000-0000-00002B280000}"/>
    <cellStyle name="Millares 3 2 2 3 3 8" xfId="16765" xr:uid="{00000000-0005-0000-0000-00002C280000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3" xfId="22493" xr:uid="{00000000-0005-0000-0000-000032280000}"/>
    <cellStyle name="Millares 3 2 2 3 4 2 2 3" xfId="12578" xr:uid="{00000000-0005-0000-0000-000033280000}"/>
    <cellStyle name="Millares 3 2 2 3 4 2 2 4" xfId="19265" xr:uid="{00000000-0005-0000-0000-000034280000}"/>
    <cellStyle name="Millares 3 2 2 3 4 2 3" xfId="7997" xr:uid="{00000000-0005-0000-0000-000035280000}"/>
    <cellStyle name="Millares 3 2 2 3 4 2 3 2" xfId="14575" xr:uid="{00000000-0005-0000-0000-000036280000}"/>
    <cellStyle name="Millares 3 2 2 3 4 2 3 3" xfId="21262" xr:uid="{00000000-0005-0000-0000-000037280000}"/>
    <cellStyle name="Millares 3 2 2 3 4 2 4" xfId="11294" xr:uid="{00000000-0005-0000-0000-000038280000}"/>
    <cellStyle name="Millares 3 2 2 3 4 2 5" xfId="18034" xr:uid="{00000000-0005-0000-0000-000039280000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3" xfId="20866" xr:uid="{00000000-0005-0000-0000-00003D280000}"/>
    <cellStyle name="Millares 3 2 2 3 4 3 3" xfId="10868" xr:uid="{00000000-0005-0000-0000-00003E280000}"/>
    <cellStyle name="Millares 3 2 2 3 4 3 4" xfId="17638" xr:uid="{00000000-0005-0000-0000-00003F280000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3" xfId="22097" xr:uid="{00000000-0005-0000-0000-000043280000}"/>
    <cellStyle name="Millares 3 2 2 3 4 4 3" xfId="12182" xr:uid="{00000000-0005-0000-0000-000044280000}"/>
    <cellStyle name="Millares 3 2 2 3 4 4 4" xfId="18869" xr:uid="{00000000-0005-0000-0000-000045280000}"/>
    <cellStyle name="Millares 3 2 2 3 4 5" xfId="6923" xr:uid="{00000000-0005-0000-0000-000046280000}"/>
    <cellStyle name="Millares 3 2 2 3 4 5 2" xfId="13501" xr:uid="{00000000-0005-0000-0000-000047280000}"/>
    <cellStyle name="Millares 3 2 2 3 4 5 3" xfId="20188" xr:uid="{00000000-0005-0000-0000-000048280000}"/>
    <cellStyle name="Millares 3 2 2 3 4 6" xfId="10184" xr:uid="{00000000-0005-0000-0000-000049280000}"/>
    <cellStyle name="Millares 3 2 2 3 4 7" xfId="16960" xr:uid="{00000000-0005-0000-0000-00004A28000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3" xfId="22205" xr:uid="{00000000-0005-0000-0000-00004F280000}"/>
    <cellStyle name="Millares 3 2 2 3 5 2 3" xfId="12290" xr:uid="{00000000-0005-0000-0000-000050280000}"/>
    <cellStyle name="Millares 3 2 2 3 5 2 4" xfId="18977" xr:uid="{00000000-0005-0000-0000-000051280000}"/>
    <cellStyle name="Millares 3 2 2 3 5 3" xfId="7709" xr:uid="{00000000-0005-0000-0000-000052280000}"/>
    <cellStyle name="Millares 3 2 2 3 5 3 2" xfId="14287" xr:uid="{00000000-0005-0000-0000-000053280000}"/>
    <cellStyle name="Millares 3 2 2 3 5 3 3" xfId="20974" xr:uid="{00000000-0005-0000-0000-000054280000}"/>
    <cellStyle name="Millares 3 2 2 3 5 4" xfId="10985" xr:uid="{00000000-0005-0000-0000-000055280000}"/>
    <cellStyle name="Millares 3 2 2 3 5 5" xfId="17746" xr:uid="{00000000-0005-0000-0000-000056280000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3" xfId="22585" xr:uid="{00000000-0005-0000-0000-00005B280000}"/>
    <cellStyle name="Millares 3 2 2 3 6 2 3" xfId="12670" xr:uid="{00000000-0005-0000-0000-00005C280000}"/>
    <cellStyle name="Millares 3 2 2 3 6 2 4" xfId="19357" xr:uid="{00000000-0005-0000-0000-00005D280000}"/>
    <cellStyle name="Millares 3 2 2 3 6 3" xfId="8089" xr:uid="{00000000-0005-0000-0000-00005E280000}"/>
    <cellStyle name="Millares 3 2 2 3 6 3 2" xfId="14667" xr:uid="{00000000-0005-0000-0000-00005F280000}"/>
    <cellStyle name="Millares 3 2 2 3 6 3 3" xfId="21354" xr:uid="{00000000-0005-0000-0000-000060280000}"/>
    <cellStyle name="Millares 3 2 2 3 6 4" xfId="11395" xr:uid="{00000000-0005-0000-0000-000061280000}"/>
    <cellStyle name="Millares 3 2 2 3 6 5" xfId="18126" xr:uid="{00000000-0005-0000-0000-000062280000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3" xfId="22728" xr:uid="{00000000-0005-0000-0000-000067280000}"/>
    <cellStyle name="Millares 3 2 2 3 7 2 3" xfId="12813" xr:uid="{00000000-0005-0000-0000-000068280000}"/>
    <cellStyle name="Millares 3 2 2 3 7 2 4" xfId="19500" xr:uid="{00000000-0005-0000-0000-000069280000}"/>
    <cellStyle name="Millares 3 2 2 3 7 3" xfId="8232" xr:uid="{00000000-0005-0000-0000-00006A280000}"/>
    <cellStyle name="Millares 3 2 2 3 7 3 2" xfId="14810" xr:uid="{00000000-0005-0000-0000-00006B280000}"/>
    <cellStyle name="Millares 3 2 2 3 7 3 3" xfId="21497" xr:uid="{00000000-0005-0000-0000-00006C280000}"/>
    <cellStyle name="Millares 3 2 2 3 7 4" xfId="11561" xr:uid="{00000000-0005-0000-0000-00006D280000}"/>
    <cellStyle name="Millares 3 2 2 3 7 5" xfId="18269" xr:uid="{00000000-0005-0000-0000-00006E280000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3" xfId="20578" xr:uid="{00000000-0005-0000-0000-000072280000}"/>
    <cellStyle name="Millares 3 2 2 3 8 3" xfId="10575" xr:uid="{00000000-0005-0000-0000-000073280000}"/>
    <cellStyle name="Millares 3 2 2 3 8 4" xfId="17350" xr:uid="{00000000-0005-0000-0000-000074280000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3" xfId="21809" xr:uid="{00000000-0005-0000-0000-000078280000}"/>
    <cellStyle name="Millares 3 2 2 3 9 3" xfId="11894" xr:uid="{00000000-0005-0000-0000-000079280000}"/>
    <cellStyle name="Millares 3 2 2 3 9 4" xfId="18581" xr:uid="{00000000-0005-0000-0000-00007A280000}"/>
    <cellStyle name="Millares 3 2 2 4" xfId="481" xr:uid="{00000000-0005-0000-0000-00007B280000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3" xfId="21645" xr:uid="{00000000-0005-0000-0000-000081280000}"/>
    <cellStyle name="Millares 3 2 2 4 2 2 2 3" xfId="11722" xr:uid="{00000000-0005-0000-0000-000082280000}"/>
    <cellStyle name="Millares 3 2 2 4 2 2 2 4" xfId="18417" xr:uid="{00000000-0005-0000-0000-000083280000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3" xfId="22876" xr:uid="{00000000-0005-0000-0000-000087280000}"/>
    <cellStyle name="Millares 3 2 2 4 2 2 3 3" xfId="12961" xr:uid="{00000000-0005-0000-0000-000088280000}"/>
    <cellStyle name="Millares 3 2 2 4 2 2 3 4" xfId="19648" xr:uid="{00000000-0005-0000-0000-000089280000}"/>
    <cellStyle name="Millares 3 2 2 4 2 2 4" xfId="7163" xr:uid="{00000000-0005-0000-0000-00008A280000}"/>
    <cellStyle name="Millares 3 2 2 4 2 2 4 2" xfId="13741" xr:uid="{00000000-0005-0000-0000-00008B280000}"/>
    <cellStyle name="Millares 3 2 2 4 2 2 4 3" xfId="20428" xr:uid="{00000000-0005-0000-0000-00008C280000}"/>
    <cellStyle name="Millares 3 2 2 4 2 2 5" xfId="10424" xr:uid="{00000000-0005-0000-0000-00008D280000}"/>
    <cellStyle name="Millares 3 2 2 4 2 2 6" xfId="17200" xr:uid="{00000000-0005-0000-0000-00008E280000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3" xfId="21034" xr:uid="{00000000-0005-0000-0000-000092280000}"/>
    <cellStyle name="Millares 3 2 2 4 2 3 3" xfId="11050" xr:uid="{00000000-0005-0000-0000-000093280000}"/>
    <cellStyle name="Millares 3 2 2 4 2 3 4" xfId="17806" xr:uid="{00000000-0005-0000-0000-000094280000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3" xfId="22265" xr:uid="{00000000-0005-0000-0000-000098280000}"/>
    <cellStyle name="Millares 3 2 2 4 2 4 3" xfId="12350" xr:uid="{00000000-0005-0000-0000-000099280000}"/>
    <cellStyle name="Millares 3 2 2 4 2 4 4" xfId="19037" xr:uid="{00000000-0005-0000-0000-00009A280000}"/>
    <cellStyle name="Millares 3 2 2 4 2 5" xfId="6775" xr:uid="{00000000-0005-0000-0000-00009B280000}"/>
    <cellStyle name="Millares 3 2 2 4 2 5 2" xfId="13353" xr:uid="{00000000-0005-0000-0000-00009C280000}"/>
    <cellStyle name="Millares 3 2 2 4 2 5 3" xfId="20040" xr:uid="{00000000-0005-0000-0000-00009D280000}"/>
    <cellStyle name="Millares 3 2 2 4 2 6" xfId="10030" xr:uid="{00000000-0005-0000-0000-00009E280000}"/>
    <cellStyle name="Millares 3 2 2 4 2 7" xfId="16812" xr:uid="{00000000-0005-0000-0000-00009F280000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3" xfId="21401" xr:uid="{00000000-0005-0000-0000-0000A4280000}"/>
    <cellStyle name="Millares 3 2 2 4 3 2 3" xfId="11449" xr:uid="{00000000-0005-0000-0000-0000A5280000}"/>
    <cellStyle name="Millares 3 2 2 4 3 2 4" xfId="18173" xr:uid="{00000000-0005-0000-0000-0000A6280000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3" xfId="22632" xr:uid="{00000000-0005-0000-0000-0000AA280000}"/>
    <cellStyle name="Millares 3 2 2 4 3 3 3" xfId="12717" xr:uid="{00000000-0005-0000-0000-0000AB280000}"/>
    <cellStyle name="Millares 3 2 2 4 3 3 4" xfId="19404" xr:uid="{00000000-0005-0000-0000-0000AC280000}"/>
    <cellStyle name="Millares 3 2 2 4 3 4" xfId="6970" xr:uid="{00000000-0005-0000-0000-0000AD280000}"/>
    <cellStyle name="Millares 3 2 2 4 3 4 2" xfId="13548" xr:uid="{00000000-0005-0000-0000-0000AE280000}"/>
    <cellStyle name="Millares 3 2 2 4 3 4 3" xfId="20235" xr:uid="{00000000-0005-0000-0000-0000AF280000}"/>
    <cellStyle name="Millares 3 2 2 4 3 5" xfId="10231" xr:uid="{00000000-0005-0000-0000-0000B0280000}"/>
    <cellStyle name="Millares 3 2 2 4 3 6" xfId="17007" xr:uid="{00000000-0005-0000-0000-0000B1280000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3" xfId="22740" xr:uid="{00000000-0005-0000-0000-0000B6280000}"/>
    <cellStyle name="Millares 3 2 2 4 4 2 3" xfId="12825" xr:uid="{00000000-0005-0000-0000-0000B7280000}"/>
    <cellStyle name="Millares 3 2 2 4 4 2 4" xfId="19512" xr:uid="{00000000-0005-0000-0000-0000B8280000}"/>
    <cellStyle name="Millares 3 2 2 4 4 3" xfId="8244" xr:uid="{00000000-0005-0000-0000-0000B9280000}"/>
    <cellStyle name="Millares 3 2 2 4 4 3 2" xfId="14822" xr:uid="{00000000-0005-0000-0000-0000BA280000}"/>
    <cellStyle name="Millares 3 2 2 4 4 3 3" xfId="21509" xr:uid="{00000000-0005-0000-0000-0000BB280000}"/>
    <cellStyle name="Millares 3 2 2 4 4 4" xfId="11573" xr:uid="{00000000-0005-0000-0000-0000BC280000}"/>
    <cellStyle name="Millares 3 2 2 4 4 5" xfId="18281" xr:uid="{00000000-0005-0000-0000-0000BD280000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3" xfId="20638" xr:uid="{00000000-0005-0000-0000-0000C1280000}"/>
    <cellStyle name="Millares 3 2 2 4 5 3" xfId="10635" xr:uid="{00000000-0005-0000-0000-0000C2280000}"/>
    <cellStyle name="Millares 3 2 2 4 5 4" xfId="17410" xr:uid="{00000000-0005-0000-0000-0000C3280000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3" xfId="21869" xr:uid="{00000000-0005-0000-0000-0000C7280000}"/>
    <cellStyle name="Millares 3 2 2 4 6 3" xfId="11954" xr:uid="{00000000-0005-0000-0000-0000C8280000}"/>
    <cellStyle name="Millares 3 2 2 4 6 4" xfId="18641" xr:uid="{00000000-0005-0000-0000-0000C9280000}"/>
    <cellStyle name="Millares 3 2 2 4 7" xfId="6582" xr:uid="{00000000-0005-0000-0000-0000CA280000}"/>
    <cellStyle name="Millares 3 2 2 4 7 2" xfId="13160" xr:uid="{00000000-0005-0000-0000-0000CB280000}"/>
    <cellStyle name="Millares 3 2 2 4 7 3" xfId="19847" xr:uid="{00000000-0005-0000-0000-0000CC280000}"/>
    <cellStyle name="Millares 3 2 2 4 8" xfId="9820" xr:uid="{00000000-0005-0000-0000-0000CD280000}"/>
    <cellStyle name="Millares 3 2 2 4 9" xfId="16619" xr:uid="{00000000-0005-0000-0000-0000CE280000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3" xfId="21146" xr:uid="{00000000-0005-0000-0000-0000D4280000}"/>
    <cellStyle name="Millares 3 2 2 5 2 2 3" xfId="11168" xr:uid="{00000000-0005-0000-0000-0000D5280000}"/>
    <cellStyle name="Millares 3 2 2 5 2 2 4" xfId="17918" xr:uid="{00000000-0005-0000-0000-0000D6280000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3" xfId="22377" xr:uid="{00000000-0005-0000-0000-0000DA280000}"/>
    <cellStyle name="Millares 3 2 2 5 2 3 3" xfId="12462" xr:uid="{00000000-0005-0000-0000-0000DB280000}"/>
    <cellStyle name="Millares 3 2 2 5 2 3 4" xfId="19149" xr:uid="{00000000-0005-0000-0000-0000DC280000}"/>
    <cellStyle name="Millares 3 2 2 5 2 4" xfId="7069" xr:uid="{00000000-0005-0000-0000-0000DD280000}"/>
    <cellStyle name="Millares 3 2 2 5 2 4 2" xfId="13647" xr:uid="{00000000-0005-0000-0000-0000DE280000}"/>
    <cellStyle name="Millares 3 2 2 5 2 4 3" xfId="20334" xr:uid="{00000000-0005-0000-0000-0000DF280000}"/>
    <cellStyle name="Millares 3 2 2 5 2 5" xfId="10330" xr:uid="{00000000-0005-0000-0000-0000E0280000}"/>
    <cellStyle name="Millares 3 2 2 5 2 6" xfId="17106" xr:uid="{00000000-0005-0000-0000-0000E1280000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3" xfId="22782" xr:uid="{00000000-0005-0000-0000-0000E6280000}"/>
    <cellStyle name="Millares 3 2 2 5 3 2 3" xfId="12867" xr:uid="{00000000-0005-0000-0000-0000E7280000}"/>
    <cellStyle name="Millares 3 2 2 5 3 2 4" xfId="19554" xr:uid="{00000000-0005-0000-0000-0000E8280000}"/>
    <cellStyle name="Millares 3 2 2 5 3 3" xfId="8286" xr:uid="{00000000-0005-0000-0000-0000E9280000}"/>
    <cellStyle name="Millares 3 2 2 5 3 3 2" xfId="14864" xr:uid="{00000000-0005-0000-0000-0000EA280000}"/>
    <cellStyle name="Millares 3 2 2 5 3 3 3" xfId="21551" xr:uid="{00000000-0005-0000-0000-0000EB280000}"/>
    <cellStyle name="Millares 3 2 2 5 3 4" xfId="11617" xr:uid="{00000000-0005-0000-0000-0000EC280000}"/>
    <cellStyle name="Millares 3 2 2 5 3 5" xfId="18323" xr:uid="{00000000-0005-0000-0000-0000ED280000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3" xfId="20750" xr:uid="{00000000-0005-0000-0000-0000F1280000}"/>
    <cellStyle name="Millares 3 2 2 5 4 3" xfId="10747" xr:uid="{00000000-0005-0000-0000-0000F2280000}"/>
    <cellStyle name="Millares 3 2 2 5 4 4" xfId="17522" xr:uid="{00000000-0005-0000-0000-0000F3280000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3" xfId="21981" xr:uid="{00000000-0005-0000-0000-0000F7280000}"/>
    <cellStyle name="Millares 3 2 2 5 5 3" xfId="12066" xr:uid="{00000000-0005-0000-0000-0000F8280000}"/>
    <cellStyle name="Millares 3 2 2 5 5 4" xfId="18753" xr:uid="{00000000-0005-0000-0000-0000F9280000}"/>
    <cellStyle name="Millares 3 2 2 5 6" xfId="6681" xr:uid="{00000000-0005-0000-0000-0000FA280000}"/>
    <cellStyle name="Millares 3 2 2 5 6 2" xfId="13259" xr:uid="{00000000-0005-0000-0000-0000FB280000}"/>
    <cellStyle name="Millares 3 2 2 5 6 3" xfId="19946" xr:uid="{00000000-0005-0000-0000-0000FC280000}"/>
    <cellStyle name="Millares 3 2 2 5 7" xfId="9927" xr:uid="{00000000-0005-0000-0000-0000FD280000}"/>
    <cellStyle name="Millares 3 2 2 5 8" xfId="16718" xr:uid="{00000000-0005-0000-0000-0000FE28000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3" xfId="22448" xr:uid="{00000000-0005-0000-0000-000004290000}"/>
    <cellStyle name="Millares 3 2 2 6 2 2 3" xfId="12533" xr:uid="{00000000-0005-0000-0000-000005290000}"/>
    <cellStyle name="Millares 3 2 2 6 2 2 4" xfId="19220" xr:uid="{00000000-0005-0000-0000-000006290000}"/>
    <cellStyle name="Millares 3 2 2 6 2 3" xfId="7952" xr:uid="{00000000-0005-0000-0000-000007290000}"/>
    <cellStyle name="Millares 3 2 2 6 2 3 2" xfId="14530" xr:uid="{00000000-0005-0000-0000-000008290000}"/>
    <cellStyle name="Millares 3 2 2 6 2 3 3" xfId="21217" xr:uid="{00000000-0005-0000-0000-000009290000}"/>
    <cellStyle name="Millares 3 2 2 6 2 4" xfId="11245" xr:uid="{00000000-0005-0000-0000-00000A290000}"/>
    <cellStyle name="Millares 3 2 2 6 2 5" xfId="17989" xr:uid="{00000000-0005-0000-0000-00000B290000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3" xfId="20821" xr:uid="{00000000-0005-0000-0000-00000F290000}"/>
    <cellStyle name="Millares 3 2 2 6 3 3" xfId="10819" xr:uid="{00000000-0005-0000-0000-000010290000}"/>
    <cellStyle name="Millares 3 2 2 6 3 4" xfId="17593" xr:uid="{00000000-0005-0000-0000-000011290000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3" xfId="22052" xr:uid="{00000000-0005-0000-0000-000015290000}"/>
    <cellStyle name="Millares 3 2 2 6 4 3" xfId="12137" xr:uid="{00000000-0005-0000-0000-000016290000}"/>
    <cellStyle name="Millares 3 2 2 6 4 4" xfId="18824" xr:uid="{00000000-0005-0000-0000-000017290000}"/>
    <cellStyle name="Millares 3 2 2 6 5" xfId="6876" xr:uid="{00000000-0005-0000-0000-000018290000}"/>
    <cellStyle name="Millares 3 2 2 6 5 2" xfId="13454" xr:uid="{00000000-0005-0000-0000-000019290000}"/>
    <cellStyle name="Millares 3 2 2 6 5 3" xfId="20141" xr:uid="{00000000-0005-0000-0000-00001A290000}"/>
    <cellStyle name="Millares 3 2 2 6 6" xfId="10137" xr:uid="{00000000-0005-0000-0000-00001B290000}"/>
    <cellStyle name="Millares 3 2 2 6 7" xfId="16913" xr:uid="{00000000-0005-0000-0000-00001C290000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3" xfId="22159" xr:uid="{00000000-0005-0000-0000-000021290000}"/>
    <cellStyle name="Millares 3 2 2 7 2 3" xfId="12244" xr:uid="{00000000-0005-0000-0000-000022290000}"/>
    <cellStyle name="Millares 3 2 2 7 2 4" xfId="18931" xr:uid="{00000000-0005-0000-0000-000023290000}"/>
    <cellStyle name="Millares 3 2 2 7 3" xfId="7663" xr:uid="{00000000-0005-0000-0000-000024290000}"/>
    <cellStyle name="Millares 3 2 2 7 3 2" xfId="14241" xr:uid="{00000000-0005-0000-0000-000025290000}"/>
    <cellStyle name="Millares 3 2 2 7 3 3" xfId="20928" xr:uid="{00000000-0005-0000-0000-000026290000}"/>
    <cellStyle name="Millares 3 2 2 7 4" xfId="10935" xr:uid="{00000000-0005-0000-0000-000027290000}"/>
    <cellStyle name="Millares 3 2 2 7 5" xfId="17700" xr:uid="{00000000-0005-0000-0000-000028290000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3" xfId="22540" xr:uid="{00000000-0005-0000-0000-00002D290000}"/>
    <cellStyle name="Millares 3 2 2 8 2 3" xfId="12625" xr:uid="{00000000-0005-0000-0000-00002E290000}"/>
    <cellStyle name="Millares 3 2 2 8 2 4" xfId="19312" xr:uid="{00000000-0005-0000-0000-00002F290000}"/>
    <cellStyle name="Millares 3 2 2 8 3" xfId="8044" xr:uid="{00000000-0005-0000-0000-000030290000}"/>
    <cellStyle name="Millares 3 2 2 8 3 2" xfId="14622" xr:uid="{00000000-0005-0000-0000-000031290000}"/>
    <cellStyle name="Millares 3 2 2 8 3 3" xfId="21309" xr:uid="{00000000-0005-0000-0000-000032290000}"/>
    <cellStyle name="Millares 3 2 2 8 4" xfId="11345" xr:uid="{00000000-0005-0000-0000-000033290000}"/>
    <cellStyle name="Millares 3 2 2 8 5" xfId="18081" xr:uid="{00000000-0005-0000-0000-000034290000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3" xfId="22716" xr:uid="{00000000-0005-0000-0000-000039290000}"/>
    <cellStyle name="Millares 3 2 2 9 2 3" xfId="12801" xr:uid="{00000000-0005-0000-0000-00003A290000}"/>
    <cellStyle name="Millares 3 2 2 9 2 4" xfId="19488" xr:uid="{00000000-0005-0000-0000-00003B290000}"/>
    <cellStyle name="Millares 3 2 2 9 3" xfId="8220" xr:uid="{00000000-0005-0000-0000-00003C290000}"/>
    <cellStyle name="Millares 3 2 2 9 3 2" xfId="14798" xr:uid="{00000000-0005-0000-0000-00003D290000}"/>
    <cellStyle name="Millares 3 2 2 9 3 3" xfId="21485" xr:uid="{00000000-0005-0000-0000-00003E290000}"/>
    <cellStyle name="Millares 3 2 2 9 4" xfId="11549" xr:uid="{00000000-0005-0000-0000-00003F290000}"/>
    <cellStyle name="Millares 3 2 2 9 5" xfId="18257" xr:uid="{00000000-0005-0000-0000-000040290000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3" xfId="21776" xr:uid="{00000000-0005-0000-0000-000045290000}"/>
    <cellStyle name="Millares 3 2 3 10 3" xfId="11861" xr:uid="{00000000-0005-0000-0000-000046290000}"/>
    <cellStyle name="Millares 3 2 3 10 4" xfId="18548" xr:uid="{00000000-0005-0000-0000-000047290000}"/>
    <cellStyle name="Millares 3 2 3 11" xfId="6501" xr:uid="{00000000-0005-0000-0000-000048290000}"/>
    <cellStyle name="Millares 3 2 3 11 2" xfId="13079" xr:uid="{00000000-0005-0000-0000-000049290000}"/>
    <cellStyle name="Millares 3 2 3 11 3" xfId="19766" xr:uid="{00000000-0005-0000-0000-00004A290000}"/>
    <cellStyle name="Millares 3 2 3 12" xfId="9735" xr:uid="{00000000-0005-0000-0000-00004B290000}"/>
    <cellStyle name="Millares 3 2 3 13" xfId="16538" xr:uid="{00000000-0005-0000-0000-00004C290000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3" xfId="19812" xr:uid="{00000000-0005-0000-0000-000050290000}"/>
    <cellStyle name="Millares 3 2 3 2 11" xfId="9784" xr:uid="{00000000-0005-0000-0000-000051290000}"/>
    <cellStyle name="Millares 3 2 3 2 12" xfId="16584" xr:uid="{00000000-0005-0000-0000-000052290000}"/>
    <cellStyle name="Millares 3 2 3 2 2" xfId="699" xr:uid="{00000000-0005-0000-0000-000053290000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3" xfId="21702" xr:uid="{00000000-0005-0000-0000-000059290000}"/>
    <cellStyle name="Millares 3 2 3 2 2 2 2 2 3" xfId="11787" xr:uid="{00000000-0005-0000-0000-00005A290000}"/>
    <cellStyle name="Millares 3 2 3 2 2 2 2 2 4" xfId="18474" xr:uid="{00000000-0005-0000-0000-00005B290000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3" xfId="22933" xr:uid="{00000000-0005-0000-0000-00005F290000}"/>
    <cellStyle name="Millares 3 2 3 2 2 2 2 3 3" xfId="13018" xr:uid="{00000000-0005-0000-0000-000060290000}"/>
    <cellStyle name="Millares 3 2 3 2 2 2 2 3 4" xfId="19705" xr:uid="{00000000-0005-0000-0000-000061290000}"/>
    <cellStyle name="Millares 3 2 3 2 2 2 2 4" xfId="7220" xr:uid="{00000000-0005-0000-0000-000062290000}"/>
    <cellStyle name="Millares 3 2 3 2 2 2 2 4 2" xfId="13798" xr:uid="{00000000-0005-0000-0000-000063290000}"/>
    <cellStyle name="Millares 3 2 3 2 2 2 2 4 3" xfId="20485" xr:uid="{00000000-0005-0000-0000-000064290000}"/>
    <cellStyle name="Millares 3 2 3 2 2 2 2 5" xfId="10481" xr:uid="{00000000-0005-0000-0000-000065290000}"/>
    <cellStyle name="Millares 3 2 3 2 2 2 2 6" xfId="17257" xr:uid="{00000000-0005-0000-0000-00006629000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3" xfId="21092" xr:uid="{00000000-0005-0000-0000-00006A290000}"/>
    <cellStyle name="Millares 3 2 3 2 2 2 3 3" xfId="11109" xr:uid="{00000000-0005-0000-0000-00006B290000}"/>
    <cellStyle name="Millares 3 2 3 2 2 2 3 4" xfId="17864" xr:uid="{00000000-0005-0000-0000-00006C290000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3" xfId="22323" xr:uid="{00000000-0005-0000-0000-000070290000}"/>
    <cellStyle name="Millares 3 2 3 2 2 2 4 3" xfId="12408" xr:uid="{00000000-0005-0000-0000-000071290000}"/>
    <cellStyle name="Millares 3 2 3 2 2 2 4 4" xfId="19095" xr:uid="{00000000-0005-0000-0000-000072290000}"/>
    <cellStyle name="Millares 3 2 3 2 2 2 5" xfId="6832" xr:uid="{00000000-0005-0000-0000-000073290000}"/>
    <cellStyle name="Millares 3 2 3 2 2 2 5 2" xfId="13410" xr:uid="{00000000-0005-0000-0000-000074290000}"/>
    <cellStyle name="Millares 3 2 3 2 2 2 5 3" xfId="20097" xr:uid="{00000000-0005-0000-0000-000075290000}"/>
    <cellStyle name="Millares 3 2 3 2 2 2 6" xfId="10092" xr:uid="{00000000-0005-0000-0000-000076290000}"/>
    <cellStyle name="Millares 3 2 3 2 2 2 7" xfId="16869" xr:uid="{00000000-0005-0000-0000-000077290000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3" xfId="21458" xr:uid="{00000000-0005-0000-0000-00007C290000}"/>
    <cellStyle name="Millares 3 2 3 2 2 3 2 3" xfId="11521" xr:uid="{00000000-0005-0000-0000-00007D290000}"/>
    <cellStyle name="Millares 3 2 3 2 2 3 2 4" xfId="18230" xr:uid="{00000000-0005-0000-0000-00007E290000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3" xfId="22689" xr:uid="{00000000-0005-0000-0000-000082290000}"/>
    <cellStyle name="Millares 3 2 3 2 2 3 3 3" xfId="12774" xr:uid="{00000000-0005-0000-0000-000083290000}"/>
    <cellStyle name="Millares 3 2 3 2 2 3 3 4" xfId="19461" xr:uid="{00000000-0005-0000-0000-000084290000}"/>
    <cellStyle name="Millares 3 2 3 2 2 3 4" xfId="7027" xr:uid="{00000000-0005-0000-0000-000085290000}"/>
    <cellStyle name="Millares 3 2 3 2 2 3 4 2" xfId="13605" xr:uid="{00000000-0005-0000-0000-000086290000}"/>
    <cellStyle name="Millares 3 2 3 2 2 3 4 3" xfId="20292" xr:uid="{00000000-0005-0000-0000-000087290000}"/>
    <cellStyle name="Millares 3 2 3 2 2 3 5" xfId="10288" xr:uid="{00000000-0005-0000-0000-000088290000}"/>
    <cellStyle name="Millares 3 2 3 2 2 3 6" xfId="17064" xr:uid="{00000000-0005-0000-0000-000089290000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3" xfId="22755" xr:uid="{00000000-0005-0000-0000-00008E290000}"/>
    <cellStyle name="Millares 3 2 3 2 2 4 2 3" xfId="12840" xr:uid="{00000000-0005-0000-0000-00008F290000}"/>
    <cellStyle name="Millares 3 2 3 2 2 4 2 4" xfId="19527" xr:uid="{00000000-0005-0000-0000-000090290000}"/>
    <cellStyle name="Millares 3 2 3 2 2 4 3" xfId="8259" xr:uid="{00000000-0005-0000-0000-000091290000}"/>
    <cellStyle name="Millares 3 2 3 2 2 4 3 2" xfId="14837" xr:uid="{00000000-0005-0000-0000-000092290000}"/>
    <cellStyle name="Millares 3 2 3 2 2 4 3 3" xfId="21524" xr:uid="{00000000-0005-0000-0000-000093290000}"/>
    <cellStyle name="Millares 3 2 3 2 2 4 4" xfId="11588" xr:uid="{00000000-0005-0000-0000-000094290000}"/>
    <cellStyle name="Millares 3 2 3 2 2 4 5" xfId="18296" xr:uid="{00000000-0005-0000-0000-000095290000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3" xfId="20696" xr:uid="{00000000-0005-0000-0000-000099290000}"/>
    <cellStyle name="Millares 3 2 3 2 2 5 3" xfId="10693" xr:uid="{00000000-0005-0000-0000-00009A290000}"/>
    <cellStyle name="Millares 3 2 3 2 2 5 4" xfId="17468" xr:uid="{00000000-0005-0000-0000-00009B290000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3" xfId="21927" xr:uid="{00000000-0005-0000-0000-00009F290000}"/>
    <cellStyle name="Millares 3 2 3 2 2 6 3" xfId="12012" xr:uid="{00000000-0005-0000-0000-0000A0290000}"/>
    <cellStyle name="Millares 3 2 3 2 2 6 4" xfId="18699" xr:uid="{00000000-0005-0000-0000-0000A1290000}"/>
    <cellStyle name="Millares 3 2 3 2 2 7" xfId="6639" xr:uid="{00000000-0005-0000-0000-0000A2290000}"/>
    <cellStyle name="Millares 3 2 3 2 2 7 2" xfId="13217" xr:uid="{00000000-0005-0000-0000-0000A3290000}"/>
    <cellStyle name="Millares 3 2 3 2 2 7 3" xfId="19904" xr:uid="{00000000-0005-0000-0000-0000A4290000}"/>
    <cellStyle name="Millares 3 2 3 2 2 8" xfId="9883" xr:uid="{00000000-0005-0000-0000-0000A5290000}"/>
    <cellStyle name="Millares 3 2 3 2 2 9" xfId="16676" xr:uid="{00000000-0005-0000-0000-0000A6290000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3" xfId="21151" xr:uid="{00000000-0005-0000-0000-0000AC290000}"/>
    <cellStyle name="Millares 3 2 3 2 3 2 2 3" xfId="11173" xr:uid="{00000000-0005-0000-0000-0000AD290000}"/>
    <cellStyle name="Millares 3 2 3 2 3 2 2 4" xfId="17923" xr:uid="{00000000-0005-0000-0000-0000AE290000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3" xfId="22382" xr:uid="{00000000-0005-0000-0000-0000B2290000}"/>
    <cellStyle name="Millares 3 2 3 2 3 2 3 3" xfId="12467" xr:uid="{00000000-0005-0000-0000-0000B3290000}"/>
    <cellStyle name="Millares 3 2 3 2 3 2 3 4" xfId="19154" xr:uid="{00000000-0005-0000-0000-0000B4290000}"/>
    <cellStyle name="Millares 3 2 3 2 3 2 4" xfId="7128" xr:uid="{00000000-0005-0000-0000-0000B5290000}"/>
    <cellStyle name="Millares 3 2 3 2 3 2 4 2" xfId="13706" xr:uid="{00000000-0005-0000-0000-0000B6290000}"/>
    <cellStyle name="Millares 3 2 3 2 3 2 4 3" xfId="20393" xr:uid="{00000000-0005-0000-0000-0000B7290000}"/>
    <cellStyle name="Millares 3 2 3 2 3 2 5" xfId="10389" xr:uid="{00000000-0005-0000-0000-0000B8290000}"/>
    <cellStyle name="Millares 3 2 3 2 3 2 6" xfId="17165" xr:uid="{00000000-0005-0000-0000-0000B9290000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3" xfId="22841" xr:uid="{00000000-0005-0000-0000-0000BE290000}"/>
    <cellStyle name="Millares 3 2 3 2 3 3 2 3" xfId="12926" xr:uid="{00000000-0005-0000-0000-0000BF290000}"/>
    <cellStyle name="Millares 3 2 3 2 3 3 2 4" xfId="19613" xr:uid="{00000000-0005-0000-0000-0000C0290000}"/>
    <cellStyle name="Millares 3 2 3 2 3 3 3" xfId="8345" xr:uid="{00000000-0005-0000-0000-0000C1290000}"/>
    <cellStyle name="Millares 3 2 3 2 3 3 3 2" xfId="14923" xr:uid="{00000000-0005-0000-0000-0000C2290000}"/>
    <cellStyle name="Millares 3 2 3 2 3 3 3 3" xfId="21610" xr:uid="{00000000-0005-0000-0000-0000C3290000}"/>
    <cellStyle name="Millares 3 2 3 2 3 3 4" xfId="11683" xr:uid="{00000000-0005-0000-0000-0000C4290000}"/>
    <cellStyle name="Millares 3 2 3 2 3 3 5" xfId="18382" xr:uid="{00000000-0005-0000-0000-0000C5290000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3" xfId="20755" xr:uid="{00000000-0005-0000-0000-0000C9290000}"/>
    <cellStyle name="Millares 3 2 3 2 3 4 3" xfId="10752" xr:uid="{00000000-0005-0000-0000-0000CA290000}"/>
    <cellStyle name="Millares 3 2 3 2 3 4 4" xfId="17527" xr:uid="{00000000-0005-0000-0000-0000CB290000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3" xfId="21986" xr:uid="{00000000-0005-0000-0000-0000CF290000}"/>
    <cellStyle name="Millares 3 2 3 2 3 5 3" xfId="12071" xr:uid="{00000000-0005-0000-0000-0000D0290000}"/>
    <cellStyle name="Millares 3 2 3 2 3 5 4" xfId="18758" xr:uid="{00000000-0005-0000-0000-0000D1290000}"/>
    <cellStyle name="Millares 3 2 3 2 3 6" xfId="6740" xr:uid="{00000000-0005-0000-0000-0000D2290000}"/>
    <cellStyle name="Millares 3 2 3 2 3 6 2" xfId="13318" xr:uid="{00000000-0005-0000-0000-0000D3290000}"/>
    <cellStyle name="Millares 3 2 3 2 3 6 3" xfId="20005" xr:uid="{00000000-0005-0000-0000-0000D4290000}"/>
    <cellStyle name="Millares 3 2 3 2 3 7" xfId="9990" xr:uid="{00000000-0005-0000-0000-0000D5290000}"/>
    <cellStyle name="Millares 3 2 3 2 3 8" xfId="16777" xr:uid="{00000000-0005-0000-0000-0000D6290000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3" xfId="22505" xr:uid="{00000000-0005-0000-0000-0000DC290000}"/>
    <cellStyle name="Millares 3 2 3 2 4 2 2 3" xfId="12590" xr:uid="{00000000-0005-0000-0000-0000DD290000}"/>
    <cellStyle name="Millares 3 2 3 2 4 2 2 4" xfId="19277" xr:uid="{00000000-0005-0000-0000-0000DE290000}"/>
    <cellStyle name="Millares 3 2 3 2 4 2 3" xfId="8009" xr:uid="{00000000-0005-0000-0000-0000DF290000}"/>
    <cellStyle name="Millares 3 2 3 2 4 2 3 2" xfId="14587" xr:uid="{00000000-0005-0000-0000-0000E0290000}"/>
    <cellStyle name="Millares 3 2 3 2 4 2 3 3" xfId="21274" xr:uid="{00000000-0005-0000-0000-0000E1290000}"/>
    <cellStyle name="Millares 3 2 3 2 4 2 4" xfId="11308" xr:uid="{00000000-0005-0000-0000-0000E2290000}"/>
    <cellStyle name="Millares 3 2 3 2 4 2 5" xfId="18046" xr:uid="{00000000-0005-0000-0000-0000E3290000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3" xfId="20878" xr:uid="{00000000-0005-0000-0000-0000E7290000}"/>
    <cellStyle name="Millares 3 2 3 2 4 3 3" xfId="10882" xr:uid="{00000000-0005-0000-0000-0000E8290000}"/>
    <cellStyle name="Millares 3 2 3 2 4 3 4" xfId="17650" xr:uid="{00000000-0005-0000-0000-0000E9290000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3" xfId="22109" xr:uid="{00000000-0005-0000-0000-0000ED290000}"/>
    <cellStyle name="Millares 3 2 3 2 4 4 3" xfId="12194" xr:uid="{00000000-0005-0000-0000-0000EE290000}"/>
    <cellStyle name="Millares 3 2 3 2 4 4 4" xfId="18881" xr:uid="{00000000-000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4 5 3" xfId="20200" xr:uid="{00000000-0005-0000-0000-0000F2290000}"/>
    <cellStyle name="Millares 3 2 3 2 4 6" xfId="10196" xr:uid="{00000000-0005-0000-0000-0000F3290000}"/>
    <cellStyle name="Millares 3 2 3 2 4 7" xfId="16972" xr:uid="{00000000-0005-0000-0000-0000F4290000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3" xfId="22217" xr:uid="{00000000-0005-0000-0000-0000F9290000}"/>
    <cellStyle name="Millares 3 2 3 2 5 2 3" xfId="12302" xr:uid="{00000000-0005-0000-0000-0000FA290000}"/>
    <cellStyle name="Millares 3 2 3 2 5 2 4" xfId="18989" xr:uid="{00000000-0005-0000-0000-0000FB290000}"/>
    <cellStyle name="Millares 3 2 3 2 5 3" xfId="7721" xr:uid="{00000000-0005-0000-0000-0000FC290000}"/>
    <cellStyle name="Millares 3 2 3 2 5 3 2" xfId="14299" xr:uid="{00000000-0005-0000-0000-0000FD290000}"/>
    <cellStyle name="Millares 3 2 3 2 5 3 3" xfId="20986" xr:uid="{00000000-0005-0000-0000-0000FE290000}"/>
    <cellStyle name="Millares 3 2 3 2 5 4" xfId="11000" xr:uid="{00000000-0005-0000-0000-0000FF290000}"/>
    <cellStyle name="Millares 3 2 3 2 5 5" xfId="17758" xr:uid="{00000000-0005-0000-0000-0000002A0000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3" xfId="22597" xr:uid="{00000000-0005-0000-0000-0000052A0000}"/>
    <cellStyle name="Millares 3 2 3 2 6 2 3" xfId="12682" xr:uid="{00000000-0005-0000-0000-0000062A0000}"/>
    <cellStyle name="Millares 3 2 3 2 6 2 4" xfId="19369" xr:uid="{00000000-0005-0000-0000-0000072A0000}"/>
    <cellStyle name="Millares 3 2 3 2 6 3" xfId="8101" xr:uid="{00000000-0005-0000-0000-0000082A0000}"/>
    <cellStyle name="Millares 3 2 3 2 6 3 2" xfId="14679" xr:uid="{00000000-0005-0000-0000-0000092A0000}"/>
    <cellStyle name="Millares 3 2 3 2 6 3 3" xfId="21366" xr:uid="{00000000-0005-0000-0000-00000A2A0000}"/>
    <cellStyle name="Millares 3 2 3 2 6 4" xfId="11409" xr:uid="{00000000-0005-0000-0000-00000B2A0000}"/>
    <cellStyle name="Millares 3 2 3 2 6 5" xfId="18138" xr:uid="{00000000-0005-0000-0000-00000C2A0000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3" xfId="22731" xr:uid="{00000000-0005-0000-0000-0000112A0000}"/>
    <cellStyle name="Millares 3 2 3 2 7 2 3" xfId="12816" xr:uid="{00000000-0005-0000-0000-0000122A0000}"/>
    <cellStyle name="Millares 3 2 3 2 7 2 4" xfId="19503" xr:uid="{00000000-0005-0000-0000-0000132A0000}"/>
    <cellStyle name="Millares 3 2 3 2 7 3" xfId="8235" xr:uid="{00000000-0005-0000-0000-0000142A0000}"/>
    <cellStyle name="Millares 3 2 3 2 7 3 2" xfId="14813" xr:uid="{00000000-0005-0000-0000-0000152A0000}"/>
    <cellStyle name="Millares 3 2 3 2 7 3 3" xfId="21500" xr:uid="{00000000-0005-0000-0000-0000162A0000}"/>
    <cellStyle name="Millares 3 2 3 2 7 4" xfId="11564" xr:uid="{00000000-0005-0000-0000-0000172A0000}"/>
    <cellStyle name="Millares 3 2 3 2 7 5" xfId="18272" xr:uid="{00000000-0005-0000-0000-0000182A000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3" xfId="20590" xr:uid="{00000000-0005-0000-0000-00001C2A0000}"/>
    <cellStyle name="Millares 3 2 3 2 8 3" xfId="10587" xr:uid="{00000000-0005-0000-0000-00001D2A0000}"/>
    <cellStyle name="Millares 3 2 3 2 8 4" xfId="17362" xr:uid="{00000000-0005-0000-0000-00001E2A0000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3" xfId="21821" xr:uid="{00000000-0005-0000-0000-0000222A0000}"/>
    <cellStyle name="Millares 3 2 3 2 9 3" xfId="11906" xr:uid="{00000000-0005-0000-0000-0000232A0000}"/>
    <cellStyle name="Millares 3 2 3 2 9 4" xfId="18593" xr:uid="{00000000-0005-0000-0000-0000242A0000}"/>
    <cellStyle name="Millares 3 2 3 3" xfId="526" xr:uid="{00000000-0005-0000-0000-0000252A0000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3" xfId="21657" xr:uid="{00000000-0005-0000-0000-00002B2A0000}"/>
    <cellStyle name="Millares 3 2 3 3 2 2 2 3" xfId="11735" xr:uid="{00000000-0005-0000-0000-00002C2A0000}"/>
    <cellStyle name="Millares 3 2 3 3 2 2 2 4" xfId="18429" xr:uid="{00000000-0005-0000-0000-00002D2A0000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3" xfId="22888" xr:uid="{00000000-0005-0000-0000-0000312A0000}"/>
    <cellStyle name="Millares 3 2 3 3 2 2 3 3" xfId="12973" xr:uid="{00000000-0005-0000-0000-0000322A0000}"/>
    <cellStyle name="Millares 3 2 3 3 2 2 3 4" xfId="19660" xr:uid="{00000000-0005-0000-0000-0000332A0000}"/>
    <cellStyle name="Millares 3 2 3 3 2 2 4" xfId="7175" xr:uid="{00000000-0005-0000-0000-0000342A0000}"/>
    <cellStyle name="Millares 3 2 3 3 2 2 4 2" xfId="13753" xr:uid="{00000000-0005-0000-0000-0000352A0000}"/>
    <cellStyle name="Millares 3 2 3 3 2 2 4 3" xfId="20440" xr:uid="{00000000-0005-0000-0000-0000362A0000}"/>
    <cellStyle name="Millares 3 2 3 3 2 2 5" xfId="10436" xr:uid="{00000000-0005-0000-0000-0000372A0000}"/>
    <cellStyle name="Millares 3 2 3 3 2 2 6" xfId="17212" xr:uid="{00000000-0005-0000-0000-0000382A0000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3" xfId="21047" xr:uid="{00000000-0005-0000-0000-00003C2A0000}"/>
    <cellStyle name="Millares 3 2 3 3 2 3 3" xfId="11063" xr:uid="{00000000-0005-0000-0000-00003D2A0000}"/>
    <cellStyle name="Millares 3 2 3 3 2 3 4" xfId="17819" xr:uid="{00000000-0005-0000-0000-00003E2A000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3" xfId="22278" xr:uid="{00000000-0005-0000-0000-0000422A0000}"/>
    <cellStyle name="Millares 3 2 3 3 2 4 3" xfId="12363" xr:uid="{00000000-0005-0000-0000-0000432A0000}"/>
    <cellStyle name="Millares 3 2 3 3 2 4 4" xfId="19050" xr:uid="{00000000-0005-0000-0000-0000442A0000}"/>
    <cellStyle name="Millares 3 2 3 3 2 5" xfId="6787" xr:uid="{00000000-0005-0000-0000-0000452A0000}"/>
    <cellStyle name="Millares 3 2 3 3 2 5 2" xfId="13365" xr:uid="{00000000-0005-0000-0000-0000462A0000}"/>
    <cellStyle name="Millares 3 2 3 3 2 5 3" xfId="20052" xr:uid="{00000000-0005-0000-0000-0000472A0000}"/>
    <cellStyle name="Millares 3 2 3 3 2 6" xfId="10042" xr:uid="{00000000-0005-0000-0000-0000482A0000}"/>
    <cellStyle name="Millares 3 2 3 3 2 7" xfId="16824" xr:uid="{00000000-0005-0000-0000-0000492A0000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3" xfId="21413" xr:uid="{00000000-0005-0000-0000-00004E2A0000}"/>
    <cellStyle name="Millares 3 2 3 3 3 2 3" xfId="11464" xr:uid="{00000000-0005-0000-0000-00004F2A0000}"/>
    <cellStyle name="Millares 3 2 3 3 3 2 4" xfId="18185" xr:uid="{00000000-0005-0000-0000-0000502A0000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3" xfId="22644" xr:uid="{00000000-0005-0000-0000-0000542A0000}"/>
    <cellStyle name="Millares 3 2 3 3 3 3 3" xfId="12729" xr:uid="{00000000-0005-0000-0000-0000552A0000}"/>
    <cellStyle name="Millares 3 2 3 3 3 3 4" xfId="19416" xr:uid="{00000000-0005-0000-0000-0000562A0000}"/>
    <cellStyle name="Millares 3 2 3 3 3 4" xfId="6982" xr:uid="{00000000-0005-0000-0000-0000572A0000}"/>
    <cellStyle name="Millares 3 2 3 3 3 4 2" xfId="13560" xr:uid="{00000000-0005-0000-0000-0000582A0000}"/>
    <cellStyle name="Millares 3 2 3 3 3 4 3" xfId="20247" xr:uid="{00000000-0005-0000-0000-0000592A0000}"/>
    <cellStyle name="Millares 3 2 3 3 3 5" xfId="10243" xr:uid="{00000000-0005-0000-0000-00005A2A0000}"/>
    <cellStyle name="Millares 3 2 3 3 3 6" xfId="17019" xr:uid="{00000000-0005-0000-0000-00005B2A0000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3" xfId="22743" xr:uid="{00000000-0005-0000-0000-0000602A0000}"/>
    <cellStyle name="Millares 3 2 3 3 4 2 3" xfId="12828" xr:uid="{00000000-0005-0000-0000-0000612A0000}"/>
    <cellStyle name="Millares 3 2 3 3 4 2 4" xfId="19515" xr:uid="{00000000-0005-0000-0000-0000622A0000}"/>
    <cellStyle name="Millares 3 2 3 3 4 3" xfId="8247" xr:uid="{00000000-0005-0000-0000-0000632A0000}"/>
    <cellStyle name="Millares 3 2 3 3 4 3 2" xfId="14825" xr:uid="{00000000-0005-0000-0000-0000642A0000}"/>
    <cellStyle name="Millares 3 2 3 3 4 3 3" xfId="21512" xr:uid="{00000000-0005-0000-0000-0000652A0000}"/>
    <cellStyle name="Millares 3 2 3 3 4 4" xfId="11576" xr:uid="{00000000-0005-0000-0000-0000662A0000}"/>
    <cellStyle name="Millares 3 2 3 3 4 5" xfId="18284" xr:uid="{00000000-0005-0000-0000-0000672A0000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3" xfId="20651" xr:uid="{00000000-0005-0000-0000-00006B2A0000}"/>
    <cellStyle name="Millares 3 2 3 3 5 3" xfId="10648" xr:uid="{00000000-0005-0000-0000-00006C2A0000}"/>
    <cellStyle name="Millares 3 2 3 3 5 4" xfId="17423" xr:uid="{00000000-0005-0000-0000-00006D2A0000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3" xfId="21882" xr:uid="{00000000-0005-0000-0000-0000712A0000}"/>
    <cellStyle name="Millares 3 2 3 3 6 3" xfId="11967" xr:uid="{00000000-0005-0000-0000-0000722A0000}"/>
    <cellStyle name="Millares 3 2 3 3 6 4" xfId="18654" xr:uid="{00000000-0005-0000-0000-0000732A0000}"/>
    <cellStyle name="Millares 3 2 3 3 7" xfId="6594" xr:uid="{00000000-0005-0000-0000-0000742A0000}"/>
    <cellStyle name="Millares 3 2 3 3 7 2" xfId="13172" xr:uid="{00000000-0005-0000-0000-0000752A0000}"/>
    <cellStyle name="Millares 3 2 3 3 7 3" xfId="19859" xr:uid="{00000000-0005-0000-0000-0000762A0000}"/>
    <cellStyle name="Millares 3 2 3 3 8" xfId="9833" xr:uid="{00000000-0005-0000-0000-0000772A0000}"/>
    <cellStyle name="Millares 3 2 3 3 9" xfId="16631" xr:uid="{00000000-0005-0000-0000-0000782A0000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3" xfId="21150" xr:uid="{00000000-0005-0000-0000-00007E2A0000}"/>
    <cellStyle name="Millares 3 2 3 4 2 2 3" xfId="11172" xr:uid="{00000000-0005-0000-0000-00007F2A0000}"/>
    <cellStyle name="Millares 3 2 3 4 2 2 4" xfId="17922" xr:uid="{00000000-0005-0000-0000-0000802A000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3" xfId="22381" xr:uid="{00000000-0005-0000-0000-0000842A0000}"/>
    <cellStyle name="Millares 3 2 3 4 2 3 3" xfId="12466" xr:uid="{00000000-0005-0000-0000-0000852A0000}"/>
    <cellStyle name="Millares 3 2 3 4 2 3 4" xfId="19153" xr:uid="{00000000-0005-0000-0000-0000862A0000}"/>
    <cellStyle name="Millares 3 2 3 4 2 4" xfId="7082" xr:uid="{00000000-0005-0000-0000-0000872A0000}"/>
    <cellStyle name="Millares 3 2 3 4 2 4 2" xfId="13660" xr:uid="{00000000-0005-0000-0000-0000882A0000}"/>
    <cellStyle name="Millares 3 2 3 4 2 4 3" xfId="20347" xr:uid="{00000000-0005-0000-0000-0000892A0000}"/>
    <cellStyle name="Millares 3 2 3 4 2 5" xfId="10343" xr:uid="{00000000-0005-0000-0000-00008A2A0000}"/>
    <cellStyle name="Millares 3 2 3 4 2 6" xfId="17119" xr:uid="{00000000-0005-0000-0000-00008B2A0000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3" xfId="22795" xr:uid="{00000000-0005-0000-0000-0000902A0000}"/>
    <cellStyle name="Millares 3 2 3 4 3 2 3" xfId="12880" xr:uid="{00000000-0005-0000-0000-0000912A0000}"/>
    <cellStyle name="Millares 3 2 3 4 3 2 4" xfId="19567" xr:uid="{00000000-0005-0000-0000-0000922A0000}"/>
    <cellStyle name="Millares 3 2 3 4 3 3" xfId="8299" xr:uid="{00000000-0005-0000-0000-0000932A0000}"/>
    <cellStyle name="Millares 3 2 3 4 3 3 2" xfId="14877" xr:uid="{00000000-0005-0000-0000-0000942A0000}"/>
    <cellStyle name="Millares 3 2 3 4 3 3 3" xfId="21564" xr:uid="{00000000-0005-0000-0000-0000952A0000}"/>
    <cellStyle name="Millares 3 2 3 4 3 4" xfId="11633" xr:uid="{00000000-0005-0000-0000-0000962A0000}"/>
    <cellStyle name="Millares 3 2 3 4 3 5" xfId="18336" xr:uid="{00000000-0005-0000-0000-0000972A000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3" xfId="20754" xr:uid="{00000000-0005-0000-0000-00009B2A0000}"/>
    <cellStyle name="Millares 3 2 3 4 4 3" xfId="10751" xr:uid="{00000000-0005-0000-0000-00009C2A0000}"/>
    <cellStyle name="Millares 3 2 3 4 4 4" xfId="17526" xr:uid="{00000000-0005-0000-0000-00009D2A0000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3" xfId="21985" xr:uid="{00000000-0005-0000-0000-0000A12A0000}"/>
    <cellStyle name="Millares 3 2 3 4 5 3" xfId="12070" xr:uid="{00000000-0005-0000-0000-0000A22A0000}"/>
    <cellStyle name="Millares 3 2 3 4 5 4" xfId="18757" xr:uid="{00000000-0005-0000-0000-0000A32A0000}"/>
    <cellStyle name="Millares 3 2 3 4 6" xfId="6694" xr:uid="{00000000-0005-0000-0000-0000A42A0000}"/>
    <cellStyle name="Millares 3 2 3 4 6 2" xfId="13272" xr:uid="{00000000-0005-0000-0000-0000A52A0000}"/>
    <cellStyle name="Millares 3 2 3 4 6 3" xfId="19959" xr:uid="{00000000-0005-0000-0000-0000A62A0000}"/>
    <cellStyle name="Millares 3 2 3 4 7" xfId="9942" xr:uid="{00000000-0005-0000-0000-0000A72A0000}"/>
    <cellStyle name="Millares 3 2 3 4 8" xfId="16731" xr:uid="{00000000-0005-0000-0000-0000A82A000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3" xfId="22460" xr:uid="{00000000-0005-0000-0000-0000AE2A0000}"/>
    <cellStyle name="Millares 3 2 3 5 2 2 3" xfId="12545" xr:uid="{00000000-0005-0000-0000-0000AF2A0000}"/>
    <cellStyle name="Millares 3 2 3 5 2 2 4" xfId="19232" xr:uid="{00000000-0005-0000-0000-0000B02A0000}"/>
    <cellStyle name="Millares 3 2 3 5 2 3" xfId="7964" xr:uid="{00000000-0005-0000-0000-0000B12A0000}"/>
    <cellStyle name="Millares 3 2 3 5 2 3 2" xfId="14542" xr:uid="{00000000-0005-0000-0000-0000B22A0000}"/>
    <cellStyle name="Millares 3 2 3 5 2 3 3" xfId="21229" xr:uid="{00000000-0005-0000-0000-0000B32A0000}"/>
    <cellStyle name="Millares 3 2 3 5 2 4" xfId="11258" xr:uid="{00000000-0005-0000-0000-0000B42A0000}"/>
    <cellStyle name="Millares 3 2 3 5 2 5" xfId="18001" xr:uid="{00000000-0005-0000-0000-0000B52A0000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3" xfId="20833" xr:uid="{00000000-0005-0000-0000-0000B92A0000}"/>
    <cellStyle name="Millares 3 2 3 5 3 3" xfId="10831" xr:uid="{00000000-0005-0000-0000-0000BA2A0000}"/>
    <cellStyle name="Millares 3 2 3 5 3 4" xfId="17605" xr:uid="{00000000-0005-0000-0000-0000BB2A0000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3" xfId="22064" xr:uid="{00000000-0005-0000-0000-0000BF2A0000}"/>
    <cellStyle name="Millares 3 2 3 5 4 3" xfId="12149" xr:uid="{00000000-0005-0000-0000-0000C02A0000}"/>
    <cellStyle name="Millares 3 2 3 5 4 4" xfId="18836" xr:uid="{00000000-0005-0000-0000-0000C12A0000}"/>
    <cellStyle name="Millares 3 2 3 5 5" xfId="6889" xr:uid="{00000000-0005-0000-0000-0000C22A0000}"/>
    <cellStyle name="Millares 3 2 3 5 5 2" xfId="13467" xr:uid="{00000000-0005-0000-0000-0000C32A0000}"/>
    <cellStyle name="Millares 3 2 3 5 5 3" xfId="20154" xr:uid="{00000000-0005-0000-0000-0000C42A0000}"/>
    <cellStyle name="Millares 3 2 3 5 6" xfId="10150" xr:uid="{00000000-0005-0000-0000-0000C52A0000}"/>
    <cellStyle name="Millares 3 2 3 5 7" xfId="16926" xr:uid="{00000000-0005-0000-0000-0000C62A000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3" xfId="22172" xr:uid="{00000000-0005-0000-0000-0000CB2A0000}"/>
    <cellStyle name="Millares 3 2 3 6 2 3" xfId="12257" xr:uid="{00000000-0005-0000-0000-0000CC2A0000}"/>
    <cellStyle name="Millares 3 2 3 6 2 4" xfId="18944" xr:uid="{00000000-0005-0000-0000-0000CD2A0000}"/>
    <cellStyle name="Millares 3 2 3 6 3" xfId="7676" xr:uid="{00000000-0005-0000-0000-0000CE2A0000}"/>
    <cellStyle name="Millares 3 2 3 6 3 2" xfId="14254" xr:uid="{00000000-0005-0000-0000-0000CF2A0000}"/>
    <cellStyle name="Millares 3 2 3 6 3 3" xfId="20941" xr:uid="{00000000-0005-0000-0000-0000D02A0000}"/>
    <cellStyle name="Millares 3 2 3 6 4" xfId="10948" xr:uid="{00000000-0005-0000-0000-0000D12A0000}"/>
    <cellStyle name="Millares 3 2 3 6 5" xfId="17713" xr:uid="{00000000-0005-0000-0000-0000D22A0000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3" xfId="22552" xr:uid="{00000000-0005-0000-0000-0000D72A0000}"/>
    <cellStyle name="Millares 3 2 3 7 2 3" xfId="12637" xr:uid="{00000000-0005-0000-0000-0000D82A0000}"/>
    <cellStyle name="Millares 3 2 3 7 2 4" xfId="19324" xr:uid="{00000000-0005-0000-0000-0000D92A0000}"/>
    <cellStyle name="Millares 3 2 3 7 3" xfId="8056" xr:uid="{00000000-0005-0000-0000-0000DA2A0000}"/>
    <cellStyle name="Millares 3 2 3 7 3 2" xfId="14634" xr:uid="{00000000-0005-0000-0000-0000DB2A0000}"/>
    <cellStyle name="Millares 3 2 3 7 3 3" xfId="21321" xr:uid="{00000000-0005-0000-0000-0000DC2A0000}"/>
    <cellStyle name="Millares 3 2 3 7 4" xfId="11358" xr:uid="{00000000-0005-0000-0000-0000DD2A0000}"/>
    <cellStyle name="Millares 3 2 3 7 5" xfId="18093" xr:uid="{00000000-0005-0000-0000-0000DE2A0000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3" xfId="22719" xr:uid="{00000000-0005-0000-0000-0000E32A0000}"/>
    <cellStyle name="Millares 3 2 3 8 2 3" xfId="12804" xr:uid="{00000000-0005-0000-0000-0000E42A0000}"/>
    <cellStyle name="Millares 3 2 3 8 2 4" xfId="19491" xr:uid="{00000000-0005-0000-0000-0000E52A0000}"/>
    <cellStyle name="Millares 3 2 3 8 3" xfId="8223" xr:uid="{00000000-0005-0000-0000-0000E62A0000}"/>
    <cellStyle name="Millares 3 2 3 8 3 2" xfId="14801" xr:uid="{00000000-0005-0000-0000-0000E72A0000}"/>
    <cellStyle name="Millares 3 2 3 8 3 3" xfId="21488" xr:uid="{00000000-0005-0000-0000-0000E82A0000}"/>
    <cellStyle name="Millares 3 2 3 8 4" xfId="11552" xr:uid="{00000000-0005-0000-0000-0000E92A0000}"/>
    <cellStyle name="Millares 3 2 3 8 5" xfId="18260" xr:uid="{00000000-0005-0000-0000-0000EA2A0000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3" xfId="20545" xr:uid="{00000000-0005-0000-0000-0000EE2A0000}"/>
    <cellStyle name="Millares 3 2 3 9 3" xfId="10542" xr:uid="{00000000-0005-0000-0000-0000EF2A0000}"/>
    <cellStyle name="Millares 3 2 3 9 4" xfId="17317" xr:uid="{00000000-0005-0000-0000-0000F02A0000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3" xfId="19790" xr:uid="{00000000-0005-0000-0000-0000F42A0000}"/>
    <cellStyle name="Millares 3 2 4 11" xfId="9760" xr:uid="{00000000-0005-0000-0000-0000F52A0000}"/>
    <cellStyle name="Millares 3 2 4 12" xfId="16562" xr:uid="{00000000-0005-0000-0000-0000F62A0000}"/>
    <cellStyle name="Millares 3 2 4 2" xfId="614" xr:uid="{00000000-0005-0000-0000-0000F72A0000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3" xfId="21680" xr:uid="{00000000-0005-0000-0000-0000FD2A0000}"/>
    <cellStyle name="Millares 3 2 4 2 2 2 2 3" xfId="11763" xr:uid="{00000000-0005-0000-0000-0000FE2A0000}"/>
    <cellStyle name="Millares 3 2 4 2 2 2 2 4" xfId="18452" xr:uid="{00000000-0005-0000-0000-0000FF2A000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3" xfId="22911" xr:uid="{00000000-0005-0000-0000-0000032B0000}"/>
    <cellStyle name="Millares 3 2 4 2 2 2 3 3" xfId="12996" xr:uid="{00000000-0005-0000-0000-0000042B0000}"/>
    <cellStyle name="Millares 3 2 4 2 2 2 3 4" xfId="19683" xr:uid="{00000000-0005-0000-0000-0000052B0000}"/>
    <cellStyle name="Millares 3 2 4 2 2 2 4" xfId="7198" xr:uid="{00000000-0005-0000-0000-0000062B0000}"/>
    <cellStyle name="Millares 3 2 4 2 2 2 4 2" xfId="13776" xr:uid="{00000000-0005-0000-0000-0000072B0000}"/>
    <cellStyle name="Millares 3 2 4 2 2 2 4 3" xfId="20463" xr:uid="{00000000-0005-0000-0000-0000082B0000}"/>
    <cellStyle name="Millares 3 2 4 2 2 2 5" xfId="10459" xr:uid="{00000000-0005-0000-0000-0000092B0000}"/>
    <cellStyle name="Millares 3 2 4 2 2 2 6" xfId="17235" xr:uid="{00000000-0005-0000-0000-00000A2B0000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3" xfId="21024" xr:uid="{00000000-0005-0000-0000-00000E2B0000}"/>
    <cellStyle name="Millares 3 2 4 2 2 3 3" xfId="11040" xr:uid="{00000000-0005-0000-0000-00000F2B0000}"/>
    <cellStyle name="Millares 3 2 4 2 2 3 4" xfId="17796" xr:uid="{00000000-0005-0000-0000-0000102B0000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3" xfId="22255" xr:uid="{00000000-0005-0000-0000-0000142B0000}"/>
    <cellStyle name="Millares 3 2 4 2 2 4 3" xfId="12340" xr:uid="{00000000-0005-0000-0000-0000152B0000}"/>
    <cellStyle name="Millares 3 2 4 2 2 4 4" xfId="19027" xr:uid="{00000000-0005-0000-0000-0000162B0000}"/>
    <cellStyle name="Millares 3 2 4 2 2 5" xfId="6810" xr:uid="{00000000-0005-0000-0000-0000172B0000}"/>
    <cellStyle name="Millares 3 2 4 2 2 5 2" xfId="13388" xr:uid="{00000000-0005-0000-0000-0000182B0000}"/>
    <cellStyle name="Millares 3 2 4 2 2 5 3" xfId="20075" xr:uid="{00000000-0005-0000-0000-0000192B0000}"/>
    <cellStyle name="Millares 3 2 4 2 2 6" xfId="10067" xr:uid="{00000000-0005-0000-0000-00001A2B0000}"/>
    <cellStyle name="Millares 3 2 4 2 2 7" xfId="16847" xr:uid="{00000000-0005-0000-0000-00001B2B0000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3" xfId="21436" xr:uid="{00000000-0005-0000-0000-0000202B0000}"/>
    <cellStyle name="Millares 3 2 4 2 3 2 3" xfId="11493" xr:uid="{00000000-0005-0000-0000-0000212B0000}"/>
    <cellStyle name="Millares 3 2 4 2 3 2 4" xfId="18208" xr:uid="{00000000-0005-0000-0000-0000222B0000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3" xfId="22667" xr:uid="{00000000-0005-0000-0000-0000262B0000}"/>
    <cellStyle name="Millares 3 2 4 2 3 3 3" xfId="12752" xr:uid="{00000000-0005-0000-0000-0000272B0000}"/>
    <cellStyle name="Millares 3 2 4 2 3 3 4" xfId="19439" xr:uid="{00000000-0005-0000-0000-0000282B0000}"/>
    <cellStyle name="Millares 3 2 4 2 3 4" xfId="7005" xr:uid="{00000000-0005-0000-0000-0000292B0000}"/>
    <cellStyle name="Millares 3 2 4 2 3 4 2" xfId="13583" xr:uid="{00000000-0005-0000-0000-00002A2B0000}"/>
    <cellStyle name="Millares 3 2 4 2 3 4 3" xfId="20270" xr:uid="{00000000-0005-0000-0000-00002B2B0000}"/>
    <cellStyle name="Millares 3 2 4 2 3 5" xfId="10266" xr:uid="{00000000-0005-0000-0000-00002C2B0000}"/>
    <cellStyle name="Millares 3 2 4 2 3 6" xfId="17042" xr:uid="{00000000-0005-0000-0000-00002D2B0000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3" xfId="22749" xr:uid="{00000000-0005-0000-0000-0000322B0000}"/>
    <cellStyle name="Millares 3 2 4 2 4 2 3" xfId="12834" xr:uid="{00000000-0005-0000-0000-0000332B0000}"/>
    <cellStyle name="Millares 3 2 4 2 4 2 4" xfId="19521" xr:uid="{00000000-0005-0000-0000-0000342B0000}"/>
    <cellStyle name="Millares 3 2 4 2 4 3" xfId="8253" xr:uid="{00000000-0005-0000-0000-0000352B0000}"/>
    <cellStyle name="Millares 3 2 4 2 4 3 2" xfId="14831" xr:uid="{00000000-0005-0000-0000-0000362B0000}"/>
    <cellStyle name="Millares 3 2 4 2 4 3 3" xfId="21518" xr:uid="{00000000-0005-0000-0000-0000372B0000}"/>
    <cellStyle name="Millares 3 2 4 2 4 4" xfId="11582" xr:uid="{00000000-0005-0000-0000-0000382B0000}"/>
    <cellStyle name="Millares 3 2 4 2 4 5" xfId="18290" xr:uid="{00000000-0005-0000-0000-0000392B0000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3" xfId="20628" xr:uid="{00000000-0005-0000-0000-00003D2B0000}"/>
    <cellStyle name="Millares 3 2 4 2 5 3" xfId="10625" xr:uid="{00000000-0005-0000-0000-00003E2B0000}"/>
    <cellStyle name="Millares 3 2 4 2 5 4" xfId="17400" xr:uid="{00000000-0005-0000-0000-00003F2B0000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3" xfId="21859" xr:uid="{00000000-0005-0000-0000-0000432B0000}"/>
    <cellStyle name="Millares 3 2 4 2 6 3" xfId="11944" xr:uid="{00000000-0005-0000-0000-0000442B0000}"/>
    <cellStyle name="Millares 3 2 4 2 6 4" xfId="18631" xr:uid="{00000000-0005-0000-0000-0000452B0000}"/>
    <cellStyle name="Millares 3 2 4 2 7" xfId="6617" xr:uid="{00000000-0005-0000-0000-0000462B0000}"/>
    <cellStyle name="Millares 3 2 4 2 7 2" xfId="13195" xr:uid="{00000000-0005-0000-0000-0000472B0000}"/>
    <cellStyle name="Millares 3 2 4 2 7 3" xfId="19882" xr:uid="{00000000-0005-0000-0000-0000482B0000}"/>
    <cellStyle name="Millares 3 2 4 2 8" xfId="9858" xr:uid="{00000000-0005-0000-0000-0000492B0000}"/>
    <cellStyle name="Millares 3 2 4 2 9" xfId="16654" xr:uid="{00000000-0005-0000-0000-00004A2B0000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3" xfId="21152" xr:uid="{00000000-0005-0000-0000-0000502B0000}"/>
    <cellStyle name="Millares 3 2 4 3 2 2 3" xfId="11174" xr:uid="{00000000-0005-0000-0000-0000512B0000}"/>
    <cellStyle name="Millares 3 2 4 3 2 2 4" xfId="17924" xr:uid="{00000000-0005-0000-0000-0000522B0000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3" xfId="22383" xr:uid="{00000000-0005-0000-0000-0000562B0000}"/>
    <cellStyle name="Millares 3 2 4 3 2 3 3" xfId="12468" xr:uid="{00000000-0005-0000-0000-0000572B0000}"/>
    <cellStyle name="Millares 3 2 4 3 2 3 4" xfId="19155" xr:uid="{00000000-0005-0000-0000-0000582B0000}"/>
    <cellStyle name="Millares 3 2 4 3 2 4" xfId="7106" xr:uid="{00000000-0005-0000-0000-0000592B0000}"/>
    <cellStyle name="Millares 3 2 4 3 2 4 2" xfId="13684" xr:uid="{00000000-0005-0000-0000-00005A2B0000}"/>
    <cellStyle name="Millares 3 2 4 3 2 4 3" xfId="20371" xr:uid="{00000000-0005-0000-0000-00005B2B0000}"/>
    <cellStyle name="Millares 3 2 4 3 2 5" xfId="10367" xr:uid="{00000000-0005-0000-0000-00005C2B0000}"/>
    <cellStyle name="Millares 3 2 4 3 2 6" xfId="17143" xr:uid="{00000000-0005-0000-0000-00005D2B000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3" xfId="22819" xr:uid="{00000000-0005-0000-0000-0000622B0000}"/>
    <cellStyle name="Millares 3 2 4 3 3 2 3" xfId="12904" xr:uid="{00000000-0005-0000-0000-0000632B0000}"/>
    <cellStyle name="Millares 3 2 4 3 3 2 4" xfId="19591" xr:uid="{00000000-0005-0000-0000-0000642B0000}"/>
    <cellStyle name="Millares 3 2 4 3 3 3" xfId="8323" xr:uid="{00000000-0005-0000-0000-0000652B0000}"/>
    <cellStyle name="Millares 3 2 4 3 3 3 2" xfId="14901" xr:uid="{00000000-0005-0000-0000-0000662B0000}"/>
    <cellStyle name="Millares 3 2 4 3 3 3 3" xfId="21588" xr:uid="{00000000-0005-0000-0000-0000672B0000}"/>
    <cellStyle name="Millares 3 2 4 3 3 4" xfId="11658" xr:uid="{00000000-0005-0000-0000-0000682B0000}"/>
    <cellStyle name="Millares 3 2 4 3 3 5" xfId="18360" xr:uid="{00000000-0005-0000-0000-0000692B0000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3" xfId="20756" xr:uid="{00000000-0005-0000-0000-00006D2B0000}"/>
    <cellStyle name="Millares 3 2 4 3 4 3" xfId="10753" xr:uid="{00000000-0005-0000-0000-00006E2B0000}"/>
    <cellStyle name="Millares 3 2 4 3 4 4" xfId="17528" xr:uid="{00000000-0005-0000-0000-00006F2B0000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3" xfId="21987" xr:uid="{00000000-0005-0000-0000-0000732B0000}"/>
    <cellStyle name="Millares 3 2 4 3 5 3" xfId="12072" xr:uid="{00000000-0005-0000-0000-0000742B0000}"/>
    <cellStyle name="Millares 3 2 4 3 5 4" xfId="18759" xr:uid="{00000000-0005-0000-0000-0000752B0000}"/>
    <cellStyle name="Millares 3 2 4 3 6" xfId="6718" xr:uid="{00000000-0005-0000-0000-0000762B0000}"/>
    <cellStyle name="Millares 3 2 4 3 6 2" xfId="13296" xr:uid="{00000000-0005-0000-0000-0000772B0000}"/>
    <cellStyle name="Millares 3 2 4 3 6 3" xfId="19983" xr:uid="{00000000-0005-0000-0000-0000782B0000}"/>
    <cellStyle name="Millares 3 2 4 3 7" xfId="9966" xr:uid="{00000000-0005-0000-0000-0000792B0000}"/>
    <cellStyle name="Millares 3 2 4 3 8" xfId="16755" xr:uid="{00000000-0005-0000-0000-00007A2B0000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3" xfId="22483" xr:uid="{00000000-0005-0000-0000-0000802B0000}"/>
    <cellStyle name="Millares 3 2 4 4 2 2 3" xfId="12568" xr:uid="{00000000-0005-0000-0000-0000812B0000}"/>
    <cellStyle name="Millares 3 2 4 4 2 2 4" xfId="19255" xr:uid="{00000000-0005-0000-0000-0000822B0000}"/>
    <cellStyle name="Millares 3 2 4 4 2 3" xfId="7987" xr:uid="{00000000-0005-0000-0000-0000832B0000}"/>
    <cellStyle name="Millares 3 2 4 4 2 3 2" xfId="14565" xr:uid="{00000000-0005-0000-0000-0000842B0000}"/>
    <cellStyle name="Millares 3 2 4 4 2 3 3" xfId="21252" xr:uid="{00000000-0005-0000-0000-0000852B0000}"/>
    <cellStyle name="Millares 3 2 4 4 2 4" xfId="11284" xr:uid="{00000000-0005-0000-0000-0000862B0000}"/>
    <cellStyle name="Millares 3 2 4 4 2 5" xfId="18024" xr:uid="{00000000-0005-0000-0000-0000872B0000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3" xfId="20856" xr:uid="{00000000-0005-0000-0000-00008B2B0000}"/>
    <cellStyle name="Millares 3 2 4 4 3 3" xfId="10856" xr:uid="{00000000-0005-0000-0000-00008C2B0000}"/>
    <cellStyle name="Millares 3 2 4 4 3 4" xfId="17628" xr:uid="{00000000-0005-0000-0000-00008D2B0000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3" xfId="22087" xr:uid="{00000000-0005-0000-0000-0000912B0000}"/>
    <cellStyle name="Millares 3 2 4 4 4 3" xfId="12172" xr:uid="{00000000-0005-0000-0000-0000922B0000}"/>
    <cellStyle name="Millares 3 2 4 4 4 4" xfId="18859" xr:uid="{00000000-0005-0000-0000-0000932B0000}"/>
    <cellStyle name="Millares 3 2 4 4 5" xfId="6913" xr:uid="{00000000-0005-0000-0000-0000942B0000}"/>
    <cellStyle name="Millares 3 2 4 4 5 2" xfId="13491" xr:uid="{00000000-0005-0000-0000-0000952B0000}"/>
    <cellStyle name="Millares 3 2 4 4 5 3" xfId="20178" xr:uid="{00000000-0005-0000-0000-0000962B0000}"/>
    <cellStyle name="Millares 3 2 4 4 6" xfId="10174" xr:uid="{00000000-0005-0000-0000-0000972B0000}"/>
    <cellStyle name="Millares 3 2 4 4 7" xfId="16950" xr:uid="{00000000-0005-0000-0000-0000982B0000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3" xfId="22149" xr:uid="{00000000-0005-0000-0000-00009D2B0000}"/>
    <cellStyle name="Millares 3 2 4 5 2 3" xfId="12234" xr:uid="{00000000-0005-0000-0000-00009E2B0000}"/>
    <cellStyle name="Millares 3 2 4 5 2 4" xfId="18921" xr:uid="{00000000-0005-0000-0000-00009F2B0000}"/>
    <cellStyle name="Millares 3 2 4 5 3" xfId="7653" xr:uid="{00000000-0005-0000-0000-0000A02B0000}"/>
    <cellStyle name="Millares 3 2 4 5 3 2" xfId="14231" xr:uid="{00000000-0005-0000-0000-0000A12B0000}"/>
    <cellStyle name="Millares 3 2 4 5 3 3" xfId="20918" xr:uid="{00000000-0005-0000-0000-0000A22B0000}"/>
    <cellStyle name="Millares 3 2 4 5 4" xfId="10924" xr:uid="{00000000-0005-0000-0000-0000A32B0000}"/>
    <cellStyle name="Millares 3 2 4 5 5" xfId="17690" xr:uid="{00000000-0005-0000-0000-0000A42B0000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3" xfId="22575" xr:uid="{00000000-0005-0000-0000-0000A92B0000}"/>
    <cellStyle name="Millares 3 2 4 6 2 3" xfId="12660" xr:uid="{00000000-0005-0000-0000-0000AA2B0000}"/>
    <cellStyle name="Millares 3 2 4 6 2 4" xfId="19347" xr:uid="{00000000-0005-0000-0000-0000AB2B0000}"/>
    <cellStyle name="Millares 3 2 4 6 3" xfId="8079" xr:uid="{00000000-0005-0000-0000-0000AC2B0000}"/>
    <cellStyle name="Millares 3 2 4 6 3 2" xfId="14657" xr:uid="{00000000-0005-0000-0000-0000AD2B0000}"/>
    <cellStyle name="Millares 3 2 4 6 3 3" xfId="21344" xr:uid="{00000000-0005-0000-0000-0000AE2B0000}"/>
    <cellStyle name="Millares 3 2 4 6 4" xfId="11382" xr:uid="{00000000-0005-0000-0000-0000AF2B0000}"/>
    <cellStyle name="Millares 3 2 4 6 5" xfId="18116" xr:uid="{00000000-0005-0000-0000-0000B02B0000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3" xfId="22725" xr:uid="{00000000-0005-0000-0000-0000B52B0000}"/>
    <cellStyle name="Millares 3 2 4 7 2 3" xfId="12810" xr:uid="{00000000-0005-0000-0000-0000B62B0000}"/>
    <cellStyle name="Millares 3 2 4 7 2 4" xfId="19497" xr:uid="{00000000-0005-0000-0000-0000B72B0000}"/>
    <cellStyle name="Millares 3 2 4 7 3" xfId="8229" xr:uid="{00000000-0005-0000-0000-0000B82B0000}"/>
    <cellStyle name="Millares 3 2 4 7 3 2" xfId="14807" xr:uid="{00000000-0005-0000-0000-0000B92B0000}"/>
    <cellStyle name="Millares 3 2 4 7 3 3" xfId="21494" xr:uid="{00000000-0005-0000-0000-0000BA2B0000}"/>
    <cellStyle name="Millares 3 2 4 7 4" xfId="11558" xr:uid="{00000000-0005-0000-0000-0000BB2B0000}"/>
    <cellStyle name="Millares 3 2 4 7 5" xfId="18266" xr:uid="{00000000-0005-0000-0000-0000BC2B0000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3" xfId="20522" xr:uid="{00000000-0005-0000-0000-0000C02B0000}"/>
    <cellStyle name="Millares 3 2 4 8 3" xfId="10519" xr:uid="{00000000-0005-0000-0000-0000C12B0000}"/>
    <cellStyle name="Millares 3 2 4 8 4" xfId="17294" xr:uid="{00000000-0005-0000-0000-0000C22B0000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3" xfId="21753" xr:uid="{00000000-0005-0000-0000-0000C62B0000}"/>
    <cellStyle name="Millares 3 2 4 9 3" xfId="11838" xr:uid="{00000000-0005-0000-0000-0000C72B0000}"/>
    <cellStyle name="Millares 3 2 4 9 4" xfId="18525" xr:uid="{00000000-0005-0000-0000-0000C82B0000}"/>
    <cellStyle name="Millares 3 2 5" xfId="441" xr:uid="{00000000-0005-0000-0000-0000C92B0000}"/>
    <cellStyle name="Millares 3 2 5 10" xfId="16609" xr:uid="{00000000-0005-0000-0000-0000CA2B0000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3" xfId="21070" xr:uid="{00000000-0005-0000-0000-0000D02B0000}"/>
    <cellStyle name="Millares 3 2 5 2 2 2 3" xfId="11087" xr:uid="{00000000-0005-0000-0000-0000D12B0000}"/>
    <cellStyle name="Millares 3 2 5 2 2 2 4" xfId="17842" xr:uid="{00000000-0005-0000-0000-0000D22B0000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3" xfId="22301" xr:uid="{00000000-0005-0000-0000-0000D62B0000}"/>
    <cellStyle name="Millares 3 2 5 2 2 3 3" xfId="12386" xr:uid="{00000000-0005-0000-0000-0000D72B0000}"/>
    <cellStyle name="Millares 3 2 5 2 2 3 4" xfId="19073" xr:uid="{00000000-0005-0000-0000-0000D82B0000}"/>
    <cellStyle name="Millares 3 2 5 2 2 4" xfId="7153" xr:uid="{00000000-0005-0000-0000-0000D92B0000}"/>
    <cellStyle name="Millares 3 2 5 2 2 4 2" xfId="13731" xr:uid="{00000000-0005-0000-0000-0000DA2B0000}"/>
    <cellStyle name="Millares 3 2 5 2 2 4 3" xfId="20418" xr:uid="{00000000-0005-0000-0000-0000DB2B0000}"/>
    <cellStyle name="Millares 3 2 5 2 2 5" xfId="10414" xr:uid="{00000000-0005-0000-0000-0000DC2B0000}"/>
    <cellStyle name="Millares 3 2 5 2 2 6" xfId="17190" xr:uid="{00000000-0005-0000-0000-0000DD2B0000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3" xfId="22866" xr:uid="{00000000-0005-0000-0000-0000E22B0000}"/>
    <cellStyle name="Millares 3 2 5 2 3 2 3" xfId="12951" xr:uid="{00000000-0005-0000-0000-0000E32B0000}"/>
    <cellStyle name="Millares 3 2 5 2 3 2 4" xfId="19638" xr:uid="{00000000-0005-0000-0000-0000E42B0000}"/>
    <cellStyle name="Millares 3 2 5 2 3 3" xfId="8370" xr:uid="{00000000-0005-0000-0000-0000E52B0000}"/>
    <cellStyle name="Millares 3 2 5 2 3 3 2" xfId="14948" xr:uid="{00000000-0005-0000-0000-0000E62B0000}"/>
    <cellStyle name="Millares 3 2 5 2 3 3 3" xfId="21635" xr:uid="{00000000-0005-0000-0000-0000E72B0000}"/>
    <cellStyle name="Millares 3 2 5 2 3 4" xfId="11712" xr:uid="{00000000-0005-0000-0000-0000E82B0000}"/>
    <cellStyle name="Millares 3 2 5 2 3 5" xfId="18407" xr:uid="{00000000-0005-0000-0000-0000E92B0000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3" xfId="20674" xr:uid="{00000000-0005-0000-0000-0000ED2B0000}"/>
    <cellStyle name="Millares 3 2 5 2 4 3" xfId="10671" xr:uid="{00000000-0005-0000-0000-0000EE2B0000}"/>
    <cellStyle name="Millares 3 2 5 2 4 4" xfId="17446" xr:uid="{00000000-0005-0000-0000-0000EF2B0000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3" xfId="21905" xr:uid="{00000000-0005-0000-0000-0000F32B0000}"/>
    <cellStyle name="Millares 3 2 5 2 5 3" xfId="11990" xr:uid="{00000000-0005-0000-0000-0000F42B0000}"/>
    <cellStyle name="Millares 3 2 5 2 5 4" xfId="18677" xr:uid="{00000000-0005-0000-0000-0000F52B0000}"/>
    <cellStyle name="Millares 3 2 5 2 6" xfId="6765" xr:uid="{00000000-0005-0000-0000-0000F62B0000}"/>
    <cellStyle name="Millares 3 2 5 2 6 2" xfId="13343" xr:uid="{00000000-0005-0000-0000-0000F72B0000}"/>
    <cellStyle name="Millares 3 2 5 2 6 3" xfId="20030" xr:uid="{00000000-0005-0000-0000-0000F82B0000}"/>
    <cellStyle name="Millares 3 2 5 2 7" xfId="10019" xr:uid="{00000000-0005-0000-0000-0000F92B0000}"/>
    <cellStyle name="Millares 3 2 5 2 8" xfId="16802" xr:uid="{00000000-0005-0000-0000-0000FA2B0000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3" xfId="20964" xr:uid="{00000000-0005-0000-0000-0000FF2B0000}"/>
    <cellStyle name="Millares 3 2 5 3 2 3" xfId="10975" xr:uid="{00000000-0005-0000-0000-0000002C0000}"/>
    <cellStyle name="Millares 3 2 5 3 2 4" xfId="17736" xr:uid="{00000000-0005-0000-0000-0000012C0000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3" xfId="22195" xr:uid="{00000000-0005-0000-0000-0000052C0000}"/>
    <cellStyle name="Millares 3 2 5 3 3 3" xfId="12280" xr:uid="{00000000-0005-0000-0000-0000062C0000}"/>
    <cellStyle name="Millares 3 2 5 3 3 4" xfId="18967" xr:uid="{00000000-0005-0000-0000-0000072C0000}"/>
    <cellStyle name="Millares 3 2 5 3 4" xfId="6960" xr:uid="{00000000-0005-0000-0000-0000082C0000}"/>
    <cellStyle name="Millares 3 2 5 3 4 2" xfId="13538" xr:uid="{00000000-0005-0000-0000-0000092C0000}"/>
    <cellStyle name="Millares 3 2 5 3 4 3" xfId="20225" xr:uid="{00000000-0005-0000-0000-00000A2C0000}"/>
    <cellStyle name="Millares 3 2 5 3 5" xfId="10221" xr:uid="{00000000-0005-0000-0000-00000B2C0000}"/>
    <cellStyle name="Millares 3 2 5 3 6" xfId="16997" xr:uid="{00000000-0005-0000-0000-00000C2C0000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3" xfId="22622" xr:uid="{00000000-0005-0000-0000-0000112C0000}"/>
    <cellStyle name="Millares 3 2 5 4 2 3" xfId="12707" xr:uid="{00000000-0005-0000-0000-0000122C0000}"/>
    <cellStyle name="Millares 3 2 5 4 2 4" xfId="19394" xr:uid="{00000000-0005-0000-0000-0000132C0000}"/>
    <cellStyle name="Millares 3 2 5 4 3" xfId="8126" xr:uid="{00000000-0005-0000-0000-0000142C0000}"/>
    <cellStyle name="Millares 3 2 5 4 3 2" xfId="14704" xr:uid="{00000000-0005-0000-0000-0000152C0000}"/>
    <cellStyle name="Millares 3 2 5 4 3 3" xfId="21391" xr:uid="{00000000-0005-0000-0000-0000162C0000}"/>
    <cellStyle name="Millares 3 2 5 4 4" xfId="11439" xr:uid="{00000000-0005-0000-0000-0000172C0000}"/>
    <cellStyle name="Millares 3 2 5 4 5" xfId="18163" xr:uid="{00000000-0005-0000-0000-0000182C0000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3" xfId="22737" xr:uid="{00000000-0005-0000-0000-00001D2C0000}"/>
    <cellStyle name="Millares 3 2 5 5 2 3" xfId="12822" xr:uid="{00000000-0005-0000-0000-00001E2C0000}"/>
    <cellStyle name="Millares 3 2 5 5 2 4" xfId="19509" xr:uid="{00000000-0005-0000-0000-00001F2C0000}"/>
    <cellStyle name="Millares 3 2 5 5 3" xfId="8241" xr:uid="{00000000-0005-0000-0000-0000202C0000}"/>
    <cellStyle name="Millares 3 2 5 5 3 2" xfId="14819" xr:uid="{00000000-0005-0000-0000-0000212C0000}"/>
    <cellStyle name="Millares 3 2 5 5 3 3" xfId="21506" xr:uid="{00000000-0005-0000-0000-0000222C0000}"/>
    <cellStyle name="Millares 3 2 5 5 4" xfId="11570" xr:uid="{00000000-0005-0000-0000-0000232C0000}"/>
    <cellStyle name="Millares 3 2 5 5 5" xfId="18278" xr:uid="{00000000-0005-0000-0000-0000242C0000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3" xfId="20568" xr:uid="{00000000-0005-0000-0000-0000282C0000}"/>
    <cellStyle name="Millares 3 2 5 6 3" xfId="10565" xr:uid="{00000000-0005-0000-0000-0000292C0000}"/>
    <cellStyle name="Millares 3 2 5 6 4" xfId="17340" xr:uid="{00000000-0005-0000-0000-00002A2C000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3" xfId="21799" xr:uid="{00000000-0005-0000-0000-00002E2C0000}"/>
    <cellStyle name="Millares 3 2 5 7 3" xfId="11884" xr:uid="{00000000-0005-0000-0000-00002F2C0000}"/>
    <cellStyle name="Millares 3 2 5 7 4" xfId="18571" xr:uid="{00000000-0005-0000-0000-0000302C0000}"/>
    <cellStyle name="Millares 3 2 5 8" xfId="6572" xr:uid="{00000000-0005-0000-0000-0000312C0000}"/>
    <cellStyle name="Millares 3 2 5 8 2" xfId="13150" xr:uid="{00000000-0005-0000-0000-0000322C0000}"/>
    <cellStyle name="Millares 3 2 5 8 3" xfId="19837" xr:uid="{00000000-0005-0000-0000-0000332C0000}"/>
    <cellStyle name="Millares 3 2 5 9" xfId="9810" xr:uid="{00000000-0005-0000-0000-0000342C0000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3" xfId="21012" xr:uid="{00000000-0005-0000-0000-00003A2C0000}"/>
    <cellStyle name="Millares 3 2 6 2 2 3" xfId="11028" xr:uid="{00000000-0005-0000-0000-00003B2C0000}"/>
    <cellStyle name="Millares 3 2 6 2 2 4" xfId="17784" xr:uid="{00000000-0005-0000-0000-00003C2C0000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3" xfId="22243" xr:uid="{00000000-0005-0000-0000-0000402C0000}"/>
    <cellStyle name="Millares 3 2 6 2 3 3" xfId="12328" xr:uid="{00000000-0005-0000-0000-0000412C0000}"/>
    <cellStyle name="Millares 3 2 6 2 3 4" xfId="19015" xr:uid="{00000000-0005-0000-0000-0000422C0000}"/>
    <cellStyle name="Millares 3 2 6 2 4" xfId="7059" xr:uid="{00000000-0005-0000-0000-0000432C0000}"/>
    <cellStyle name="Millares 3 2 6 2 4 2" xfId="13637" xr:uid="{00000000-0005-0000-0000-0000442C0000}"/>
    <cellStyle name="Millares 3 2 6 2 4 3" xfId="20324" xr:uid="{00000000-0005-0000-0000-0000452C0000}"/>
    <cellStyle name="Millares 3 2 6 2 5" xfId="10320" xr:uid="{00000000-0005-0000-0000-0000462C0000}"/>
    <cellStyle name="Millares 3 2 6 2 6" xfId="17096" xr:uid="{00000000-0005-0000-0000-0000472C0000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3" xfId="22772" xr:uid="{00000000-0005-0000-0000-00004C2C0000}"/>
    <cellStyle name="Millares 3 2 6 3 2 3" xfId="12857" xr:uid="{00000000-0005-0000-0000-00004D2C0000}"/>
    <cellStyle name="Millares 3 2 6 3 2 4" xfId="19544" xr:uid="{00000000-0005-0000-0000-00004E2C0000}"/>
    <cellStyle name="Millares 3 2 6 3 3" xfId="8276" xr:uid="{00000000-0005-0000-0000-00004F2C0000}"/>
    <cellStyle name="Millares 3 2 6 3 3 2" xfId="14854" xr:uid="{00000000-0005-0000-0000-0000502C0000}"/>
    <cellStyle name="Millares 3 2 6 3 3 3" xfId="21541" xr:uid="{00000000-0005-0000-0000-0000512C0000}"/>
    <cellStyle name="Millares 3 2 6 3 4" xfId="11606" xr:uid="{00000000-0005-0000-0000-0000522C0000}"/>
    <cellStyle name="Millares 3 2 6 3 5" xfId="18313" xr:uid="{00000000-0005-0000-0000-0000532C0000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3" xfId="20616" xr:uid="{00000000-0005-0000-0000-0000572C0000}"/>
    <cellStyle name="Millares 3 2 6 4 3" xfId="10613" xr:uid="{00000000-0005-0000-0000-0000582C0000}"/>
    <cellStyle name="Millares 3 2 6 4 4" xfId="17388" xr:uid="{00000000-0005-0000-0000-0000592C0000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3" xfId="21847" xr:uid="{00000000-0005-0000-0000-00005D2C0000}"/>
    <cellStyle name="Millares 3 2 6 5 3" xfId="11932" xr:uid="{00000000-0005-0000-0000-00005E2C0000}"/>
    <cellStyle name="Millares 3 2 6 5 4" xfId="18619" xr:uid="{00000000-0005-0000-0000-00005F2C0000}"/>
    <cellStyle name="Millares 3 2 6 6" xfId="6671" xr:uid="{00000000-0005-0000-0000-0000602C0000}"/>
    <cellStyle name="Millares 3 2 6 6 2" xfId="13249" xr:uid="{00000000-0005-0000-0000-0000612C0000}"/>
    <cellStyle name="Millares 3 2 6 6 3" xfId="19936" xr:uid="{00000000-0005-0000-0000-0000622C0000}"/>
    <cellStyle name="Millares 3 2 6 7" xfId="9917" xr:uid="{00000000-0005-0000-0000-0000632C0000}"/>
    <cellStyle name="Millares 3 2 6 8" xfId="16708" xr:uid="{00000000-0005-0000-0000-0000642C0000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3" xfId="22376" xr:uid="{00000000-0005-0000-0000-00006A2C0000}"/>
    <cellStyle name="Millares 3 2 7 2 2 3" xfId="12461" xr:uid="{00000000-0005-0000-0000-00006B2C0000}"/>
    <cellStyle name="Millares 3 2 7 2 2 4" xfId="19148" xr:uid="{00000000-0005-0000-0000-00006C2C0000}"/>
    <cellStyle name="Millares 3 2 7 2 3" xfId="7880" xr:uid="{00000000-0005-0000-0000-00006D2C0000}"/>
    <cellStyle name="Millares 3 2 7 2 3 2" xfId="14458" xr:uid="{00000000-0005-0000-0000-00006E2C0000}"/>
    <cellStyle name="Millares 3 2 7 2 3 3" xfId="21145" xr:uid="{00000000-0005-0000-0000-00006F2C0000}"/>
    <cellStyle name="Millares 3 2 7 2 4" xfId="11167" xr:uid="{00000000-0005-0000-0000-0000702C0000}"/>
    <cellStyle name="Millares 3 2 7 2 5" xfId="17917" xr:uid="{00000000-0005-0000-0000-0000712C0000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3" xfId="20749" xr:uid="{00000000-0005-0000-0000-0000752C0000}"/>
    <cellStyle name="Millares 3 2 7 3 3" xfId="10746" xr:uid="{00000000-0005-0000-0000-0000762C0000}"/>
    <cellStyle name="Millares 3 2 7 3 4" xfId="17521" xr:uid="{00000000-0005-0000-0000-0000772C000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3" xfId="21980" xr:uid="{00000000-0005-0000-0000-00007B2C0000}"/>
    <cellStyle name="Millares 3 2 7 4 3" xfId="12065" xr:uid="{00000000-0005-0000-0000-00007C2C0000}"/>
    <cellStyle name="Millares 3 2 7 4 4" xfId="18752" xr:uid="{00000000-0005-0000-0000-00007D2C0000}"/>
    <cellStyle name="Millares 3 2 7 5" xfId="6866" xr:uid="{00000000-0005-0000-0000-00007E2C0000}"/>
    <cellStyle name="Millares 3 2 7 5 2" xfId="13444" xr:uid="{00000000-0005-0000-0000-00007F2C0000}"/>
    <cellStyle name="Millares 3 2 7 5 3" xfId="20131" xr:uid="{00000000-0005-0000-0000-0000802C0000}"/>
    <cellStyle name="Millares 3 2 7 6" xfId="10127" xr:uid="{00000000-0005-0000-0000-0000812C0000}"/>
    <cellStyle name="Millares 3 2 7 7" xfId="16903" xr:uid="{00000000-0005-0000-0000-0000822C0000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3" xfId="22438" xr:uid="{00000000-0005-0000-0000-0000882C0000}"/>
    <cellStyle name="Millares 3 2 8 2 2 3" xfId="12523" xr:uid="{00000000-0005-0000-0000-0000892C0000}"/>
    <cellStyle name="Millares 3 2 8 2 2 4" xfId="19210" xr:uid="{00000000-0005-0000-0000-00008A2C0000}"/>
    <cellStyle name="Millares 3 2 8 2 3" xfId="7942" xr:uid="{00000000-0005-0000-0000-00008B2C0000}"/>
    <cellStyle name="Millares 3 2 8 2 3 2" xfId="14520" xr:uid="{00000000-0005-0000-0000-00008C2C0000}"/>
    <cellStyle name="Millares 3 2 8 2 3 3" xfId="21207" xr:uid="{00000000-0005-0000-0000-00008D2C0000}"/>
    <cellStyle name="Millares 3 2 8 2 4" xfId="11235" xr:uid="{00000000-0005-0000-0000-00008E2C0000}"/>
    <cellStyle name="Millares 3 2 8 2 5" xfId="17979" xr:uid="{00000000-0005-0000-0000-00008F2C0000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3" xfId="22042" xr:uid="{00000000-0005-0000-0000-0000932C0000}"/>
    <cellStyle name="Millares 3 2 8 3 3" xfId="12127" xr:uid="{00000000-0005-0000-0000-0000942C0000}"/>
    <cellStyle name="Millares 3 2 8 3 4" xfId="18814" xr:uid="{00000000-0005-0000-0000-0000952C0000}"/>
    <cellStyle name="Millares 3 2 8 4" xfId="7546" xr:uid="{00000000-0005-0000-0000-0000962C0000}"/>
    <cellStyle name="Millares 3 2 8 4 2" xfId="14124" xr:uid="{00000000-0005-0000-0000-0000972C0000}"/>
    <cellStyle name="Millares 3 2 8 4 3" xfId="20811" xr:uid="{00000000-0005-0000-0000-0000982C0000}"/>
    <cellStyle name="Millares 3 2 8 5" xfId="10808" xr:uid="{00000000-0005-0000-0000-0000992C0000}"/>
    <cellStyle name="Millares 3 2 8 6" xfId="17583" xr:uid="{00000000-0005-0000-0000-00009A2C0000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3" xfId="22137" xr:uid="{00000000-0005-0000-0000-00009F2C0000}"/>
    <cellStyle name="Millares 3 2 9 2 3" xfId="12222" xr:uid="{00000000-0005-0000-0000-0000A02C0000}"/>
    <cellStyle name="Millares 3 2 9 2 4" xfId="18909" xr:uid="{00000000-0005-0000-0000-0000A12C0000}"/>
    <cellStyle name="Millares 3 2 9 3" xfId="7641" xr:uid="{00000000-0005-0000-0000-0000A22C0000}"/>
    <cellStyle name="Millares 3 2 9 3 2" xfId="14219" xr:uid="{00000000-0005-0000-0000-0000A32C0000}"/>
    <cellStyle name="Millares 3 2 9 3 3" xfId="20906" xr:uid="{00000000-0005-0000-0000-0000A42C0000}"/>
    <cellStyle name="Millares 3 2 9 4" xfId="10912" xr:uid="{00000000-0005-0000-0000-0000A52C0000}"/>
    <cellStyle name="Millares 3 2 9 5" xfId="17678" xr:uid="{00000000-0005-0000-0000-0000A62C0000}"/>
    <cellStyle name="Millares 3 3" xfId="773" xr:uid="{00000000-0005-0000-0000-0000A72C0000}"/>
    <cellStyle name="Millares 3 3 10" xfId="16702" xr:uid="{00000000-0005-0000-0000-0000A82C0000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3" xfId="22249" xr:uid="{00000000-0005-0000-0000-0000AE2C0000}"/>
    <cellStyle name="Millares 3 3 2 2 2 3" xfId="12334" xr:uid="{00000000-0005-0000-0000-0000AF2C0000}"/>
    <cellStyle name="Millares 3 3 2 2 2 4" xfId="19021" xr:uid="{00000000-0005-0000-0000-0000B02C0000}"/>
    <cellStyle name="Millares 3 3 2 2 3" xfId="7753" xr:uid="{00000000-0005-0000-0000-0000B12C0000}"/>
    <cellStyle name="Millares 3 3 2 2 3 2" xfId="14331" xr:uid="{00000000-0005-0000-0000-0000B22C0000}"/>
    <cellStyle name="Millares 3 3 2 2 3 3" xfId="21018" xr:uid="{00000000-0005-0000-0000-0000B32C0000}"/>
    <cellStyle name="Millares 3 3 2 2 4" xfId="11034" xr:uid="{00000000-0005-0000-0000-0000B42C0000}"/>
    <cellStyle name="Millares 3 3 2 2 5" xfId="17790" xr:uid="{00000000-0005-0000-0000-0000B52C0000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3" xfId="20622" xr:uid="{00000000-0005-0000-0000-0000B92C0000}"/>
    <cellStyle name="Millares 3 3 2 3 3" xfId="10619" xr:uid="{00000000-0005-0000-0000-0000BA2C0000}"/>
    <cellStyle name="Millares 3 3 2 3 4" xfId="17394" xr:uid="{00000000-0005-0000-0000-0000BB2C0000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3" xfId="21853" xr:uid="{00000000-0005-0000-0000-0000BF2C0000}"/>
    <cellStyle name="Millares 3 3 2 4 3" xfId="11938" xr:uid="{00000000-0005-0000-0000-0000C02C0000}"/>
    <cellStyle name="Millares 3 3 2 4 4" xfId="18625" xr:uid="{00000000-0005-0000-0000-0000C12C0000}"/>
    <cellStyle name="Millares 3 3 2 5" xfId="7053" xr:uid="{00000000-0005-0000-0000-0000C22C0000}"/>
    <cellStyle name="Millares 3 3 2 5 2" xfId="13631" xr:uid="{00000000-0005-0000-0000-0000C32C0000}"/>
    <cellStyle name="Millares 3 3 2 5 3" xfId="20318" xr:uid="{00000000-0005-0000-0000-0000C42C0000}"/>
    <cellStyle name="Millares 3 3 2 6" xfId="10314" xr:uid="{00000000-0005-0000-0000-0000C52C0000}"/>
    <cellStyle name="Millares 3 3 2 7" xfId="11652" xr:uid="{00000000-0005-0000-0000-0000C62C0000}"/>
    <cellStyle name="Millares 3 3 2 8" xfId="17090" xr:uid="{00000000-0005-0000-0000-0000C72C0000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3" xfId="22143" xr:uid="{00000000-0005-0000-0000-0000CC2C0000}"/>
    <cellStyle name="Millares 3 3 3 2 3" xfId="12228" xr:uid="{00000000-0005-0000-0000-0000CD2C0000}"/>
    <cellStyle name="Millares 3 3 3 2 4" xfId="18915" xr:uid="{00000000-0005-0000-0000-0000CE2C0000}"/>
    <cellStyle name="Millares 3 3 3 3" xfId="7647" xr:uid="{00000000-0005-0000-0000-0000CF2C0000}"/>
    <cellStyle name="Millares 3 3 3 3 2" xfId="14225" xr:uid="{00000000-0005-0000-0000-0000D02C0000}"/>
    <cellStyle name="Millares 3 3 3 3 3" xfId="20912" xr:uid="{00000000-0005-0000-0000-0000D12C0000}"/>
    <cellStyle name="Millares 3 3 3 4" xfId="10918" xr:uid="{00000000-0005-0000-0000-0000D22C0000}"/>
    <cellStyle name="Millares 3 3 3 5" xfId="17684" xr:uid="{00000000-0005-0000-0000-0000D32C0000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3" xfId="22766" xr:uid="{00000000-0005-0000-0000-0000D82C0000}"/>
    <cellStyle name="Millares 3 3 4 2 3" xfId="12851" xr:uid="{00000000-0005-0000-0000-0000D92C0000}"/>
    <cellStyle name="Millares 3 3 4 2 4" xfId="19538" xr:uid="{00000000-0005-0000-0000-0000DA2C0000}"/>
    <cellStyle name="Millares 3 3 4 3" xfId="8270" xr:uid="{00000000-0005-0000-0000-0000DB2C0000}"/>
    <cellStyle name="Millares 3 3 4 3 2" xfId="14848" xr:uid="{00000000-0005-0000-0000-0000DC2C0000}"/>
    <cellStyle name="Millares 3 3 4 3 3" xfId="21535" xr:uid="{00000000-0005-0000-0000-0000DD2C0000}"/>
    <cellStyle name="Millares 3 3 4 4" xfId="11599" xr:uid="{00000000-0005-0000-0000-0000DE2C0000}"/>
    <cellStyle name="Millares 3 3 4 5" xfId="18307" xr:uid="{00000000-0005-0000-0000-0000DF2C0000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3" xfId="20516" xr:uid="{00000000-0005-0000-0000-0000E32C0000}"/>
    <cellStyle name="Millares 3 3 5 3" xfId="10512" xr:uid="{00000000-0005-0000-0000-0000E42C0000}"/>
    <cellStyle name="Millares 3 3 5 4" xfId="17288" xr:uid="{00000000-0005-0000-0000-0000E52C0000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3" xfId="21747" xr:uid="{00000000-0005-0000-0000-0000E92C0000}"/>
    <cellStyle name="Millares 3 3 6 3" xfId="11832" xr:uid="{00000000-0005-0000-0000-0000EA2C0000}"/>
    <cellStyle name="Millares 3 3 6 4" xfId="18519" xr:uid="{00000000-0005-0000-0000-0000EB2C0000}"/>
    <cellStyle name="Millares 3 3 7" xfId="6665" xr:uid="{00000000-0005-0000-0000-0000EC2C0000}"/>
    <cellStyle name="Millares 3 3 7 2" xfId="13243" xr:uid="{00000000-0005-0000-0000-0000ED2C0000}"/>
    <cellStyle name="Millares 3 3 7 3" xfId="19930" xr:uid="{00000000-0005-0000-0000-0000EE2C0000}"/>
    <cellStyle name="Millares 3 3 8" xfId="9911" xr:uid="{00000000-0005-0000-0000-0000EF2C0000}"/>
    <cellStyle name="Millares 3 3 9" xfId="16475" xr:uid="{00000000-0005-0000-0000-0000F02C0000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3" xfId="22237" xr:uid="{00000000-0005-0000-0000-0000F62C0000}"/>
    <cellStyle name="Millares 3 4 2 2 3" xfId="12322" xr:uid="{00000000-0005-0000-0000-0000F72C0000}"/>
    <cellStyle name="Millares 3 4 2 2 4" xfId="19009" xr:uid="{00000000-0005-0000-0000-0000F82C0000}"/>
    <cellStyle name="Millares 3 4 2 3" xfId="7741" xr:uid="{00000000-0005-0000-0000-0000F92C0000}"/>
    <cellStyle name="Millares 3 4 2 3 2" xfId="14319" xr:uid="{00000000-0005-0000-0000-0000FA2C0000}"/>
    <cellStyle name="Millares 3 4 2 3 3" xfId="21006" xr:uid="{00000000-0005-0000-0000-0000FB2C0000}"/>
    <cellStyle name="Millares 3 4 2 4" xfId="11022" xr:uid="{00000000-0005-0000-0000-0000FC2C0000}"/>
    <cellStyle name="Millares 3 4 2 5" xfId="16286" xr:uid="{00000000-0005-0000-0000-0000FD2C0000}"/>
    <cellStyle name="Millares 3 4 2 6" xfId="17778" xr:uid="{00000000-0005-0000-0000-0000FE2C0000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3" xfId="20610" xr:uid="{00000000-0005-0000-0000-0000022D0000}"/>
    <cellStyle name="Millares 3 4 3 3" xfId="10607" xr:uid="{00000000-0005-0000-0000-0000032D0000}"/>
    <cellStyle name="Millares 3 4 3 4" xfId="17382" xr:uid="{00000000-0005-0000-0000-0000042D0000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3" xfId="21841" xr:uid="{00000000-0005-0000-0000-0000082D0000}"/>
    <cellStyle name="Millares 3 4 4 3" xfId="11926" xr:uid="{00000000-0005-0000-0000-0000092D0000}"/>
    <cellStyle name="Millares 3 4 4 4" xfId="18613" xr:uid="{00000000-0005-0000-0000-00000A2D0000}"/>
    <cellStyle name="Millares 3 4 5" xfId="6860" xr:uid="{00000000-0005-0000-0000-00000B2D0000}"/>
    <cellStyle name="Millares 3 4 5 2" xfId="13438" xr:uid="{00000000-0005-0000-0000-00000C2D0000}"/>
    <cellStyle name="Millares 3 4 5 3" xfId="20125" xr:uid="{00000000-0005-0000-0000-00000D2D0000}"/>
    <cellStyle name="Millares 3 4 6" xfId="10121" xr:uid="{00000000-0005-0000-0000-00000E2D0000}"/>
    <cellStyle name="Millares 3 4 7" xfId="16343" xr:uid="{00000000-0005-0000-0000-00000F2D0000}"/>
    <cellStyle name="Millares 3 4 8" xfId="16897" xr:uid="{00000000-0005-0000-0000-0000102D0000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3" xfId="22131" xr:uid="{00000000-0005-0000-0000-0000152D0000}"/>
    <cellStyle name="Millares 3 5 2 3" xfId="12216" xr:uid="{00000000-0005-0000-0000-0000162D0000}"/>
    <cellStyle name="Millares 3 5 2 4" xfId="16417" xr:uid="{00000000-0005-0000-0000-0000172D0000}"/>
    <cellStyle name="Millares 3 5 2 5" xfId="18903" xr:uid="{00000000-0005-0000-0000-0000182D0000}"/>
    <cellStyle name="Millares 3 5 3" xfId="7635" xr:uid="{00000000-0005-0000-0000-0000192D0000}"/>
    <cellStyle name="Millares 3 5 3 2" xfId="14213" xr:uid="{00000000-0005-0000-0000-00001A2D0000}"/>
    <cellStyle name="Millares 3 5 3 3" xfId="20900" xr:uid="{00000000-0005-0000-0000-00001B2D0000}"/>
    <cellStyle name="Millares 3 5 4" xfId="10906" xr:uid="{00000000-0005-0000-0000-00001C2D0000}"/>
    <cellStyle name="Millares 3 5 5" xfId="16404" xr:uid="{00000000-0005-0000-0000-00001D2D0000}"/>
    <cellStyle name="Millares 3 5 6" xfId="17672" xr:uid="{00000000-0005-0000-0000-00001E2D000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3" xfId="16477" xr:uid="{00000000-0005-0000-0000-0000222D0000}"/>
    <cellStyle name="Millares 3 6 2 4" xfId="21735" xr:uid="{00000000-0005-0000-0000-0000232D0000}"/>
    <cellStyle name="Millares 3 6 3" xfId="11820" xr:uid="{00000000-0005-0000-0000-0000242D0000}"/>
    <cellStyle name="Millares 3 6 4" xfId="16288" xr:uid="{00000000-0005-0000-0000-0000252D0000}"/>
    <cellStyle name="Millares 3 6 5" xfId="18507" xr:uid="{00000000-0005-0000-0000-0000262D0000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3" xfId="16285" xr:uid="{00000000-0005-0000-0000-00002A2D0000}"/>
    <cellStyle name="Millares 3 7 4" xfId="16413" xr:uid="{00000000-0005-0000-0000-00002B2D0000}"/>
    <cellStyle name="Millares 3 7 5" xfId="19737" xr:uid="{00000000-0005-0000-0000-00002C2D0000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3" xfId="11489" xr:uid="{00000000-0005-0000-0000-0000372D0000}"/>
    <cellStyle name="Millares 30 2 4" xfId="21733" xr:uid="{00000000-0005-0000-0000-0000382D0000}"/>
    <cellStyle name="Millares 30 3" xfId="11818" xr:uid="{00000000-0005-0000-0000-0000392D0000}"/>
    <cellStyle name="Millares 30 4" xfId="16387" xr:uid="{00000000-0005-0000-0000-00003A2D0000}"/>
    <cellStyle name="Millares 30 5" xfId="18505" xr:uid="{00000000-0005-0000-0000-00003B2D0000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3" xfId="10064" xr:uid="{00000000-0005-0000-0000-00003F2D0000}"/>
    <cellStyle name="Millares 31 4" xfId="16314" xr:uid="{00000000-0005-0000-0000-0000402D0000}"/>
    <cellStyle name="Millares 31 5" xfId="19734" xr:uid="{00000000-0005-0000-0000-0000412D0000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5" xfId="16493" xr:uid="{00000000-0005-0000-0000-00004D2D0000}"/>
    <cellStyle name="Millares 35 2" xfId="9971" xr:uid="{00000000-0005-0000-0000-00004E2D0000}"/>
    <cellStyle name="Millares 36" xfId="16474" xr:uid="{00000000-0005-0000-0000-00004F2D0000}"/>
    <cellStyle name="Millares 36 2" xfId="10870" xr:uid="{00000000-0005-0000-0000-0000502D0000}"/>
    <cellStyle name="Millares 37" xfId="16439" xr:uid="{00000000-0005-0000-0000-0000512D0000}"/>
    <cellStyle name="Millares 37 2" xfId="11128" xr:uid="{00000000-0005-0000-0000-0000522D0000}"/>
    <cellStyle name="Millares 38" xfId="10072" xr:uid="{00000000-0005-0000-0000-0000532D0000}"/>
    <cellStyle name="Millares 38 2" xfId="10998" xr:uid="{00000000-0005-0000-0000-0000542D0000}"/>
    <cellStyle name="Millares 39" xfId="11081" xr:uid="{00000000-0005-0000-0000-0000552D0000}"/>
    <cellStyle name="Millares 39 2" xfId="16472" xr:uid="{00000000-0005-0000-0000-0000562D0000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3" xfId="22525" xr:uid="{00000000-0005-0000-0000-00005C2D0000}"/>
    <cellStyle name="Millares 4 10 2 3" xfId="12610" xr:uid="{00000000-0005-0000-0000-00005D2D0000}"/>
    <cellStyle name="Millares 4 10 2 4" xfId="19297" xr:uid="{00000000-0005-0000-0000-00005E2D0000}"/>
    <cellStyle name="Millares 4 10 3" xfId="8029" xr:uid="{00000000-0005-0000-0000-00005F2D0000}"/>
    <cellStyle name="Millares 4 10 3 2" xfId="14607" xr:uid="{00000000-0005-0000-0000-0000602D0000}"/>
    <cellStyle name="Millares 4 10 3 3" xfId="21294" xr:uid="{00000000-0005-0000-0000-0000612D0000}"/>
    <cellStyle name="Millares 4 10 4" xfId="11329" xr:uid="{00000000-0005-0000-0000-0000622D0000}"/>
    <cellStyle name="Millares 4 10 5" xfId="11500" xr:uid="{00000000-0005-0000-0000-0000632D0000}"/>
    <cellStyle name="Millares 4 10 6" xfId="18066" xr:uid="{00000000-0005-0000-0000-0000642D0000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3" xfId="21736" xr:uid="{00000000-0005-0000-0000-0000682D0000}"/>
    <cellStyle name="Millares 4 11 3" xfId="11821" xr:uid="{00000000-0005-0000-0000-0000692D0000}"/>
    <cellStyle name="Millares 4 11 4" xfId="18508" xr:uid="{00000000-0005-0000-0000-00006A2D0000}"/>
    <cellStyle name="Millares 4 12" xfId="6473" xr:uid="{00000000-0005-0000-0000-00006B2D0000}"/>
    <cellStyle name="Millares 4 12 2" xfId="13051" xr:uid="{00000000-0005-0000-0000-00006C2D0000}"/>
    <cellStyle name="Millares 4 12 3" xfId="19738" xr:uid="{00000000-0005-0000-0000-00006D2D0000}"/>
    <cellStyle name="Millares 4 13" xfId="71" xr:uid="{00000000-0005-0000-0000-00006E2D0000}"/>
    <cellStyle name="Millares 4 13 2" xfId="16369" xr:uid="{00000000-0005-0000-0000-00006F2D0000}"/>
    <cellStyle name="Millares 4 14" xfId="9705" xr:uid="{00000000-0005-0000-0000-0000702D0000}"/>
    <cellStyle name="Millares 4 15" xfId="16464" xr:uid="{00000000-0005-0000-0000-0000712D0000}"/>
    <cellStyle name="Millares 4 16" xfId="16510" xr:uid="{00000000-0005-0000-0000-0000722D0000}"/>
    <cellStyle name="Millares 4 17" xfId="22970" xr:uid="{B7B227AB-C120-452C-B4D4-7931EED82A8A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3" xfId="21758" xr:uid="{00000000-0005-0000-0000-0000772D0000}"/>
    <cellStyle name="Millares 4 2 10 3" xfId="11843" xr:uid="{00000000-0005-0000-0000-0000782D0000}"/>
    <cellStyle name="Millares 4 2 10 4" xfId="18530" xr:uid="{00000000-0005-0000-0000-0000792D0000}"/>
    <cellStyle name="Millares 4 2 11" xfId="6483" xr:uid="{00000000-0005-0000-0000-00007A2D0000}"/>
    <cellStyle name="Millares 4 2 11 2" xfId="13061" xr:uid="{00000000-0005-0000-0000-00007B2D0000}"/>
    <cellStyle name="Millares 4 2 11 3" xfId="19748" xr:uid="{00000000-0005-0000-0000-00007C2D0000}"/>
    <cellStyle name="Millares 4 2 12" xfId="9716" xr:uid="{00000000-0005-0000-0000-00007D2D0000}"/>
    <cellStyle name="Millares 4 2 13" xfId="16478" xr:uid="{00000000-0005-0000-0000-00007E2D0000}"/>
    <cellStyle name="Millares 4 2 14" xfId="16520" xr:uid="{00000000-0005-0000-0000-00007F2D0000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3" xfId="19771" xr:uid="{00000000-0005-0000-0000-0000832D0000}"/>
    <cellStyle name="Millares 4 2 2 11" xfId="9741" xr:uid="{00000000-0005-0000-0000-0000842D0000}"/>
    <cellStyle name="Millares 4 2 2 12" xfId="16392" xr:uid="{00000000-0005-0000-0000-0000852D0000}"/>
    <cellStyle name="Millares 4 2 2 13" xfId="16543" xr:uid="{00000000-0005-0000-0000-0000862D0000}"/>
    <cellStyle name="Millares 4 2 2 2" xfId="374" xr:uid="{00000000-0005-0000-0000-0000872D0000}"/>
    <cellStyle name="Millares 4 2 2 2 10" xfId="9789" xr:uid="{00000000-0005-0000-0000-0000882D0000}"/>
    <cellStyle name="Millares 4 2 2 2 11" xfId="16457" xr:uid="{00000000-0005-0000-0000-0000892D0000}"/>
    <cellStyle name="Millares 4 2 2 2 12" xfId="16589" xr:uid="{00000000-0005-0000-0000-00008A2D00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3" xfId="21707" xr:uid="{00000000-0005-0000-0000-0000912D0000}"/>
    <cellStyle name="Millares 4 2 2 2 2 2 2 2 3" xfId="11792" xr:uid="{00000000-0005-0000-0000-0000922D0000}"/>
    <cellStyle name="Millares 4 2 2 2 2 2 2 2 4" xfId="18479" xr:uid="{00000000-0005-0000-0000-0000932D0000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3" xfId="22938" xr:uid="{00000000-0005-0000-0000-0000972D0000}"/>
    <cellStyle name="Millares 4 2 2 2 2 2 2 3 3" xfId="13023" xr:uid="{00000000-0005-0000-0000-0000982D0000}"/>
    <cellStyle name="Millares 4 2 2 2 2 2 2 3 4" xfId="19710" xr:uid="{00000000-0005-0000-0000-0000992D0000}"/>
    <cellStyle name="Millares 4 2 2 2 2 2 2 4" xfId="7225" xr:uid="{00000000-0005-0000-0000-00009A2D0000}"/>
    <cellStyle name="Millares 4 2 2 2 2 2 2 4 2" xfId="13803" xr:uid="{00000000-0005-0000-0000-00009B2D0000}"/>
    <cellStyle name="Millares 4 2 2 2 2 2 2 4 3" xfId="20490" xr:uid="{00000000-0005-0000-0000-00009C2D0000}"/>
    <cellStyle name="Millares 4 2 2 2 2 2 2 5" xfId="10486" xr:uid="{00000000-0005-0000-0000-00009D2D0000}"/>
    <cellStyle name="Millares 4 2 2 2 2 2 2 6" xfId="17262" xr:uid="{00000000-0005-0000-0000-00009E2D0000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3" xfId="21097" xr:uid="{00000000-0005-0000-0000-0000A22D0000}"/>
    <cellStyle name="Millares 4 2 2 2 2 2 3 3" xfId="11114" xr:uid="{00000000-0005-0000-0000-0000A32D0000}"/>
    <cellStyle name="Millares 4 2 2 2 2 2 3 4" xfId="17869" xr:uid="{00000000-0005-0000-0000-0000A42D0000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3" xfId="22328" xr:uid="{00000000-0005-0000-0000-0000A82D0000}"/>
    <cellStyle name="Millares 4 2 2 2 2 2 4 3" xfId="12413" xr:uid="{00000000-0005-0000-0000-0000A92D0000}"/>
    <cellStyle name="Millares 4 2 2 2 2 2 4 4" xfId="19100" xr:uid="{00000000-0005-0000-0000-0000AA2D0000}"/>
    <cellStyle name="Millares 4 2 2 2 2 2 5" xfId="6837" xr:uid="{00000000-0005-0000-0000-0000AB2D0000}"/>
    <cellStyle name="Millares 4 2 2 2 2 2 5 2" xfId="13415" xr:uid="{00000000-0005-0000-0000-0000AC2D0000}"/>
    <cellStyle name="Millares 4 2 2 2 2 2 5 3" xfId="20102" xr:uid="{00000000-0005-0000-0000-0000AD2D0000}"/>
    <cellStyle name="Millares 4 2 2 2 2 2 6" xfId="10097" xr:uid="{00000000-0005-0000-0000-0000AE2D0000}"/>
    <cellStyle name="Millares 4 2 2 2 2 2 7" xfId="16874" xr:uid="{00000000-0005-0000-0000-0000AF2D0000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3" xfId="21463" xr:uid="{00000000-0005-0000-0000-0000B42D0000}"/>
    <cellStyle name="Millares 4 2 2 2 2 3 2 3" xfId="11527" xr:uid="{00000000-0005-0000-0000-0000B52D0000}"/>
    <cellStyle name="Millares 4 2 2 2 2 3 2 4" xfId="18235" xr:uid="{00000000-0005-0000-0000-0000B62D0000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3" xfId="22694" xr:uid="{00000000-0005-0000-0000-0000BA2D0000}"/>
    <cellStyle name="Millares 4 2 2 2 2 3 3 3" xfId="12779" xr:uid="{00000000-0005-0000-0000-0000BB2D0000}"/>
    <cellStyle name="Millares 4 2 2 2 2 3 3 4" xfId="19466" xr:uid="{00000000-0005-0000-0000-0000BC2D0000}"/>
    <cellStyle name="Millares 4 2 2 2 2 3 4" xfId="7032" xr:uid="{00000000-0005-0000-0000-0000BD2D0000}"/>
    <cellStyle name="Millares 4 2 2 2 2 3 4 2" xfId="13610" xr:uid="{00000000-0005-0000-0000-0000BE2D0000}"/>
    <cellStyle name="Millares 4 2 2 2 2 3 4 3" xfId="20297" xr:uid="{00000000-0005-0000-0000-0000BF2D0000}"/>
    <cellStyle name="Millares 4 2 2 2 2 3 5" xfId="10293" xr:uid="{00000000-0005-0000-0000-0000C02D0000}"/>
    <cellStyle name="Millares 4 2 2 2 2 3 6" xfId="17069" xr:uid="{00000000-0005-0000-0000-0000C12D0000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3" xfId="20701" xr:uid="{00000000-0005-0000-0000-0000C52D0000}"/>
    <cellStyle name="Millares 4 2 2 2 2 4 3" xfId="10698" xr:uid="{00000000-0005-0000-0000-0000C62D0000}"/>
    <cellStyle name="Millares 4 2 2 2 2 4 4" xfId="17473" xr:uid="{00000000-0005-0000-0000-0000C72D0000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3" xfId="21932" xr:uid="{00000000-0005-0000-0000-0000CB2D0000}"/>
    <cellStyle name="Millares 4 2 2 2 2 5 3" xfId="12017" xr:uid="{00000000-0005-0000-0000-0000CC2D0000}"/>
    <cellStyle name="Millares 4 2 2 2 2 5 4" xfId="18704" xr:uid="{00000000-0005-0000-0000-0000CD2D0000}"/>
    <cellStyle name="Millares 4 2 2 2 2 6" xfId="6644" xr:uid="{00000000-0005-0000-0000-0000CE2D0000}"/>
    <cellStyle name="Millares 4 2 2 2 2 6 2" xfId="13222" xr:uid="{00000000-0005-0000-0000-0000CF2D0000}"/>
    <cellStyle name="Millares 4 2 2 2 2 6 3" xfId="19909" xr:uid="{00000000-0005-0000-0000-0000D02D0000}"/>
    <cellStyle name="Millares 4 2 2 2 2 7" xfId="9889" xr:uid="{00000000-0005-0000-0000-0000D12D0000}"/>
    <cellStyle name="Millares 4 2 2 2 2 8" xfId="16681" xr:uid="{00000000-0005-0000-0000-0000D22D0000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3" xfId="21156" xr:uid="{00000000-0005-0000-0000-0000D82D0000}"/>
    <cellStyle name="Millares 4 2 2 2 3 2 2 3" xfId="11178" xr:uid="{00000000-0005-0000-0000-0000D92D0000}"/>
    <cellStyle name="Millares 4 2 2 2 3 2 2 4" xfId="17928" xr:uid="{00000000-0005-0000-0000-0000DA2D000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3" xfId="22387" xr:uid="{00000000-0005-0000-0000-0000DE2D0000}"/>
    <cellStyle name="Millares 4 2 2 2 3 2 3 3" xfId="12472" xr:uid="{00000000-0005-0000-0000-0000DF2D0000}"/>
    <cellStyle name="Millares 4 2 2 2 3 2 3 4" xfId="19159" xr:uid="{00000000-0005-0000-0000-0000E02D0000}"/>
    <cellStyle name="Millares 4 2 2 2 3 2 4" xfId="7133" xr:uid="{00000000-0005-0000-0000-0000E12D0000}"/>
    <cellStyle name="Millares 4 2 2 2 3 2 4 2" xfId="13711" xr:uid="{00000000-0005-0000-0000-0000E22D0000}"/>
    <cellStyle name="Millares 4 2 2 2 3 2 4 3" xfId="20398" xr:uid="{00000000-0005-0000-0000-0000E32D0000}"/>
    <cellStyle name="Millares 4 2 2 2 3 2 5" xfId="10394" xr:uid="{00000000-0005-0000-0000-0000E42D0000}"/>
    <cellStyle name="Millares 4 2 2 2 3 2 6" xfId="17170" xr:uid="{00000000-0005-0000-0000-0000E52D0000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3" xfId="22846" xr:uid="{00000000-0005-0000-0000-0000EA2D0000}"/>
    <cellStyle name="Millares 4 2 2 2 3 3 2 3" xfId="12931" xr:uid="{00000000-0005-0000-0000-0000EB2D0000}"/>
    <cellStyle name="Millares 4 2 2 2 3 3 2 4" xfId="19618" xr:uid="{00000000-0005-0000-0000-0000EC2D0000}"/>
    <cellStyle name="Millares 4 2 2 2 3 3 3" xfId="8350" xr:uid="{00000000-0005-0000-0000-0000ED2D0000}"/>
    <cellStyle name="Millares 4 2 2 2 3 3 3 2" xfId="14928" xr:uid="{00000000-0005-0000-0000-0000EE2D0000}"/>
    <cellStyle name="Millares 4 2 2 2 3 3 3 3" xfId="21615" xr:uid="{00000000-0005-0000-0000-0000EF2D0000}"/>
    <cellStyle name="Millares 4 2 2 2 3 3 4" xfId="11691" xr:uid="{00000000-0005-0000-0000-0000F02D0000}"/>
    <cellStyle name="Millares 4 2 2 2 3 3 5" xfId="18387" xr:uid="{00000000-0005-0000-0000-0000F12D0000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3" xfId="20760" xr:uid="{00000000-0005-0000-0000-0000F52D0000}"/>
    <cellStyle name="Millares 4 2 2 2 3 4 3" xfId="10757" xr:uid="{00000000-0005-0000-0000-0000F62D0000}"/>
    <cellStyle name="Millares 4 2 2 2 3 4 4" xfId="17532" xr:uid="{00000000-0005-0000-0000-0000F72D0000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3" xfId="21991" xr:uid="{00000000-0005-0000-0000-0000FB2D0000}"/>
    <cellStyle name="Millares 4 2 2 2 3 5 3" xfId="12076" xr:uid="{00000000-0005-0000-0000-0000FC2D0000}"/>
    <cellStyle name="Millares 4 2 2 2 3 5 4" xfId="18763" xr:uid="{00000000-0005-0000-0000-0000FD2D0000}"/>
    <cellStyle name="Millares 4 2 2 2 3 6" xfId="6745" xr:uid="{00000000-0005-0000-0000-0000FE2D0000}"/>
    <cellStyle name="Millares 4 2 2 2 3 6 2" xfId="13323" xr:uid="{00000000-0005-0000-0000-0000FF2D0000}"/>
    <cellStyle name="Millares 4 2 2 2 3 6 3" xfId="20010" xr:uid="{00000000-0005-0000-0000-0000002E0000}"/>
    <cellStyle name="Millares 4 2 2 2 3 7" xfId="9996" xr:uid="{00000000-0005-0000-0000-0000012E0000}"/>
    <cellStyle name="Millares 4 2 2 2 3 8" xfId="16782" xr:uid="{00000000-0005-0000-0000-0000022E000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3" xfId="22510" xr:uid="{00000000-0005-0000-0000-0000082E0000}"/>
    <cellStyle name="Millares 4 2 2 2 4 2 2 3" xfId="12595" xr:uid="{00000000-0005-0000-0000-0000092E0000}"/>
    <cellStyle name="Millares 4 2 2 2 4 2 2 4" xfId="19282" xr:uid="{00000000-0005-0000-0000-00000A2E0000}"/>
    <cellStyle name="Millares 4 2 2 2 4 2 3" xfId="8014" xr:uid="{00000000-0005-0000-0000-00000B2E0000}"/>
    <cellStyle name="Millares 4 2 2 2 4 2 3 2" xfId="14592" xr:uid="{00000000-0005-0000-0000-00000C2E0000}"/>
    <cellStyle name="Millares 4 2 2 2 4 2 3 3" xfId="21279" xr:uid="{00000000-0005-0000-0000-00000D2E0000}"/>
    <cellStyle name="Millares 4 2 2 2 4 2 4" xfId="11313" xr:uid="{00000000-0005-0000-0000-00000E2E0000}"/>
    <cellStyle name="Millares 4 2 2 2 4 2 5" xfId="18051" xr:uid="{00000000-0005-0000-0000-00000F2E0000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3" xfId="20883" xr:uid="{00000000-0005-0000-0000-0000132E0000}"/>
    <cellStyle name="Millares 4 2 2 2 4 3 3" xfId="10887" xr:uid="{00000000-0005-0000-0000-0000142E0000}"/>
    <cellStyle name="Millares 4 2 2 2 4 3 4" xfId="17655" xr:uid="{00000000-0005-0000-0000-0000152E0000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3" xfId="22114" xr:uid="{00000000-0005-0000-0000-0000192E0000}"/>
    <cellStyle name="Millares 4 2 2 2 4 4 3" xfId="12199" xr:uid="{00000000-0005-0000-0000-00001A2E0000}"/>
    <cellStyle name="Millares 4 2 2 2 4 4 4" xfId="18886" xr:uid="{00000000-0005-0000-0000-00001B2E0000}"/>
    <cellStyle name="Millares 4 2 2 2 4 5" xfId="6940" xr:uid="{00000000-0005-0000-0000-00001C2E0000}"/>
    <cellStyle name="Millares 4 2 2 2 4 5 2" xfId="13518" xr:uid="{00000000-0005-0000-0000-00001D2E0000}"/>
    <cellStyle name="Millares 4 2 2 2 4 5 3" xfId="20205" xr:uid="{00000000-0005-0000-0000-00001E2E0000}"/>
    <cellStyle name="Millares 4 2 2 2 4 6" xfId="10201" xr:uid="{00000000-0005-0000-0000-00001F2E0000}"/>
    <cellStyle name="Millares 4 2 2 2 4 7" xfId="16977" xr:uid="{00000000-0005-0000-0000-0000202E0000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3" xfId="22222" xr:uid="{00000000-0005-0000-0000-0000252E0000}"/>
    <cellStyle name="Millares 4 2 2 2 5 2 3" xfId="12307" xr:uid="{00000000-0005-0000-0000-0000262E0000}"/>
    <cellStyle name="Millares 4 2 2 2 5 2 4" xfId="18994" xr:uid="{00000000-0005-0000-0000-0000272E0000}"/>
    <cellStyle name="Millares 4 2 2 2 5 3" xfId="7726" xr:uid="{00000000-0005-0000-0000-0000282E0000}"/>
    <cellStyle name="Millares 4 2 2 2 5 3 2" xfId="14304" xr:uid="{00000000-0005-0000-0000-0000292E0000}"/>
    <cellStyle name="Millares 4 2 2 2 5 3 3" xfId="20991" xr:uid="{00000000-0005-0000-0000-00002A2E0000}"/>
    <cellStyle name="Millares 4 2 2 2 5 4" xfId="11005" xr:uid="{00000000-0005-0000-0000-00002B2E0000}"/>
    <cellStyle name="Millares 4 2 2 2 5 5" xfId="17763" xr:uid="{00000000-0005-0000-0000-00002C2E0000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3" xfId="22602" xr:uid="{00000000-0005-0000-0000-0000312E0000}"/>
    <cellStyle name="Millares 4 2 2 2 6 2 3" xfId="12687" xr:uid="{00000000-0005-0000-0000-0000322E0000}"/>
    <cellStyle name="Millares 4 2 2 2 6 2 4" xfId="19374" xr:uid="{00000000-0005-0000-0000-0000332E0000}"/>
    <cellStyle name="Millares 4 2 2 2 6 3" xfId="8106" xr:uid="{00000000-0005-0000-0000-0000342E0000}"/>
    <cellStyle name="Millares 4 2 2 2 6 3 2" xfId="14684" xr:uid="{00000000-0005-0000-0000-0000352E0000}"/>
    <cellStyle name="Millares 4 2 2 2 6 3 3" xfId="21371" xr:uid="{00000000-0005-0000-0000-0000362E0000}"/>
    <cellStyle name="Millares 4 2 2 2 6 4" xfId="11416" xr:uid="{00000000-0005-0000-0000-0000372E0000}"/>
    <cellStyle name="Millares 4 2 2 2 6 5" xfId="18143" xr:uid="{00000000-0005-0000-0000-0000382E0000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3" xfId="20595" xr:uid="{00000000-0005-0000-0000-00003C2E0000}"/>
    <cellStyle name="Millares 4 2 2 2 7 3" xfId="10592" xr:uid="{00000000-0005-0000-0000-00003D2E0000}"/>
    <cellStyle name="Millares 4 2 2 2 7 4" xfId="17367" xr:uid="{00000000-0005-0000-0000-00003E2E0000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3" xfId="21826" xr:uid="{00000000-0005-0000-0000-0000422E0000}"/>
    <cellStyle name="Millares 4 2 2 2 8 3" xfId="11911" xr:uid="{00000000-0005-0000-0000-0000432E0000}"/>
    <cellStyle name="Millares 4 2 2 2 8 4" xfId="18598" xr:uid="{00000000-0005-0000-0000-0000442E0000}"/>
    <cellStyle name="Millares 4 2 2 2 9" xfId="6552" xr:uid="{00000000-0005-0000-0000-0000452E0000}"/>
    <cellStyle name="Millares 4 2 2 2 9 2" xfId="13130" xr:uid="{00000000-0005-0000-0000-0000462E0000}"/>
    <cellStyle name="Millares 4 2 2 2 9 3" xfId="19817" xr:uid="{00000000-0005-0000-0000-0000472E0000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3" xfId="21662" xr:uid="{00000000-0005-0000-0000-00004E2E0000}"/>
    <cellStyle name="Millares 4 2 2 3 2 2 2 3" xfId="11741" xr:uid="{00000000-0005-0000-0000-00004F2E0000}"/>
    <cellStyle name="Millares 4 2 2 3 2 2 2 4" xfId="18434" xr:uid="{00000000-0005-0000-0000-0000502E0000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3" xfId="22893" xr:uid="{00000000-0005-0000-0000-0000542E0000}"/>
    <cellStyle name="Millares 4 2 2 3 2 2 3 3" xfId="12978" xr:uid="{00000000-0005-0000-0000-0000552E0000}"/>
    <cellStyle name="Millares 4 2 2 3 2 2 3 4" xfId="19665" xr:uid="{00000000-0005-0000-0000-0000562E0000}"/>
    <cellStyle name="Millares 4 2 2 3 2 2 4" xfId="7180" xr:uid="{00000000-0005-0000-0000-0000572E0000}"/>
    <cellStyle name="Millares 4 2 2 3 2 2 4 2" xfId="13758" xr:uid="{00000000-0005-0000-0000-0000582E0000}"/>
    <cellStyle name="Millares 4 2 2 3 2 2 4 3" xfId="20445" xr:uid="{00000000-0005-0000-0000-0000592E0000}"/>
    <cellStyle name="Millares 4 2 2 3 2 2 5" xfId="10441" xr:uid="{00000000-0005-0000-0000-00005A2E0000}"/>
    <cellStyle name="Millares 4 2 2 3 2 2 6" xfId="17217" xr:uid="{00000000-0005-0000-0000-00005B2E0000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3" xfId="21052" xr:uid="{00000000-0005-0000-0000-00005F2E0000}"/>
    <cellStyle name="Millares 4 2 2 3 2 3 3" xfId="11068" xr:uid="{00000000-0005-0000-0000-0000602E0000}"/>
    <cellStyle name="Millares 4 2 2 3 2 3 4" xfId="17824" xr:uid="{00000000-0005-0000-0000-0000612E0000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3" xfId="22283" xr:uid="{00000000-0005-0000-0000-0000652E0000}"/>
    <cellStyle name="Millares 4 2 2 3 2 4 3" xfId="12368" xr:uid="{00000000-0005-0000-0000-0000662E0000}"/>
    <cellStyle name="Millares 4 2 2 3 2 4 4" xfId="19055" xr:uid="{00000000-0005-0000-0000-0000672E0000}"/>
    <cellStyle name="Millares 4 2 2 3 2 5" xfId="6792" xr:uid="{00000000-0005-0000-0000-0000682E0000}"/>
    <cellStyle name="Millares 4 2 2 3 2 5 2" xfId="13370" xr:uid="{00000000-0005-0000-0000-0000692E0000}"/>
    <cellStyle name="Millares 4 2 2 3 2 5 3" xfId="20057" xr:uid="{00000000-0005-0000-0000-00006A2E0000}"/>
    <cellStyle name="Millares 4 2 2 3 2 6" xfId="10047" xr:uid="{00000000-0005-0000-0000-00006B2E0000}"/>
    <cellStyle name="Millares 4 2 2 3 2 7" xfId="16829" xr:uid="{00000000-0005-0000-0000-00006C2E0000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3" xfId="21418" xr:uid="{00000000-0005-0000-0000-0000712E0000}"/>
    <cellStyle name="Millares 4 2 2 3 3 2 3" xfId="11471" xr:uid="{00000000-0005-0000-0000-0000722E0000}"/>
    <cellStyle name="Millares 4 2 2 3 3 2 4" xfId="18190" xr:uid="{00000000-0005-0000-0000-0000732E0000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3" xfId="22649" xr:uid="{00000000-0005-0000-0000-0000772E0000}"/>
    <cellStyle name="Millares 4 2 2 3 3 3 3" xfId="12734" xr:uid="{00000000-0005-0000-0000-0000782E0000}"/>
    <cellStyle name="Millares 4 2 2 3 3 3 4" xfId="19421" xr:uid="{00000000-0005-0000-0000-0000792E0000}"/>
    <cellStyle name="Millares 4 2 2 3 3 4" xfId="6987" xr:uid="{00000000-0005-0000-0000-00007A2E0000}"/>
    <cellStyle name="Millares 4 2 2 3 3 4 2" xfId="13565" xr:uid="{00000000-0005-0000-0000-00007B2E0000}"/>
    <cellStyle name="Millares 4 2 2 3 3 4 3" xfId="20252" xr:uid="{00000000-0005-0000-0000-00007C2E0000}"/>
    <cellStyle name="Millares 4 2 2 3 3 5" xfId="10248" xr:uid="{00000000-0005-0000-0000-00007D2E0000}"/>
    <cellStyle name="Millares 4 2 2 3 3 6" xfId="17024" xr:uid="{00000000-0005-0000-0000-00007E2E0000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3" xfId="20656" xr:uid="{00000000-0005-0000-0000-0000822E0000}"/>
    <cellStyle name="Millares 4 2 2 3 4 3" xfId="10653" xr:uid="{00000000-0005-0000-0000-0000832E0000}"/>
    <cellStyle name="Millares 4 2 2 3 4 4" xfId="17428" xr:uid="{00000000-0005-0000-0000-0000842E0000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3" xfId="21887" xr:uid="{00000000-0005-0000-0000-0000882E0000}"/>
    <cellStyle name="Millares 4 2 2 3 5 3" xfId="11972" xr:uid="{00000000-0005-0000-0000-0000892E0000}"/>
    <cellStyle name="Millares 4 2 2 3 5 4" xfId="18659" xr:uid="{00000000-0005-0000-0000-00008A2E0000}"/>
    <cellStyle name="Millares 4 2 2 3 6" xfId="6599" xr:uid="{00000000-0005-0000-0000-00008B2E0000}"/>
    <cellStyle name="Millares 4 2 2 3 6 2" xfId="13177" xr:uid="{00000000-0005-0000-0000-00008C2E0000}"/>
    <cellStyle name="Millares 4 2 2 3 6 3" xfId="19864" xr:uid="{00000000-0005-0000-0000-00008D2E0000}"/>
    <cellStyle name="Millares 4 2 2 3 7" xfId="9839" xr:uid="{00000000-0005-0000-0000-00008E2E0000}"/>
    <cellStyle name="Millares 4 2 2 3 8" xfId="16636" xr:uid="{00000000-0005-0000-0000-00008F2E0000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3" xfId="21155" xr:uid="{00000000-0005-0000-0000-0000952E0000}"/>
    <cellStyle name="Millares 4 2 2 4 2 2 3" xfId="11177" xr:uid="{00000000-0005-0000-0000-0000962E0000}"/>
    <cellStyle name="Millares 4 2 2 4 2 2 4" xfId="17927" xr:uid="{00000000-0005-0000-0000-0000972E0000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3" xfId="22386" xr:uid="{00000000-0005-0000-0000-00009B2E0000}"/>
    <cellStyle name="Millares 4 2 2 4 2 3 3" xfId="12471" xr:uid="{00000000-0005-0000-0000-00009C2E0000}"/>
    <cellStyle name="Millares 4 2 2 4 2 3 4" xfId="19158" xr:uid="{00000000-0005-0000-0000-00009D2E0000}"/>
    <cellStyle name="Millares 4 2 2 4 2 4" xfId="7087" xr:uid="{00000000-0005-0000-0000-00009E2E0000}"/>
    <cellStyle name="Millares 4 2 2 4 2 4 2" xfId="13665" xr:uid="{00000000-0005-0000-0000-00009F2E0000}"/>
    <cellStyle name="Millares 4 2 2 4 2 4 3" xfId="20352" xr:uid="{00000000-0005-0000-0000-0000A02E0000}"/>
    <cellStyle name="Millares 4 2 2 4 2 5" xfId="10348" xr:uid="{00000000-0005-0000-0000-0000A12E0000}"/>
    <cellStyle name="Millares 4 2 2 4 2 6" xfId="17124" xr:uid="{00000000-0005-0000-0000-0000A22E0000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3" xfId="22800" xr:uid="{00000000-0005-0000-0000-0000A72E0000}"/>
    <cellStyle name="Millares 4 2 2 4 3 2 3" xfId="12885" xr:uid="{00000000-0005-0000-0000-0000A82E0000}"/>
    <cellStyle name="Millares 4 2 2 4 3 2 4" xfId="19572" xr:uid="{00000000-0005-0000-0000-0000A92E0000}"/>
    <cellStyle name="Millares 4 2 2 4 3 3" xfId="8304" xr:uid="{00000000-0005-0000-0000-0000AA2E0000}"/>
    <cellStyle name="Millares 4 2 2 4 3 3 2" xfId="14882" xr:uid="{00000000-0005-0000-0000-0000AB2E0000}"/>
    <cellStyle name="Millares 4 2 2 4 3 3 3" xfId="21569" xr:uid="{00000000-0005-0000-0000-0000AC2E0000}"/>
    <cellStyle name="Millares 4 2 2 4 3 4" xfId="11638" xr:uid="{00000000-0005-0000-0000-0000AD2E0000}"/>
    <cellStyle name="Millares 4 2 2 4 3 5" xfId="18341" xr:uid="{00000000-0005-0000-0000-0000AE2E0000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3" xfId="20759" xr:uid="{00000000-0005-0000-0000-0000B22E0000}"/>
    <cellStyle name="Millares 4 2 2 4 4 3" xfId="10756" xr:uid="{00000000-0005-0000-0000-0000B32E0000}"/>
    <cellStyle name="Millares 4 2 2 4 4 4" xfId="17531" xr:uid="{00000000-0005-0000-0000-0000B42E0000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3" xfId="21990" xr:uid="{00000000-0005-0000-0000-0000B82E0000}"/>
    <cellStyle name="Millares 4 2 2 4 5 3" xfId="12075" xr:uid="{00000000-0005-0000-0000-0000B92E0000}"/>
    <cellStyle name="Millares 4 2 2 4 5 4" xfId="18762" xr:uid="{00000000-0005-0000-0000-0000BA2E0000}"/>
    <cellStyle name="Millares 4 2 2 4 6" xfId="6699" xr:uid="{00000000-0005-0000-0000-0000BB2E0000}"/>
    <cellStyle name="Millares 4 2 2 4 6 2" xfId="13277" xr:uid="{00000000-0005-0000-0000-0000BC2E0000}"/>
    <cellStyle name="Millares 4 2 2 4 6 3" xfId="19964" xr:uid="{00000000-0005-0000-0000-0000BD2E0000}"/>
    <cellStyle name="Millares 4 2 2 4 7" xfId="9947" xr:uid="{00000000-0005-0000-0000-0000BE2E0000}"/>
    <cellStyle name="Millares 4 2 2 4 8" xfId="16736" xr:uid="{00000000-0005-0000-0000-0000BF2E0000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3" xfId="22465" xr:uid="{00000000-0005-0000-0000-0000C52E0000}"/>
    <cellStyle name="Millares 4 2 2 5 2 2 3" xfId="12550" xr:uid="{00000000-0005-0000-0000-0000C62E0000}"/>
    <cellStyle name="Millares 4 2 2 5 2 2 4" xfId="19237" xr:uid="{00000000-0005-0000-0000-0000C72E0000}"/>
    <cellStyle name="Millares 4 2 2 5 2 3" xfId="7969" xr:uid="{00000000-0005-0000-0000-0000C82E0000}"/>
    <cellStyle name="Millares 4 2 2 5 2 3 2" xfId="14547" xr:uid="{00000000-0005-0000-0000-0000C92E0000}"/>
    <cellStyle name="Millares 4 2 2 5 2 3 3" xfId="21234" xr:uid="{00000000-0005-0000-0000-0000CA2E0000}"/>
    <cellStyle name="Millares 4 2 2 5 2 4" xfId="11264" xr:uid="{00000000-0005-0000-0000-0000CB2E0000}"/>
    <cellStyle name="Millares 4 2 2 5 2 5" xfId="18006" xr:uid="{00000000-0005-0000-0000-0000CC2E0000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3" xfId="20838" xr:uid="{00000000-0005-0000-0000-0000D02E0000}"/>
    <cellStyle name="Millares 4 2 2 5 3 3" xfId="10836" xr:uid="{00000000-0005-0000-0000-0000D12E0000}"/>
    <cellStyle name="Millares 4 2 2 5 3 4" xfId="17610" xr:uid="{00000000-0005-0000-0000-0000D22E000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3" xfId="22069" xr:uid="{00000000-0005-0000-0000-0000D62E0000}"/>
    <cellStyle name="Millares 4 2 2 5 4 3" xfId="12154" xr:uid="{00000000-0005-0000-0000-0000D72E0000}"/>
    <cellStyle name="Millares 4 2 2 5 4 4" xfId="18841" xr:uid="{00000000-0005-0000-0000-0000D82E0000}"/>
    <cellStyle name="Millares 4 2 2 5 5" xfId="6894" xr:uid="{00000000-0005-0000-0000-0000D92E0000}"/>
    <cellStyle name="Millares 4 2 2 5 5 2" xfId="13472" xr:uid="{00000000-0005-0000-0000-0000DA2E0000}"/>
    <cellStyle name="Millares 4 2 2 5 5 3" xfId="20159" xr:uid="{00000000-0005-0000-0000-0000DB2E0000}"/>
    <cellStyle name="Millares 4 2 2 5 6" xfId="10155" xr:uid="{00000000-0005-0000-0000-0000DC2E0000}"/>
    <cellStyle name="Millares 4 2 2 5 7" xfId="16931" xr:uid="{00000000-0005-0000-0000-0000DD2E0000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3" xfId="22177" xr:uid="{00000000-0005-0000-0000-0000E22E0000}"/>
    <cellStyle name="Millares 4 2 2 6 2 3" xfId="12262" xr:uid="{00000000-0005-0000-0000-0000E32E0000}"/>
    <cellStyle name="Millares 4 2 2 6 2 4" xfId="18949" xr:uid="{00000000-0005-0000-0000-0000E42E0000}"/>
    <cellStyle name="Millares 4 2 2 6 3" xfId="7681" xr:uid="{00000000-0005-0000-0000-0000E52E0000}"/>
    <cellStyle name="Millares 4 2 2 6 3 2" xfId="14259" xr:uid="{00000000-0005-0000-0000-0000E62E0000}"/>
    <cellStyle name="Millares 4 2 2 6 3 3" xfId="20946" xr:uid="{00000000-0005-0000-0000-0000E72E0000}"/>
    <cellStyle name="Millares 4 2 2 6 4" xfId="10954" xr:uid="{00000000-0005-0000-0000-0000E82E0000}"/>
    <cellStyle name="Millares 4 2 2 6 5" xfId="17718" xr:uid="{00000000-0005-0000-0000-0000E92E0000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3" xfId="22557" xr:uid="{00000000-0005-0000-0000-0000EE2E0000}"/>
    <cellStyle name="Millares 4 2 2 7 2 3" xfId="12642" xr:uid="{00000000-0005-0000-0000-0000EF2E0000}"/>
    <cellStyle name="Millares 4 2 2 7 2 4" xfId="19329" xr:uid="{00000000-0005-0000-0000-0000F02E0000}"/>
    <cellStyle name="Millares 4 2 2 7 3" xfId="8061" xr:uid="{00000000-0005-0000-0000-0000F12E0000}"/>
    <cellStyle name="Millares 4 2 2 7 3 2" xfId="14639" xr:uid="{00000000-0005-0000-0000-0000F22E0000}"/>
    <cellStyle name="Millares 4 2 2 7 3 3" xfId="21326" xr:uid="{00000000-0005-0000-0000-0000F32E0000}"/>
    <cellStyle name="Millares 4 2 2 7 4" xfId="11363" xr:uid="{00000000-0005-0000-0000-0000F42E0000}"/>
    <cellStyle name="Millares 4 2 2 7 5" xfId="18098" xr:uid="{00000000-0005-0000-0000-0000F52E0000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3" xfId="20550" xr:uid="{00000000-0005-0000-0000-0000F92E0000}"/>
    <cellStyle name="Millares 4 2 2 8 3" xfId="10547" xr:uid="{00000000-0005-0000-0000-0000FA2E0000}"/>
    <cellStyle name="Millares 4 2 2 8 4" xfId="17322" xr:uid="{00000000-0005-0000-0000-0000FB2E0000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3" xfId="21781" xr:uid="{00000000-0005-0000-0000-0000FF2E0000}"/>
    <cellStyle name="Millares 4 2 2 9 3" xfId="11866" xr:uid="{00000000-0005-0000-0000-0000002F0000}"/>
    <cellStyle name="Millares 4 2 2 9 4" xfId="18553" xr:uid="{00000000-0005-0000-0000-0000012F0000}"/>
    <cellStyle name="Millares 4 2 3" xfId="288" xr:uid="{00000000-0005-0000-0000-0000022F0000}"/>
    <cellStyle name="Millares 4 2 3 10" xfId="9766" xr:uid="{00000000-0005-0000-0000-0000032F0000}"/>
    <cellStyle name="Millares 4 2 3 11" xfId="16429" xr:uid="{00000000-0005-0000-0000-0000042F0000}"/>
    <cellStyle name="Millares 4 2 3 12" xfId="16567" xr:uid="{00000000-0005-0000-0000-0000052F0000}"/>
    <cellStyle name="Millares 4 2 3 2" xfId="642" xr:uid="{00000000-0005-0000-0000-0000062F0000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3" xfId="21685" xr:uid="{00000000-0005-0000-0000-00000C2F0000}"/>
    <cellStyle name="Millares 4 2 3 2 2 2 2 3" xfId="11768" xr:uid="{00000000-0005-0000-0000-00000D2F0000}"/>
    <cellStyle name="Millares 4 2 3 2 2 2 2 4" xfId="18457" xr:uid="{00000000-0005-0000-0000-00000E2F0000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3" xfId="22916" xr:uid="{00000000-0005-0000-0000-0000122F0000}"/>
    <cellStyle name="Millares 4 2 3 2 2 2 3 3" xfId="13001" xr:uid="{00000000-0005-0000-0000-0000132F0000}"/>
    <cellStyle name="Millares 4 2 3 2 2 2 3 4" xfId="19688" xr:uid="{00000000-0005-0000-0000-0000142F0000}"/>
    <cellStyle name="Millares 4 2 3 2 2 2 4" xfId="7203" xr:uid="{00000000-0005-0000-0000-0000152F0000}"/>
    <cellStyle name="Millares 4 2 3 2 2 2 4 2" xfId="13781" xr:uid="{00000000-0005-0000-0000-0000162F0000}"/>
    <cellStyle name="Millares 4 2 3 2 2 2 4 3" xfId="20468" xr:uid="{00000000-0005-0000-0000-0000172F0000}"/>
    <cellStyle name="Millares 4 2 3 2 2 2 5" xfId="10464" xr:uid="{00000000-0005-0000-0000-0000182F0000}"/>
    <cellStyle name="Millares 4 2 3 2 2 2 6" xfId="17240" xr:uid="{00000000-0005-0000-0000-0000192F0000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3" xfId="21075" xr:uid="{00000000-0005-0000-0000-00001D2F0000}"/>
    <cellStyle name="Millares 4 2 3 2 2 3 3" xfId="11092" xr:uid="{00000000-0005-0000-0000-00001E2F0000}"/>
    <cellStyle name="Millares 4 2 3 2 2 3 4" xfId="17847" xr:uid="{00000000-0005-0000-0000-00001F2F0000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3" xfId="22306" xr:uid="{00000000-0005-0000-0000-0000232F0000}"/>
    <cellStyle name="Millares 4 2 3 2 2 4 3" xfId="12391" xr:uid="{00000000-0005-0000-0000-0000242F0000}"/>
    <cellStyle name="Millares 4 2 3 2 2 4 4" xfId="19078" xr:uid="{00000000-0005-0000-0000-0000252F0000}"/>
    <cellStyle name="Millares 4 2 3 2 2 5" xfId="6815" xr:uid="{00000000-0005-0000-0000-0000262F0000}"/>
    <cellStyle name="Millares 4 2 3 2 2 5 2" xfId="13393" xr:uid="{00000000-0005-0000-0000-0000272F0000}"/>
    <cellStyle name="Millares 4 2 3 2 2 5 3" xfId="20080" xr:uid="{00000000-0005-0000-0000-0000282F0000}"/>
    <cellStyle name="Millares 4 2 3 2 2 6" xfId="10073" xr:uid="{00000000-0005-0000-0000-0000292F0000}"/>
    <cellStyle name="Millares 4 2 3 2 2 7" xfId="16852" xr:uid="{00000000-0005-0000-0000-00002A2F0000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3" xfId="21441" xr:uid="{00000000-0005-0000-0000-00002F2F0000}"/>
    <cellStyle name="Millares 4 2 3 2 3 2 3" xfId="11501" xr:uid="{00000000-0005-0000-0000-0000302F0000}"/>
    <cellStyle name="Millares 4 2 3 2 3 2 4" xfId="18213" xr:uid="{00000000-0005-0000-0000-0000312F0000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3" xfId="22672" xr:uid="{00000000-0005-0000-0000-0000352F0000}"/>
    <cellStyle name="Millares 4 2 3 2 3 3 3" xfId="12757" xr:uid="{00000000-0005-0000-0000-0000362F0000}"/>
    <cellStyle name="Millares 4 2 3 2 3 3 4" xfId="19444" xr:uid="{00000000-0005-0000-0000-0000372F0000}"/>
    <cellStyle name="Millares 4 2 3 2 3 4" xfId="7010" xr:uid="{00000000-0005-0000-0000-0000382F0000}"/>
    <cellStyle name="Millares 4 2 3 2 3 4 2" xfId="13588" xr:uid="{00000000-0005-0000-0000-0000392F0000}"/>
    <cellStyle name="Millares 4 2 3 2 3 4 3" xfId="20275" xr:uid="{00000000-0005-0000-0000-00003A2F0000}"/>
    <cellStyle name="Millares 4 2 3 2 3 5" xfId="10271" xr:uid="{00000000-0005-0000-0000-00003B2F0000}"/>
    <cellStyle name="Millares 4 2 3 2 3 6" xfId="17047" xr:uid="{00000000-0005-0000-0000-00003C2F0000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3" xfId="20679" xr:uid="{00000000-0005-0000-0000-0000402F0000}"/>
    <cellStyle name="Millares 4 2 3 2 4 3" xfId="10676" xr:uid="{00000000-0005-0000-0000-0000412F0000}"/>
    <cellStyle name="Millares 4 2 3 2 4 4" xfId="17451" xr:uid="{00000000-0005-0000-0000-0000422F0000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3" xfId="21910" xr:uid="{00000000-0005-0000-0000-0000462F0000}"/>
    <cellStyle name="Millares 4 2 3 2 5 3" xfId="11995" xr:uid="{00000000-0005-0000-0000-0000472F0000}"/>
    <cellStyle name="Millares 4 2 3 2 5 4" xfId="18682" xr:uid="{00000000-0005-0000-0000-0000482F0000}"/>
    <cellStyle name="Millares 4 2 3 2 6" xfId="6622" xr:uid="{00000000-0005-0000-0000-0000492F0000}"/>
    <cellStyle name="Millares 4 2 3 2 6 2" xfId="13200" xr:uid="{00000000-0005-0000-0000-00004A2F0000}"/>
    <cellStyle name="Millares 4 2 3 2 6 3" xfId="19887" xr:uid="{00000000-0005-0000-0000-00004B2F0000}"/>
    <cellStyle name="Millares 4 2 3 2 7" xfId="9864" xr:uid="{00000000-0005-0000-0000-00004C2F0000}"/>
    <cellStyle name="Millares 4 2 3 2 8" xfId="16319" xr:uid="{00000000-0005-0000-0000-00004D2F0000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3" xfId="21157" xr:uid="{00000000-0005-0000-0000-0000542F0000}"/>
    <cellStyle name="Millares 4 2 3 3 2 2 3" xfId="11179" xr:uid="{00000000-0005-0000-0000-0000552F0000}"/>
    <cellStyle name="Millares 4 2 3 3 2 2 4" xfId="17929" xr:uid="{00000000-0005-0000-0000-0000562F0000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3" xfId="22388" xr:uid="{00000000-0005-0000-0000-00005A2F0000}"/>
    <cellStyle name="Millares 4 2 3 3 2 3 3" xfId="12473" xr:uid="{00000000-0005-0000-0000-00005B2F0000}"/>
    <cellStyle name="Millares 4 2 3 3 2 3 4" xfId="19160" xr:uid="{00000000-0005-0000-0000-00005C2F0000}"/>
    <cellStyle name="Millares 4 2 3 3 2 4" xfId="7111" xr:uid="{00000000-0005-0000-0000-00005D2F0000}"/>
    <cellStyle name="Millares 4 2 3 3 2 4 2" xfId="13689" xr:uid="{00000000-0005-0000-0000-00005E2F0000}"/>
    <cellStyle name="Millares 4 2 3 3 2 4 3" xfId="20376" xr:uid="{00000000-0005-0000-0000-00005F2F0000}"/>
    <cellStyle name="Millares 4 2 3 3 2 5" xfId="10372" xr:uid="{00000000-0005-0000-0000-0000602F0000}"/>
    <cellStyle name="Millares 4 2 3 3 2 6" xfId="17148" xr:uid="{00000000-0005-0000-0000-0000612F0000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3" xfId="22824" xr:uid="{00000000-0005-0000-0000-0000662F0000}"/>
    <cellStyle name="Millares 4 2 3 3 3 2 3" xfId="12909" xr:uid="{00000000-0005-0000-0000-0000672F0000}"/>
    <cellStyle name="Millares 4 2 3 3 3 2 4" xfId="19596" xr:uid="{00000000-0005-0000-0000-0000682F0000}"/>
    <cellStyle name="Millares 4 2 3 3 3 3" xfId="8328" xr:uid="{00000000-0005-0000-0000-0000692F0000}"/>
    <cellStyle name="Millares 4 2 3 3 3 3 2" xfId="14906" xr:uid="{00000000-0005-0000-0000-00006A2F0000}"/>
    <cellStyle name="Millares 4 2 3 3 3 3 3" xfId="21593" xr:uid="{00000000-0005-0000-0000-00006B2F0000}"/>
    <cellStyle name="Millares 4 2 3 3 3 4" xfId="11663" xr:uid="{00000000-0005-0000-0000-00006C2F0000}"/>
    <cellStyle name="Millares 4 2 3 3 3 5" xfId="18365" xr:uid="{00000000-0005-0000-0000-00006D2F0000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3" xfId="20761" xr:uid="{00000000-0005-0000-0000-0000712F0000}"/>
    <cellStyle name="Millares 4 2 3 3 4 3" xfId="10758" xr:uid="{00000000-0005-0000-0000-0000722F0000}"/>
    <cellStyle name="Millares 4 2 3 3 4 4" xfId="17533" xr:uid="{00000000-0005-0000-0000-0000732F0000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3" xfId="21992" xr:uid="{00000000-0005-0000-0000-0000772F0000}"/>
    <cellStyle name="Millares 4 2 3 3 5 3" xfId="12077" xr:uid="{00000000-0005-0000-0000-0000782F0000}"/>
    <cellStyle name="Millares 4 2 3 3 5 4" xfId="18764" xr:uid="{00000000-0005-0000-0000-0000792F0000}"/>
    <cellStyle name="Millares 4 2 3 3 6" xfId="6723" xr:uid="{00000000-0005-0000-0000-00007A2F0000}"/>
    <cellStyle name="Millares 4 2 3 3 6 2" xfId="13301" xr:uid="{00000000-0005-0000-0000-00007B2F0000}"/>
    <cellStyle name="Millares 4 2 3 3 6 3" xfId="19988" xr:uid="{00000000-0005-0000-0000-00007C2F0000}"/>
    <cellStyle name="Millares 4 2 3 3 7" xfId="9972" xr:uid="{00000000-0005-0000-0000-00007D2F0000}"/>
    <cellStyle name="Millares 4 2 3 3 8" xfId="16760" xr:uid="{00000000-0005-0000-0000-00007E2F0000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3" xfId="22488" xr:uid="{00000000-0005-0000-0000-0000842F0000}"/>
    <cellStyle name="Millares 4 2 3 4 2 2 3" xfId="12573" xr:uid="{00000000-0005-0000-0000-0000852F0000}"/>
    <cellStyle name="Millares 4 2 3 4 2 2 4" xfId="19260" xr:uid="{00000000-0005-0000-0000-0000862F0000}"/>
    <cellStyle name="Millares 4 2 3 4 2 3" xfId="7992" xr:uid="{00000000-0005-0000-0000-0000872F0000}"/>
    <cellStyle name="Millares 4 2 3 4 2 3 2" xfId="14570" xr:uid="{00000000-0005-0000-0000-0000882F0000}"/>
    <cellStyle name="Millares 4 2 3 4 2 3 3" xfId="21257" xr:uid="{00000000-0005-0000-0000-0000892F0000}"/>
    <cellStyle name="Millares 4 2 3 4 2 4" xfId="11289" xr:uid="{00000000-0005-0000-0000-00008A2F0000}"/>
    <cellStyle name="Millares 4 2 3 4 2 5" xfId="18029" xr:uid="{00000000-0005-0000-0000-00008B2F0000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3" xfId="20861" xr:uid="{00000000-0005-0000-0000-00008F2F0000}"/>
    <cellStyle name="Millares 4 2 3 4 3 3" xfId="10863" xr:uid="{00000000-0005-0000-0000-0000902F0000}"/>
    <cellStyle name="Millares 4 2 3 4 3 4" xfId="17633" xr:uid="{00000000-0005-0000-0000-0000912F0000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3" xfId="22092" xr:uid="{00000000-0005-0000-0000-0000952F0000}"/>
    <cellStyle name="Millares 4 2 3 4 4 3" xfId="12177" xr:uid="{00000000-0005-0000-0000-0000962F0000}"/>
    <cellStyle name="Millares 4 2 3 4 4 4" xfId="18864" xr:uid="{00000000-0005-0000-0000-0000972F0000}"/>
    <cellStyle name="Millares 4 2 3 4 5" xfId="6918" xr:uid="{00000000-0005-0000-0000-0000982F0000}"/>
    <cellStyle name="Millares 4 2 3 4 5 2" xfId="13496" xr:uid="{00000000-0005-0000-0000-0000992F0000}"/>
    <cellStyle name="Millares 4 2 3 4 5 3" xfId="20183" xr:uid="{00000000-0005-0000-0000-00009A2F0000}"/>
    <cellStyle name="Millares 4 2 3 4 6" xfId="10179" xr:uid="{00000000-0005-0000-0000-00009B2F0000}"/>
    <cellStyle name="Millares 4 2 3 4 7" xfId="16955" xr:uid="{00000000-0005-0000-0000-00009C2F0000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3" xfId="22200" xr:uid="{00000000-0005-0000-0000-0000A12F0000}"/>
    <cellStyle name="Millares 4 2 3 5 2 3" xfId="12285" xr:uid="{00000000-0005-0000-0000-0000A22F0000}"/>
    <cellStyle name="Millares 4 2 3 5 2 4" xfId="18972" xr:uid="{00000000-0005-0000-0000-0000A32F0000}"/>
    <cellStyle name="Millares 4 2 3 5 3" xfId="7704" xr:uid="{00000000-0005-0000-0000-0000A42F0000}"/>
    <cellStyle name="Millares 4 2 3 5 3 2" xfId="14282" xr:uid="{00000000-0005-0000-0000-0000A52F0000}"/>
    <cellStyle name="Millares 4 2 3 5 3 3" xfId="20969" xr:uid="{00000000-0005-0000-0000-0000A62F0000}"/>
    <cellStyle name="Millares 4 2 3 5 4" xfId="10980" xr:uid="{00000000-0005-0000-0000-0000A72F0000}"/>
    <cellStyle name="Millares 4 2 3 5 5" xfId="17741" xr:uid="{00000000-0005-0000-0000-0000A82F0000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3" xfId="22580" xr:uid="{00000000-0005-0000-0000-0000AD2F0000}"/>
    <cellStyle name="Millares 4 2 3 6 2 3" xfId="12665" xr:uid="{00000000-0005-0000-0000-0000AE2F0000}"/>
    <cellStyle name="Millares 4 2 3 6 2 4" xfId="19352" xr:uid="{00000000-0005-0000-0000-0000AF2F0000}"/>
    <cellStyle name="Millares 4 2 3 6 3" xfId="8084" xr:uid="{00000000-0005-0000-0000-0000B02F0000}"/>
    <cellStyle name="Millares 4 2 3 6 3 2" xfId="14662" xr:uid="{00000000-0005-0000-0000-0000B12F0000}"/>
    <cellStyle name="Millares 4 2 3 6 3 3" xfId="21349" xr:uid="{00000000-0005-0000-0000-0000B22F0000}"/>
    <cellStyle name="Millares 4 2 3 6 4" xfId="11390" xr:uid="{00000000-0005-0000-0000-0000B32F0000}"/>
    <cellStyle name="Millares 4 2 3 6 5" xfId="18121" xr:uid="{00000000-0005-0000-0000-0000B42F0000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3" xfId="20573" xr:uid="{00000000-0005-0000-0000-0000B82F0000}"/>
    <cellStyle name="Millares 4 2 3 7 3" xfId="10570" xr:uid="{00000000-0005-0000-0000-0000B92F0000}"/>
    <cellStyle name="Millares 4 2 3 7 4" xfId="17345" xr:uid="{00000000-0005-0000-0000-0000BA2F0000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3" xfId="21804" xr:uid="{00000000-0005-0000-0000-0000BE2F0000}"/>
    <cellStyle name="Millares 4 2 3 8 3" xfId="11889" xr:uid="{00000000-0005-0000-0000-0000BF2F0000}"/>
    <cellStyle name="Millares 4 2 3 8 4" xfId="18576" xr:uid="{00000000-0005-0000-0000-0000C02F0000}"/>
    <cellStyle name="Millares 4 2 3 9" xfId="6530" xr:uid="{00000000-0005-0000-0000-0000C12F0000}"/>
    <cellStyle name="Millares 4 2 3 9 2" xfId="13108" xr:uid="{00000000-0005-0000-0000-0000C22F0000}"/>
    <cellStyle name="Millares 4 2 3 9 3" xfId="19795" xr:uid="{00000000-0005-0000-0000-0000C32F0000}"/>
    <cellStyle name="Millares 4 2 4" xfId="469" xr:uid="{00000000-0005-0000-0000-0000C42F0000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3" xfId="21640" xr:uid="{00000000-0005-0000-0000-0000CA2F0000}"/>
    <cellStyle name="Millares 4 2 4 2 2 2 3" xfId="11717" xr:uid="{00000000-0005-0000-0000-0000CB2F0000}"/>
    <cellStyle name="Millares 4 2 4 2 2 2 4" xfId="18412" xr:uid="{00000000-0005-0000-0000-0000CC2F0000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3" xfId="22871" xr:uid="{00000000-0005-0000-0000-0000D02F0000}"/>
    <cellStyle name="Millares 4 2 4 2 2 3 3" xfId="12956" xr:uid="{00000000-0005-0000-0000-0000D12F0000}"/>
    <cellStyle name="Millares 4 2 4 2 2 3 4" xfId="19643" xr:uid="{00000000-0005-0000-0000-0000D22F0000}"/>
    <cellStyle name="Millares 4 2 4 2 2 4" xfId="7158" xr:uid="{00000000-0005-0000-0000-0000D32F0000}"/>
    <cellStyle name="Millares 4 2 4 2 2 4 2" xfId="13736" xr:uid="{00000000-0005-0000-0000-0000D42F0000}"/>
    <cellStyle name="Millares 4 2 4 2 2 4 3" xfId="20423" xr:uid="{00000000-0005-0000-0000-0000D52F0000}"/>
    <cellStyle name="Millares 4 2 4 2 2 5" xfId="10419" xr:uid="{00000000-0005-0000-0000-0000D62F0000}"/>
    <cellStyle name="Millares 4 2 4 2 2 6" xfId="17195" xr:uid="{00000000-0005-0000-0000-0000D72F0000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3" xfId="21029" xr:uid="{00000000-0005-0000-0000-0000DB2F0000}"/>
    <cellStyle name="Millares 4 2 4 2 3 3" xfId="11045" xr:uid="{00000000-0005-0000-0000-0000DC2F0000}"/>
    <cellStyle name="Millares 4 2 4 2 3 4" xfId="17801" xr:uid="{00000000-0005-0000-0000-0000DD2F0000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3" xfId="22260" xr:uid="{00000000-0005-0000-0000-0000E12F0000}"/>
    <cellStyle name="Millares 4 2 4 2 4 3" xfId="12345" xr:uid="{00000000-0005-0000-0000-0000E22F0000}"/>
    <cellStyle name="Millares 4 2 4 2 4 4" xfId="19032" xr:uid="{00000000-0005-0000-0000-0000E32F0000}"/>
    <cellStyle name="Millares 4 2 4 2 5" xfId="6770" xr:uid="{00000000-0005-0000-0000-0000E42F0000}"/>
    <cellStyle name="Millares 4 2 4 2 5 2" xfId="13348" xr:uid="{00000000-0005-0000-0000-0000E52F0000}"/>
    <cellStyle name="Millares 4 2 4 2 5 3" xfId="20035" xr:uid="{00000000-0005-0000-0000-0000E62F0000}"/>
    <cellStyle name="Millares 4 2 4 2 6" xfId="10025" xr:uid="{00000000-0005-0000-0000-0000E72F0000}"/>
    <cellStyle name="Millares 4 2 4 2 7" xfId="10849" xr:uid="{00000000-0005-0000-0000-0000E82F0000}"/>
    <cellStyle name="Millares 4 2 4 2 8" xfId="16807" xr:uid="{00000000-0005-0000-0000-0000E92F0000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3" xfId="21396" xr:uid="{00000000-0005-0000-0000-0000EE2F0000}"/>
    <cellStyle name="Millares 4 2 4 3 2 3" xfId="11444" xr:uid="{00000000-0005-0000-0000-0000EF2F0000}"/>
    <cellStyle name="Millares 4 2 4 3 2 4" xfId="18168" xr:uid="{00000000-0005-0000-0000-0000F02F0000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3" xfId="22627" xr:uid="{00000000-0005-0000-0000-0000F42F0000}"/>
    <cellStyle name="Millares 4 2 4 3 3 3" xfId="12712" xr:uid="{00000000-0005-0000-0000-0000F52F0000}"/>
    <cellStyle name="Millares 4 2 4 3 3 4" xfId="19399" xr:uid="{00000000-0005-0000-0000-0000F62F0000}"/>
    <cellStyle name="Millares 4 2 4 3 4" xfId="6965" xr:uid="{00000000-0005-0000-0000-0000F72F0000}"/>
    <cellStyle name="Millares 4 2 4 3 4 2" xfId="13543" xr:uid="{00000000-0005-0000-0000-0000F82F0000}"/>
    <cellStyle name="Millares 4 2 4 3 4 3" xfId="20230" xr:uid="{00000000-0005-0000-0000-0000F92F0000}"/>
    <cellStyle name="Millares 4 2 4 3 5" xfId="10226" xr:uid="{00000000-0005-0000-0000-0000FA2F0000}"/>
    <cellStyle name="Millares 4 2 4 3 6" xfId="17002" xr:uid="{00000000-0005-0000-0000-0000FB2F0000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3" xfId="20633" xr:uid="{00000000-0005-0000-0000-0000FF2F0000}"/>
    <cellStyle name="Millares 4 2 4 4 3" xfId="10630" xr:uid="{00000000-0005-0000-0000-000000300000}"/>
    <cellStyle name="Millares 4 2 4 4 4" xfId="17405" xr:uid="{00000000-0005-0000-0000-000001300000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3" xfId="21864" xr:uid="{00000000-0005-0000-0000-000005300000}"/>
    <cellStyle name="Millares 4 2 4 5 3" xfId="11949" xr:uid="{00000000-0005-0000-0000-000006300000}"/>
    <cellStyle name="Millares 4 2 4 5 4" xfId="18636" xr:uid="{00000000-0005-0000-0000-000007300000}"/>
    <cellStyle name="Millares 4 2 4 6" xfId="6577" xr:uid="{00000000-0005-0000-0000-000008300000}"/>
    <cellStyle name="Millares 4 2 4 6 2" xfId="13155" xr:uid="{00000000-0005-0000-0000-000009300000}"/>
    <cellStyle name="Millares 4 2 4 6 3" xfId="19842" xr:uid="{00000000-0005-0000-0000-00000A300000}"/>
    <cellStyle name="Millares 4 2 4 7" xfId="9815" xr:uid="{00000000-0005-0000-0000-00000B300000}"/>
    <cellStyle name="Millares 4 2 4 8" xfId="11455" xr:uid="{00000000-0005-0000-0000-00000C300000}"/>
    <cellStyle name="Millares 4 2 4 9" xfId="16614" xr:uid="{00000000-0005-0000-0000-00000D300000}"/>
    <cellStyle name="Millares 4 2 5" xfId="832" xr:uid="{00000000-0005-0000-0000-00000E300000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3" xfId="21154" xr:uid="{00000000-0005-0000-0000-000013300000}"/>
    <cellStyle name="Millares 4 2 5 2 2 3" xfId="11176" xr:uid="{00000000-0005-0000-0000-000014300000}"/>
    <cellStyle name="Millares 4 2 5 2 2 4" xfId="17926" xr:uid="{00000000-0005-0000-0000-000015300000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3" xfId="22385" xr:uid="{00000000-0005-0000-0000-000019300000}"/>
    <cellStyle name="Millares 4 2 5 2 3 3" xfId="12470" xr:uid="{00000000-0005-0000-0000-00001A300000}"/>
    <cellStyle name="Millares 4 2 5 2 3 4" xfId="19157" xr:uid="{00000000-0005-0000-0000-00001B300000}"/>
    <cellStyle name="Millares 4 2 5 2 4" xfId="7064" xr:uid="{00000000-0005-0000-0000-00001C300000}"/>
    <cellStyle name="Millares 4 2 5 2 4 2" xfId="13642" xr:uid="{00000000-0005-0000-0000-00001D300000}"/>
    <cellStyle name="Millares 4 2 5 2 4 3" xfId="20329" xr:uid="{00000000-0005-0000-0000-00001E300000}"/>
    <cellStyle name="Millares 4 2 5 2 5" xfId="10325" xr:uid="{00000000-0005-0000-0000-00001F300000}"/>
    <cellStyle name="Millares 4 2 5 2 6" xfId="16327" xr:uid="{00000000-0005-0000-0000-000020300000}"/>
    <cellStyle name="Millares 4 2 5 2 7" xfId="17101" xr:uid="{00000000-0005-0000-0000-000021300000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3" xfId="22777" xr:uid="{00000000-0005-0000-0000-000026300000}"/>
    <cellStyle name="Millares 4 2 5 3 2 3" xfId="12862" xr:uid="{00000000-0005-0000-0000-000027300000}"/>
    <cellStyle name="Millares 4 2 5 3 2 4" xfId="19549" xr:uid="{00000000-0005-0000-0000-000028300000}"/>
    <cellStyle name="Millares 4 2 5 3 3" xfId="8281" xr:uid="{00000000-0005-0000-0000-000029300000}"/>
    <cellStyle name="Millares 4 2 5 3 3 2" xfId="14859" xr:uid="{00000000-0005-0000-0000-00002A300000}"/>
    <cellStyle name="Millares 4 2 5 3 3 3" xfId="21546" xr:uid="{00000000-0005-0000-0000-00002B300000}"/>
    <cellStyle name="Millares 4 2 5 3 4" xfId="11612" xr:uid="{00000000-0005-0000-0000-00002C300000}"/>
    <cellStyle name="Millares 4 2 5 3 5" xfId="18318" xr:uid="{00000000-0005-0000-0000-00002D300000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3" xfId="20758" xr:uid="{00000000-0005-0000-0000-000031300000}"/>
    <cellStyle name="Millares 4 2 5 4 3" xfId="10755" xr:uid="{00000000-0005-0000-0000-000032300000}"/>
    <cellStyle name="Millares 4 2 5 4 4" xfId="17530" xr:uid="{00000000-0005-0000-0000-000033300000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3" xfId="21989" xr:uid="{00000000-0005-0000-0000-000037300000}"/>
    <cellStyle name="Millares 4 2 5 5 3" xfId="12074" xr:uid="{00000000-0005-0000-0000-000038300000}"/>
    <cellStyle name="Millares 4 2 5 5 4" xfId="18761" xr:uid="{00000000-0005-0000-0000-000039300000}"/>
    <cellStyle name="Millares 4 2 5 6" xfId="6676" xr:uid="{00000000-0005-0000-0000-00003A300000}"/>
    <cellStyle name="Millares 4 2 5 6 2" xfId="13254" xr:uid="{00000000-0005-0000-0000-00003B300000}"/>
    <cellStyle name="Millares 4 2 5 6 3" xfId="19941" xr:uid="{00000000-0005-0000-0000-00003C300000}"/>
    <cellStyle name="Millares 4 2 5 7" xfId="9922" xr:uid="{00000000-0005-0000-0000-00003D300000}"/>
    <cellStyle name="Millares 4 2 5 8" xfId="16332" xr:uid="{00000000-0005-0000-0000-00003E300000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3" xfId="22443" xr:uid="{00000000-0005-0000-0000-000045300000}"/>
    <cellStyle name="Millares 4 2 6 2 2 3" xfId="12528" xr:uid="{00000000-0005-0000-0000-000046300000}"/>
    <cellStyle name="Millares 4 2 6 2 2 4" xfId="19215" xr:uid="{00000000-0005-0000-0000-000047300000}"/>
    <cellStyle name="Millares 4 2 6 2 3" xfId="7947" xr:uid="{00000000-0005-0000-0000-000048300000}"/>
    <cellStyle name="Millares 4 2 6 2 3 2" xfId="14525" xr:uid="{00000000-0005-0000-0000-000049300000}"/>
    <cellStyle name="Millares 4 2 6 2 3 3" xfId="21212" xr:uid="{00000000-0005-0000-0000-00004A300000}"/>
    <cellStyle name="Millares 4 2 6 2 4" xfId="11240" xr:uid="{00000000-0005-0000-0000-00004B300000}"/>
    <cellStyle name="Millares 4 2 6 2 5" xfId="17984" xr:uid="{00000000-0005-0000-0000-00004C300000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3" xfId="20816" xr:uid="{00000000-0005-0000-0000-000050300000}"/>
    <cellStyle name="Millares 4 2 6 3 3" xfId="10814" xr:uid="{00000000-0005-0000-0000-000051300000}"/>
    <cellStyle name="Millares 4 2 6 3 4" xfId="17588" xr:uid="{00000000-0005-0000-0000-000052300000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3" xfId="22047" xr:uid="{00000000-0005-0000-0000-000056300000}"/>
    <cellStyle name="Millares 4 2 6 4 3" xfId="12132" xr:uid="{00000000-0005-0000-0000-000057300000}"/>
    <cellStyle name="Millares 4 2 6 4 4" xfId="18819" xr:uid="{00000000-0005-0000-0000-000058300000}"/>
    <cellStyle name="Millares 4 2 6 5" xfId="6871" xr:uid="{00000000-0005-0000-0000-000059300000}"/>
    <cellStyle name="Millares 4 2 6 5 2" xfId="13449" xr:uid="{00000000-0005-0000-0000-00005A300000}"/>
    <cellStyle name="Millares 4 2 6 5 3" xfId="20136" xr:uid="{00000000-0005-0000-0000-00005B300000}"/>
    <cellStyle name="Millares 4 2 6 6" xfId="10132" xr:uid="{00000000-0005-0000-0000-00005C300000}"/>
    <cellStyle name="Millares 4 2 6 7" xfId="11513" xr:uid="{00000000-0005-0000-0000-00005D300000}"/>
    <cellStyle name="Millares 4 2 6 8" xfId="16908" xr:uid="{00000000-0005-0000-0000-00005E300000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3" xfId="22154" xr:uid="{00000000-0005-0000-0000-000063300000}"/>
    <cellStyle name="Millares 4 2 7 2 3" xfId="12239" xr:uid="{00000000-0005-0000-0000-000064300000}"/>
    <cellStyle name="Millares 4 2 7 2 4" xfId="18926" xr:uid="{00000000-0005-0000-0000-000065300000}"/>
    <cellStyle name="Millares 4 2 7 3" xfId="7658" xr:uid="{00000000-0005-0000-0000-000066300000}"/>
    <cellStyle name="Millares 4 2 7 3 2" xfId="14236" xr:uid="{00000000-0005-0000-0000-000067300000}"/>
    <cellStyle name="Millares 4 2 7 3 3" xfId="20923" xr:uid="{00000000-0005-0000-0000-000068300000}"/>
    <cellStyle name="Millares 4 2 7 4" xfId="10930" xr:uid="{00000000-0005-0000-0000-000069300000}"/>
    <cellStyle name="Millares 4 2 7 5" xfId="17695" xr:uid="{00000000-0005-0000-0000-00006A300000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3" xfId="22535" xr:uid="{00000000-0005-0000-0000-00006F300000}"/>
    <cellStyle name="Millares 4 2 8 2 3" xfId="12620" xr:uid="{00000000-0005-0000-0000-000070300000}"/>
    <cellStyle name="Millares 4 2 8 2 4" xfId="19307" xr:uid="{00000000-0005-0000-0000-000071300000}"/>
    <cellStyle name="Millares 4 2 8 3" xfId="8039" xr:uid="{00000000-0005-0000-0000-000072300000}"/>
    <cellStyle name="Millares 4 2 8 3 2" xfId="14617" xr:uid="{00000000-0005-0000-0000-000073300000}"/>
    <cellStyle name="Millares 4 2 8 3 3" xfId="21304" xr:uid="{00000000-0005-0000-0000-000074300000}"/>
    <cellStyle name="Millares 4 2 8 4" xfId="11339" xr:uid="{00000000-0005-0000-0000-000075300000}"/>
    <cellStyle name="Millares 4 2 8 5" xfId="18076" xr:uid="{00000000-0005-0000-0000-000076300000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3" xfId="20527" xr:uid="{00000000-0005-0000-0000-00007A300000}"/>
    <cellStyle name="Millares 4 2 9 3" xfId="10524" xr:uid="{00000000-0005-0000-0000-00007B300000}"/>
    <cellStyle name="Millares 4 2 9 4" xfId="17299" xr:uid="{00000000-0005-0000-0000-00007C300000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3" xfId="19761" xr:uid="{00000000-0005-0000-0000-000080300000}"/>
    <cellStyle name="Millares 4 3 11" xfId="9730" xr:uid="{00000000-0005-0000-0000-000081300000}"/>
    <cellStyle name="Millares 4 3 12" xfId="16533" xr:uid="{00000000-0005-0000-0000-000082300000}"/>
    <cellStyle name="Millares 4 3 2" xfId="334" xr:uid="{00000000-0005-0000-0000-000083300000}"/>
    <cellStyle name="Millares 4 3 2 10" xfId="9779" xr:uid="{00000000-0005-0000-0000-000084300000}"/>
    <cellStyle name="Millares 4 3 2 11" xfId="16579" xr:uid="{00000000-0005-0000-0000-000085300000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3" xfId="21697" xr:uid="{00000000-0005-0000-0000-00008C300000}"/>
    <cellStyle name="Millares 4 3 2 2 2 2 2 3" xfId="11781" xr:uid="{00000000-0005-0000-0000-00008D300000}"/>
    <cellStyle name="Millares 4 3 2 2 2 2 2 4" xfId="18469" xr:uid="{00000000-0005-0000-0000-00008E300000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3" xfId="22928" xr:uid="{00000000-0005-0000-0000-000092300000}"/>
    <cellStyle name="Millares 4 3 2 2 2 2 3 3" xfId="13013" xr:uid="{00000000-0005-0000-0000-000093300000}"/>
    <cellStyle name="Millares 4 3 2 2 2 2 3 4" xfId="19700" xr:uid="{00000000-0005-0000-0000-000094300000}"/>
    <cellStyle name="Millares 4 3 2 2 2 2 4" xfId="7215" xr:uid="{00000000-0005-0000-0000-000095300000}"/>
    <cellStyle name="Millares 4 3 2 2 2 2 4 2" xfId="13793" xr:uid="{00000000-0005-0000-0000-000096300000}"/>
    <cellStyle name="Millares 4 3 2 2 2 2 4 3" xfId="20480" xr:uid="{00000000-0005-0000-0000-000097300000}"/>
    <cellStyle name="Millares 4 3 2 2 2 2 5" xfId="10476" xr:uid="{00000000-0005-0000-0000-000098300000}"/>
    <cellStyle name="Millares 4 3 2 2 2 2 6" xfId="17252" xr:uid="{00000000-0005-0000-0000-000099300000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3" xfId="21087" xr:uid="{00000000-0005-0000-0000-00009D300000}"/>
    <cellStyle name="Millares 4 3 2 2 2 3 3" xfId="11104" xr:uid="{00000000-0005-0000-0000-00009E300000}"/>
    <cellStyle name="Millares 4 3 2 2 2 3 4" xfId="17859" xr:uid="{00000000-0005-0000-0000-00009F300000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3" xfId="22318" xr:uid="{00000000-0005-0000-0000-0000A3300000}"/>
    <cellStyle name="Millares 4 3 2 2 2 4 3" xfId="12403" xr:uid="{00000000-0005-0000-0000-0000A4300000}"/>
    <cellStyle name="Millares 4 3 2 2 2 4 4" xfId="19090" xr:uid="{00000000-0005-0000-0000-0000A5300000}"/>
    <cellStyle name="Millares 4 3 2 2 2 5" xfId="6827" xr:uid="{00000000-0005-0000-0000-0000A6300000}"/>
    <cellStyle name="Millares 4 3 2 2 2 5 2" xfId="13405" xr:uid="{00000000-0005-0000-0000-0000A7300000}"/>
    <cellStyle name="Millares 4 3 2 2 2 5 3" xfId="20092" xr:uid="{00000000-0005-0000-0000-0000A8300000}"/>
    <cellStyle name="Millares 4 3 2 2 2 6" xfId="10086" xr:uid="{00000000-0005-0000-0000-0000A9300000}"/>
    <cellStyle name="Millares 4 3 2 2 2 7" xfId="16864" xr:uid="{00000000-0005-0000-0000-0000AA300000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3" xfId="21453" xr:uid="{00000000-0005-0000-0000-0000AF300000}"/>
    <cellStyle name="Millares 4 3 2 2 3 2 3" xfId="11516" xr:uid="{00000000-0005-0000-0000-0000B0300000}"/>
    <cellStyle name="Millares 4 3 2 2 3 2 4" xfId="18225" xr:uid="{00000000-0005-0000-0000-0000B1300000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3" xfId="22684" xr:uid="{00000000-0005-0000-0000-0000B5300000}"/>
    <cellStyle name="Millares 4 3 2 2 3 3 3" xfId="12769" xr:uid="{00000000-0005-0000-0000-0000B6300000}"/>
    <cellStyle name="Millares 4 3 2 2 3 3 4" xfId="19456" xr:uid="{00000000-0005-0000-0000-0000B7300000}"/>
    <cellStyle name="Millares 4 3 2 2 3 4" xfId="7022" xr:uid="{00000000-0005-0000-0000-0000B8300000}"/>
    <cellStyle name="Millares 4 3 2 2 3 4 2" xfId="13600" xr:uid="{00000000-0005-0000-0000-0000B9300000}"/>
    <cellStyle name="Millares 4 3 2 2 3 4 3" xfId="20287" xr:uid="{00000000-0005-0000-0000-0000BA300000}"/>
    <cellStyle name="Millares 4 3 2 2 3 5" xfId="10283" xr:uid="{00000000-0005-0000-0000-0000BB300000}"/>
    <cellStyle name="Millares 4 3 2 2 3 6" xfId="17059" xr:uid="{00000000-0005-0000-0000-0000BC300000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3" xfId="20691" xr:uid="{00000000-0005-0000-0000-0000C0300000}"/>
    <cellStyle name="Millares 4 3 2 2 4 3" xfId="10688" xr:uid="{00000000-0005-0000-0000-0000C1300000}"/>
    <cellStyle name="Millares 4 3 2 2 4 4" xfId="17463" xr:uid="{00000000-0005-0000-0000-0000C2300000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3" xfId="21922" xr:uid="{00000000-0005-0000-0000-0000C6300000}"/>
    <cellStyle name="Millares 4 3 2 2 5 3" xfId="12007" xr:uid="{00000000-0005-0000-0000-0000C7300000}"/>
    <cellStyle name="Millares 4 3 2 2 5 4" xfId="18694" xr:uid="{00000000-0005-0000-0000-0000C8300000}"/>
    <cellStyle name="Millares 4 3 2 2 6" xfId="6634" xr:uid="{00000000-0005-0000-0000-0000C9300000}"/>
    <cellStyle name="Millares 4 3 2 2 6 2" xfId="13212" xr:uid="{00000000-0005-0000-0000-0000CA300000}"/>
    <cellStyle name="Millares 4 3 2 2 6 3" xfId="19899" xr:uid="{00000000-0005-0000-0000-0000CB300000}"/>
    <cellStyle name="Millares 4 3 2 2 7" xfId="9878" xr:uid="{00000000-0005-0000-0000-0000CC300000}"/>
    <cellStyle name="Millares 4 3 2 2 8" xfId="16671" xr:uid="{00000000-0005-0000-0000-0000CD300000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3" xfId="21159" xr:uid="{00000000-0005-0000-0000-0000D3300000}"/>
    <cellStyle name="Millares 4 3 2 3 2 2 3" xfId="11181" xr:uid="{00000000-0005-0000-0000-0000D4300000}"/>
    <cellStyle name="Millares 4 3 2 3 2 2 4" xfId="17931" xr:uid="{00000000-0005-0000-0000-0000D5300000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3" xfId="22390" xr:uid="{00000000-0005-0000-0000-0000D9300000}"/>
    <cellStyle name="Millares 4 3 2 3 2 3 3" xfId="12475" xr:uid="{00000000-0005-0000-0000-0000DA300000}"/>
    <cellStyle name="Millares 4 3 2 3 2 3 4" xfId="19162" xr:uid="{00000000-0005-0000-0000-0000DB300000}"/>
    <cellStyle name="Millares 4 3 2 3 2 4" xfId="7123" xr:uid="{00000000-0005-0000-0000-0000DC300000}"/>
    <cellStyle name="Millares 4 3 2 3 2 4 2" xfId="13701" xr:uid="{00000000-0005-0000-0000-0000DD300000}"/>
    <cellStyle name="Millares 4 3 2 3 2 4 3" xfId="20388" xr:uid="{00000000-0005-0000-0000-0000DE300000}"/>
    <cellStyle name="Millares 4 3 2 3 2 5" xfId="10384" xr:uid="{00000000-0005-0000-0000-0000DF300000}"/>
    <cellStyle name="Millares 4 3 2 3 2 6" xfId="17160" xr:uid="{00000000-0005-0000-0000-0000E0300000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3" xfId="22836" xr:uid="{00000000-0005-0000-0000-0000E5300000}"/>
    <cellStyle name="Millares 4 3 2 3 3 2 3" xfId="12921" xr:uid="{00000000-0005-0000-0000-0000E6300000}"/>
    <cellStyle name="Millares 4 3 2 3 3 2 4" xfId="19608" xr:uid="{00000000-0005-0000-0000-0000E7300000}"/>
    <cellStyle name="Millares 4 3 2 3 3 3" xfId="8340" xr:uid="{00000000-0005-0000-0000-0000E8300000}"/>
    <cellStyle name="Millares 4 3 2 3 3 3 2" xfId="14918" xr:uid="{00000000-0005-0000-0000-0000E9300000}"/>
    <cellStyle name="Millares 4 3 2 3 3 3 3" xfId="21605" xr:uid="{00000000-0005-0000-0000-0000EA300000}"/>
    <cellStyle name="Millares 4 3 2 3 3 4" xfId="11677" xr:uid="{00000000-0005-0000-0000-0000EB300000}"/>
    <cellStyle name="Millares 4 3 2 3 3 5" xfId="18377" xr:uid="{00000000-0005-0000-0000-0000EC300000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3" xfId="20763" xr:uid="{00000000-0005-0000-0000-0000F0300000}"/>
    <cellStyle name="Millares 4 3 2 3 4 3" xfId="10760" xr:uid="{00000000-0005-0000-0000-0000F1300000}"/>
    <cellStyle name="Millares 4 3 2 3 4 4" xfId="17535" xr:uid="{00000000-0005-0000-0000-0000F2300000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3" xfId="21994" xr:uid="{00000000-0005-0000-0000-0000F6300000}"/>
    <cellStyle name="Millares 4 3 2 3 5 3" xfId="12079" xr:uid="{00000000-0005-0000-0000-0000F7300000}"/>
    <cellStyle name="Millares 4 3 2 3 5 4" xfId="18766" xr:uid="{00000000-0005-0000-0000-0000F8300000}"/>
    <cellStyle name="Millares 4 3 2 3 6" xfId="6735" xr:uid="{00000000-0005-0000-0000-0000F9300000}"/>
    <cellStyle name="Millares 4 3 2 3 6 2" xfId="13313" xr:uid="{00000000-0005-0000-0000-0000FA300000}"/>
    <cellStyle name="Millares 4 3 2 3 6 3" xfId="20000" xr:uid="{00000000-0005-0000-0000-0000FB300000}"/>
    <cellStyle name="Millares 4 3 2 3 7" xfId="9985" xr:uid="{00000000-0005-0000-0000-0000FC300000}"/>
    <cellStyle name="Millares 4 3 2 3 8" xfId="16772" xr:uid="{00000000-0005-0000-0000-0000FD300000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3" xfId="22500" xr:uid="{00000000-0005-0000-0000-000003310000}"/>
    <cellStyle name="Millares 4 3 2 4 2 2 3" xfId="12585" xr:uid="{00000000-0005-0000-0000-000004310000}"/>
    <cellStyle name="Millares 4 3 2 4 2 2 4" xfId="19272" xr:uid="{00000000-0005-0000-0000-000005310000}"/>
    <cellStyle name="Millares 4 3 2 4 2 3" xfId="8004" xr:uid="{00000000-0005-0000-0000-000006310000}"/>
    <cellStyle name="Millares 4 3 2 4 2 3 2" xfId="14582" xr:uid="{00000000-0005-0000-0000-000007310000}"/>
    <cellStyle name="Millares 4 3 2 4 2 3 3" xfId="21269" xr:uid="{00000000-0005-0000-0000-000008310000}"/>
    <cellStyle name="Millares 4 3 2 4 2 4" xfId="11302" xr:uid="{00000000-0005-0000-0000-000009310000}"/>
    <cellStyle name="Millares 4 3 2 4 2 5" xfId="18041" xr:uid="{00000000-0005-0000-0000-00000A310000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3" xfId="20873" xr:uid="{00000000-0005-0000-0000-00000E310000}"/>
    <cellStyle name="Millares 4 3 2 4 3 3" xfId="10877" xr:uid="{00000000-0005-0000-0000-00000F310000}"/>
    <cellStyle name="Millares 4 3 2 4 3 4" xfId="17645" xr:uid="{00000000-0005-0000-0000-00001031000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3" xfId="22104" xr:uid="{00000000-0005-0000-0000-000014310000}"/>
    <cellStyle name="Millares 4 3 2 4 4 3" xfId="12189" xr:uid="{00000000-0005-0000-0000-000015310000}"/>
    <cellStyle name="Millares 4 3 2 4 4 4" xfId="18876" xr:uid="{00000000-0005-0000-0000-000016310000}"/>
    <cellStyle name="Millares 4 3 2 4 5" xfId="6930" xr:uid="{00000000-0005-0000-0000-000017310000}"/>
    <cellStyle name="Millares 4 3 2 4 5 2" xfId="13508" xr:uid="{00000000-0005-0000-0000-000018310000}"/>
    <cellStyle name="Millares 4 3 2 4 5 3" xfId="20195" xr:uid="{00000000-0005-0000-0000-000019310000}"/>
    <cellStyle name="Millares 4 3 2 4 6" xfId="10191" xr:uid="{00000000-0005-0000-0000-00001A310000}"/>
    <cellStyle name="Millares 4 3 2 4 7" xfId="16967" xr:uid="{00000000-0005-0000-0000-00001B310000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3" xfId="22212" xr:uid="{00000000-0005-0000-0000-000020310000}"/>
    <cellStyle name="Millares 4 3 2 5 2 3" xfId="12297" xr:uid="{00000000-0005-0000-0000-000021310000}"/>
    <cellStyle name="Millares 4 3 2 5 2 4" xfId="18984" xr:uid="{00000000-0005-0000-0000-000022310000}"/>
    <cellStyle name="Millares 4 3 2 5 3" xfId="7716" xr:uid="{00000000-0005-0000-0000-000023310000}"/>
    <cellStyle name="Millares 4 3 2 5 3 2" xfId="14294" xr:uid="{00000000-0005-0000-0000-000024310000}"/>
    <cellStyle name="Millares 4 3 2 5 3 3" xfId="20981" xr:uid="{00000000-0005-0000-0000-000025310000}"/>
    <cellStyle name="Millares 4 3 2 5 4" xfId="10993" xr:uid="{00000000-0005-0000-0000-000026310000}"/>
    <cellStyle name="Millares 4 3 2 5 5" xfId="17753" xr:uid="{00000000-0005-0000-0000-000027310000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3" xfId="22592" xr:uid="{00000000-0005-0000-0000-00002C310000}"/>
    <cellStyle name="Millares 4 3 2 6 2 3" xfId="12677" xr:uid="{00000000-0005-0000-0000-00002D310000}"/>
    <cellStyle name="Millares 4 3 2 6 2 4" xfId="19364" xr:uid="{00000000-0005-0000-0000-00002E310000}"/>
    <cellStyle name="Millares 4 3 2 6 3" xfId="8096" xr:uid="{00000000-0005-0000-0000-00002F310000}"/>
    <cellStyle name="Millares 4 3 2 6 3 2" xfId="14674" xr:uid="{00000000-0005-0000-0000-000030310000}"/>
    <cellStyle name="Millares 4 3 2 6 3 3" xfId="21361" xr:uid="{00000000-0005-0000-0000-000031310000}"/>
    <cellStyle name="Millares 4 3 2 6 4" xfId="11403" xr:uid="{00000000-0005-0000-0000-000032310000}"/>
    <cellStyle name="Millares 4 3 2 6 5" xfId="18133" xr:uid="{00000000-0005-0000-0000-000033310000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3" xfId="20585" xr:uid="{00000000-0005-0000-0000-000037310000}"/>
    <cellStyle name="Millares 4 3 2 7 3" xfId="10582" xr:uid="{00000000-0005-0000-0000-000038310000}"/>
    <cellStyle name="Millares 4 3 2 7 4" xfId="17357" xr:uid="{00000000-0005-0000-0000-000039310000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3" xfId="21816" xr:uid="{00000000-0005-0000-0000-00003D310000}"/>
    <cellStyle name="Millares 4 3 2 8 3" xfId="11901" xr:uid="{00000000-0005-0000-0000-00003E310000}"/>
    <cellStyle name="Millares 4 3 2 8 4" xfId="18588" xr:uid="{00000000-0005-0000-0000-00003F310000}"/>
    <cellStyle name="Millares 4 3 2 9" xfId="6542" xr:uid="{00000000-0005-0000-0000-000040310000}"/>
    <cellStyle name="Millares 4 3 2 9 2" xfId="13120" xr:uid="{00000000-0005-0000-0000-000041310000}"/>
    <cellStyle name="Millares 4 3 2 9 3" xfId="19807" xr:uid="{00000000-0005-0000-0000-000042310000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3" xfId="21652" xr:uid="{00000000-0005-0000-0000-000049310000}"/>
    <cellStyle name="Millares 4 3 3 2 2 2 3" xfId="11730" xr:uid="{00000000-0005-0000-0000-00004A310000}"/>
    <cellStyle name="Millares 4 3 3 2 2 2 4" xfId="18424" xr:uid="{00000000-0005-0000-0000-00004B310000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3" xfId="22883" xr:uid="{00000000-0005-0000-0000-00004F310000}"/>
    <cellStyle name="Millares 4 3 3 2 2 3 3" xfId="12968" xr:uid="{00000000-0005-0000-0000-000050310000}"/>
    <cellStyle name="Millares 4 3 3 2 2 3 4" xfId="19655" xr:uid="{00000000-0005-0000-0000-000051310000}"/>
    <cellStyle name="Millares 4 3 3 2 2 4" xfId="7170" xr:uid="{00000000-0005-0000-0000-000052310000}"/>
    <cellStyle name="Millares 4 3 3 2 2 4 2" xfId="13748" xr:uid="{00000000-0005-0000-0000-000053310000}"/>
    <cellStyle name="Millares 4 3 3 2 2 4 3" xfId="20435" xr:uid="{00000000-0005-0000-0000-000054310000}"/>
    <cellStyle name="Millares 4 3 3 2 2 5" xfId="10431" xr:uid="{00000000-0005-0000-0000-000055310000}"/>
    <cellStyle name="Millares 4 3 3 2 2 6" xfId="17207" xr:uid="{00000000-0005-0000-0000-000056310000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3" xfId="21042" xr:uid="{00000000-0005-0000-0000-00005A310000}"/>
    <cellStyle name="Millares 4 3 3 2 3 3" xfId="11058" xr:uid="{00000000-0005-0000-0000-00005B310000}"/>
    <cellStyle name="Millares 4 3 3 2 3 4" xfId="17814" xr:uid="{00000000-0005-0000-0000-00005C310000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3" xfId="22273" xr:uid="{00000000-0005-0000-0000-000060310000}"/>
    <cellStyle name="Millares 4 3 3 2 4 3" xfId="12358" xr:uid="{00000000-0005-0000-0000-000061310000}"/>
    <cellStyle name="Millares 4 3 3 2 4 4" xfId="19045" xr:uid="{00000000-0005-0000-0000-000062310000}"/>
    <cellStyle name="Millares 4 3 3 2 5" xfId="6782" xr:uid="{00000000-0005-0000-0000-000063310000}"/>
    <cellStyle name="Millares 4 3 3 2 5 2" xfId="13360" xr:uid="{00000000-0005-0000-0000-000064310000}"/>
    <cellStyle name="Millares 4 3 3 2 5 3" xfId="20047" xr:uid="{00000000-0005-0000-0000-000065310000}"/>
    <cellStyle name="Millares 4 3 3 2 6" xfId="10037" xr:uid="{00000000-0005-0000-0000-000066310000}"/>
    <cellStyle name="Millares 4 3 3 2 7" xfId="16819" xr:uid="{00000000-0005-0000-0000-000067310000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3" xfId="21408" xr:uid="{00000000-0005-0000-0000-00006C310000}"/>
    <cellStyle name="Millares 4 3 3 3 2 3" xfId="11458" xr:uid="{00000000-0005-0000-0000-00006D310000}"/>
    <cellStyle name="Millares 4 3 3 3 2 4" xfId="18180" xr:uid="{00000000-0005-0000-0000-00006E310000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3" xfId="22639" xr:uid="{00000000-0005-0000-0000-000072310000}"/>
    <cellStyle name="Millares 4 3 3 3 3 3" xfId="12724" xr:uid="{00000000-0005-0000-0000-000073310000}"/>
    <cellStyle name="Millares 4 3 3 3 3 4" xfId="19411" xr:uid="{00000000-0005-0000-0000-000074310000}"/>
    <cellStyle name="Millares 4 3 3 3 4" xfId="6977" xr:uid="{00000000-0005-0000-0000-000075310000}"/>
    <cellStyle name="Millares 4 3 3 3 4 2" xfId="13555" xr:uid="{00000000-0005-0000-0000-000076310000}"/>
    <cellStyle name="Millares 4 3 3 3 4 3" xfId="20242" xr:uid="{00000000-0005-0000-0000-000077310000}"/>
    <cellStyle name="Millares 4 3 3 3 5" xfId="10238" xr:uid="{00000000-0005-0000-0000-000078310000}"/>
    <cellStyle name="Millares 4 3 3 3 6" xfId="17014" xr:uid="{00000000-0005-0000-0000-00007931000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3" xfId="20646" xr:uid="{00000000-0005-0000-0000-00007D310000}"/>
    <cellStyle name="Millares 4 3 3 4 3" xfId="10643" xr:uid="{00000000-0005-0000-0000-00007E310000}"/>
    <cellStyle name="Millares 4 3 3 4 4" xfId="17418" xr:uid="{00000000-0005-0000-0000-00007F310000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3" xfId="21877" xr:uid="{00000000-0005-0000-0000-000083310000}"/>
    <cellStyle name="Millares 4 3 3 5 3" xfId="11962" xr:uid="{00000000-0005-0000-0000-000084310000}"/>
    <cellStyle name="Millares 4 3 3 5 4" xfId="18649" xr:uid="{00000000-0005-0000-0000-000085310000}"/>
    <cellStyle name="Millares 4 3 3 6" xfId="6589" xr:uid="{00000000-0005-0000-0000-000086310000}"/>
    <cellStyle name="Millares 4 3 3 6 2" xfId="13167" xr:uid="{00000000-0005-0000-0000-000087310000}"/>
    <cellStyle name="Millares 4 3 3 6 3" xfId="19854" xr:uid="{00000000-0005-0000-0000-000088310000}"/>
    <cellStyle name="Millares 4 3 3 7" xfId="9828" xr:uid="{00000000-0005-0000-0000-000089310000}"/>
    <cellStyle name="Millares 4 3 3 8" xfId="16626" xr:uid="{00000000-0005-0000-0000-00008A310000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3" xfId="21158" xr:uid="{00000000-0005-0000-0000-000090310000}"/>
    <cellStyle name="Millares 4 3 4 2 2 3" xfId="11180" xr:uid="{00000000-0005-0000-0000-000091310000}"/>
    <cellStyle name="Millares 4 3 4 2 2 4" xfId="17930" xr:uid="{00000000-0005-0000-0000-000092310000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3" xfId="22389" xr:uid="{00000000-0005-0000-0000-000096310000}"/>
    <cellStyle name="Millares 4 3 4 2 3 3" xfId="12474" xr:uid="{00000000-0005-0000-0000-000097310000}"/>
    <cellStyle name="Millares 4 3 4 2 3 4" xfId="19161" xr:uid="{00000000-0005-0000-0000-000098310000}"/>
    <cellStyle name="Millares 4 3 4 2 4" xfId="7077" xr:uid="{00000000-0005-0000-0000-000099310000}"/>
    <cellStyle name="Millares 4 3 4 2 4 2" xfId="13655" xr:uid="{00000000-0005-0000-0000-00009A310000}"/>
    <cellStyle name="Millares 4 3 4 2 4 3" xfId="20342" xr:uid="{00000000-0005-0000-0000-00009B310000}"/>
    <cellStyle name="Millares 4 3 4 2 5" xfId="10338" xr:uid="{00000000-0005-0000-0000-00009C310000}"/>
    <cellStyle name="Millares 4 3 4 2 6" xfId="17114" xr:uid="{00000000-0005-0000-0000-00009D310000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3" xfId="22790" xr:uid="{00000000-0005-0000-0000-0000A2310000}"/>
    <cellStyle name="Millares 4 3 4 3 2 3" xfId="12875" xr:uid="{00000000-0005-0000-0000-0000A3310000}"/>
    <cellStyle name="Millares 4 3 4 3 2 4" xfId="19562" xr:uid="{00000000-0005-0000-0000-0000A4310000}"/>
    <cellStyle name="Millares 4 3 4 3 3" xfId="8294" xr:uid="{00000000-0005-0000-0000-0000A5310000}"/>
    <cellStyle name="Millares 4 3 4 3 3 2" xfId="14872" xr:uid="{00000000-0005-0000-0000-0000A6310000}"/>
    <cellStyle name="Millares 4 3 4 3 3 3" xfId="21559" xr:uid="{00000000-0005-0000-0000-0000A7310000}"/>
    <cellStyle name="Millares 4 3 4 3 4" xfId="11626" xr:uid="{00000000-0005-0000-0000-0000A8310000}"/>
    <cellStyle name="Millares 4 3 4 3 5" xfId="18331" xr:uid="{00000000-0005-0000-0000-0000A9310000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3" xfId="20762" xr:uid="{00000000-0005-0000-0000-0000AD310000}"/>
    <cellStyle name="Millares 4 3 4 4 3" xfId="10759" xr:uid="{00000000-0005-0000-0000-0000AE310000}"/>
    <cellStyle name="Millares 4 3 4 4 4" xfId="17534" xr:uid="{00000000-0005-0000-0000-0000AF31000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3" xfId="21993" xr:uid="{00000000-0005-0000-0000-0000B3310000}"/>
    <cellStyle name="Millares 4 3 4 5 3" xfId="12078" xr:uid="{00000000-0005-0000-0000-0000B4310000}"/>
    <cellStyle name="Millares 4 3 4 5 4" xfId="18765" xr:uid="{00000000-0005-0000-0000-0000B5310000}"/>
    <cellStyle name="Millares 4 3 4 6" xfId="6689" xr:uid="{00000000-0005-0000-0000-0000B6310000}"/>
    <cellStyle name="Millares 4 3 4 6 2" xfId="13267" xr:uid="{00000000-0005-0000-0000-0000B7310000}"/>
    <cellStyle name="Millares 4 3 4 6 3" xfId="19954" xr:uid="{00000000-0005-0000-0000-0000B8310000}"/>
    <cellStyle name="Millares 4 3 4 7" xfId="9937" xr:uid="{00000000-0005-0000-0000-0000B9310000}"/>
    <cellStyle name="Millares 4 3 4 8" xfId="16726" xr:uid="{00000000-0005-0000-0000-0000BA310000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3" xfId="22455" xr:uid="{00000000-0005-0000-0000-0000C0310000}"/>
    <cellStyle name="Millares 4 3 5 2 2 3" xfId="12540" xr:uid="{00000000-0005-0000-0000-0000C1310000}"/>
    <cellStyle name="Millares 4 3 5 2 2 4" xfId="19227" xr:uid="{00000000-0005-0000-0000-0000C2310000}"/>
    <cellStyle name="Millares 4 3 5 2 3" xfId="7959" xr:uid="{00000000-0005-0000-0000-0000C3310000}"/>
    <cellStyle name="Millares 4 3 5 2 3 2" xfId="14537" xr:uid="{00000000-0005-0000-0000-0000C4310000}"/>
    <cellStyle name="Millares 4 3 5 2 3 3" xfId="21224" xr:uid="{00000000-0005-0000-0000-0000C5310000}"/>
    <cellStyle name="Millares 4 3 5 2 4" xfId="11253" xr:uid="{00000000-0005-0000-0000-0000C6310000}"/>
    <cellStyle name="Millares 4 3 5 2 5" xfId="17996" xr:uid="{00000000-0005-0000-0000-0000C7310000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3" xfId="20828" xr:uid="{00000000-0005-0000-0000-0000CB310000}"/>
    <cellStyle name="Millares 4 3 5 3 3" xfId="10826" xr:uid="{00000000-0005-0000-0000-0000CC310000}"/>
    <cellStyle name="Millares 4 3 5 3 4" xfId="17600" xr:uid="{00000000-0005-0000-0000-0000CD310000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3" xfId="22059" xr:uid="{00000000-0005-0000-0000-0000D1310000}"/>
    <cellStyle name="Millares 4 3 5 4 3" xfId="12144" xr:uid="{00000000-0005-0000-0000-0000D2310000}"/>
    <cellStyle name="Millares 4 3 5 4 4" xfId="18831" xr:uid="{00000000-0005-0000-0000-0000D3310000}"/>
    <cellStyle name="Millares 4 3 5 5" xfId="6884" xr:uid="{00000000-0005-0000-0000-0000D4310000}"/>
    <cellStyle name="Millares 4 3 5 5 2" xfId="13462" xr:uid="{00000000-0005-0000-0000-0000D5310000}"/>
    <cellStyle name="Millares 4 3 5 5 3" xfId="20149" xr:uid="{00000000-0005-0000-0000-0000D6310000}"/>
    <cellStyle name="Millares 4 3 5 6" xfId="10145" xr:uid="{00000000-0005-0000-0000-0000D7310000}"/>
    <cellStyle name="Millares 4 3 5 7" xfId="16921" xr:uid="{00000000-0005-0000-0000-0000D8310000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3" xfId="22167" xr:uid="{00000000-0005-0000-0000-0000DD310000}"/>
    <cellStyle name="Millares 4 3 6 2 3" xfId="12252" xr:uid="{00000000-0005-0000-0000-0000DE310000}"/>
    <cellStyle name="Millares 4 3 6 2 4" xfId="18939" xr:uid="{00000000-0005-0000-0000-0000DF310000}"/>
    <cellStyle name="Millares 4 3 6 3" xfId="7671" xr:uid="{00000000-0005-0000-0000-0000E0310000}"/>
    <cellStyle name="Millares 4 3 6 3 2" xfId="14249" xr:uid="{00000000-0005-0000-0000-0000E1310000}"/>
    <cellStyle name="Millares 4 3 6 3 3" xfId="20936" xr:uid="{00000000-0005-0000-0000-0000E2310000}"/>
    <cellStyle name="Millares 4 3 6 4" xfId="10943" xr:uid="{00000000-0005-0000-0000-0000E3310000}"/>
    <cellStyle name="Millares 4 3 6 5" xfId="17708" xr:uid="{00000000-0005-0000-0000-0000E4310000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3" xfId="22547" xr:uid="{00000000-0005-0000-0000-0000E9310000}"/>
    <cellStyle name="Millares 4 3 7 2 3" xfId="12632" xr:uid="{00000000-0005-0000-0000-0000EA310000}"/>
    <cellStyle name="Millares 4 3 7 2 4" xfId="19319" xr:uid="{00000000-0005-0000-0000-0000EB310000}"/>
    <cellStyle name="Millares 4 3 7 3" xfId="8051" xr:uid="{00000000-0005-0000-0000-0000EC310000}"/>
    <cellStyle name="Millares 4 3 7 3 2" xfId="14629" xr:uid="{00000000-0005-0000-0000-0000ED310000}"/>
    <cellStyle name="Millares 4 3 7 3 3" xfId="21316" xr:uid="{00000000-0005-0000-0000-0000EE310000}"/>
    <cellStyle name="Millares 4 3 7 4" xfId="11353" xr:uid="{00000000-0005-0000-0000-0000EF310000}"/>
    <cellStyle name="Millares 4 3 7 5" xfId="18088" xr:uid="{00000000-0005-0000-0000-0000F0310000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3" xfId="20540" xr:uid="{00000000-0005-0000-0000-0000F4310000}"/>
    <cellStyle name="Millares 4 3 8 3" xfId="10537" xr:uid="{00000000-0005-0000-0000-0000F5310000}"/>
    <cellStyle name="Millares 4 3 8 4" xfId="17312" xr:uid="{00000000-0005-0000-0000-0000F6310000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3" xfId="21771" xr:uid="{00000000-0005-0000-0000-0000FA310000}"/>
    <cellStyle name="Millares 4 3 9 3" xfId="11856" xr:uid="{00000000-0005-0000-0000-0000FB310000}"/>
    <cellStyle name="Millares 4 3 9 4" xfId="18543" xr:uid="{00000000-0005-0000-0000-0000FC310000}"/>
    <cellStyle name="Millares 4 4" xfId="248" xr:uid="{00000000-0005-0000-0000-0000FD310000}"/>
    <cellStyle name="Millares 4 4 10" xfId="9755" xr:uid="{00000000-0005-0000-0000-0000FE310000}"/>
    <cellStyle name="Millares 4 4 11" xfId="16557" xr:uid="{00000000-0005-0000-0000-0000FF310000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3" xfId="21675" xr:uid="{00000000-0005-0000-0000-000006320000}"/>
    <cellStyle name="Millares 4 4 2 2 2 2 3" xfId="11757" xr:uid="{00000000-0005-0000-0000-000007320000}"/>
    <cellStyle name="Millares 4 4 2 2 2 2 4" xfId="18447" xr:uid="{00000000-0005-0000-0000-000008320000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3" xfId="22906" xr:uid="{00000000-0005-0000-0000-00000C320000}"/>
    <cellStyle name="Millares 4 4 2 2 2 3 3" xfId="12991" xr:uid="{00000000-0005-0000-0000-00000D320000}"/>
    <cellStyle name="Millares 4 4 2 2 2 3 4" xfId="19678" xr:uid="{00000000-0005-0000-0000-00000E320000}"/>
    <cellStyle name="Millares 4 4 2 2 2 4" xfId="7193" xr:uid="{00000000-0005-0000-0000-00000F320000}"/>
    <cellStyle name="Millares 4 4 2 2 2 4 2" xfId="13771" xr:uid="{00000000-0005-0000-0000-000010320000}"/>
    <cellStyle name="Millares 4 4 2 2 2 4 3" xfId="20458" xr:uid="{00000000-0005-0000-0000-000011320000}"/>
    <cellStyle name="Millares 4 4 2 2 2 5" xfId="10454" xr:uid="{00000000-0005-0000-0000-000012320000}"/>
    <cellStyle name="Millares 4 4 2 2 2 6" xfId="17230" xr:uid="{00000000-0005-0000-0000-00001332000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3" xfId="21019" xr:uid="{00000000-0005-0000-0000-000017320000}"/>
    <cellStyle name="Millares 4 4 2 2 3 3" xfId="11035" xr:uid="{00000000-0005-0000-0000-000018320000}"/>
    <cellStyle name="Millares 4 4 2 2 3 4" xfId="17791" xr:uid="{00000000-0005-0000-0000-000019320000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3" xfId="22250" xr:uid="{00000000-0005-0000-0000-00001D320000}"/>
    <cellStyle name="Millares 4 4 2 2 4 3" xfId="12335" xr:uid="{00000000-0005-0000-0000-00001E320000}"/>
    <cellStyle name="Millares 4 4 2 2 4 4" xfId="19022" xr:uid="{00000000-0005-0000-0000-00001F320000}"/>
    <cellStyle name="Millares 4 4 2 2 5" xfId="6805" xr:uid="{00000000-0005-0000-0000-000020320000}"/>
    <cellStyle name="Millares 4 4 2 2 5 2" xfId="13383" xr:uid="{00000000-0005-0000-0000-000021320000}"/>
    <cellStyle name="Millares 4 4 2 2 5 3" xfId="20070" xr:uid="{00000000-0005-0000-0000-000022320000}"/>
    <cellStyle name="Millares 4 4 2 2 6" xfId="10061" xr:uid="{00000000-0005-0000-0000-000023320000}"/>
    <cellStyle name="Millares 4 4 2 2 7" xfId="16842" xr:uid="{00000000-0005-0000-0000-000024320000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3" xfId="21431" xr:uid="{00000000-0005-0000-0000-000029320000}"/>
    <cellStyle name="Millares 4 4 2 3 2 3" xfId="11487" xr:uid="{00000000-0005-0000-0000-00002A320000}"/>
    <cellStyle name="Millares 4 4 2 3 2 4" xfId="18203" xr:uid="{00000000-0005-0000-0000-00002B320000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3" xfId="22662" xr:uid="{00000000-0005-0000-0000-00002F320000}"/>
    <cellStyle name="Millares 4 4 2 3 3 3" xfId="12747" xr:uid="{00000000-0005-0000-0000-000030320000}"/>
    <cellStyle name="Millares 4 4 2 3 3 4" xfId="19434" xr:uid="{00000000-0005-0000-0000-000031320000}"/>
    <cellStyle name="Millares 4 4 2 3 4" xfId="7000" xr:uid="{00000000-0005-0000-0000-000032320000}"/>
    <cellStyle name="Millares 4 4 2 3 4 2" xfId="13578" xr:uid="{00000000-0005-0000-0000-000033320000}"/>
    <cellStyle name="Millares 4 4 2 3 4 3" xfId="20265" xr:uid="{00000000-0005-0000-0000-000034320000}"/>
    <cellStyle name="Millares 4 4 2 3 5" xfId="10261" xr:uid="{00000000-0005-0000-0000-000035320000}"/>
    <cellStyle name="Millares 4 4 2 3 6" xfId="17037" xr:uid="{00000000-0005-0000-0000-000036320000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3" xfId="20623" xr:uid="{00000000-0005-0000-0000-00003A320000}"/>
    <cellStyle name="Millares 4 4 2 4 3" xfId="10620" xr:uid="{00000000-0005-0000-0000-00003B320000}"/>
    <cellStyle name="Millares 4 4 2 4 4" xfId="17395" xr:uid="{00000000-0005-0000-0000-00003C320000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3" xfId="21854" xr:uid="{00000000-0005-0000-0000-000040320000}"/>
    <cellStyle name="Millares 4 4 2 5 3" xfId="11939" xr:uid="{00000000-0005-0000-0000-000041320000}"/>
    <cellStyle name="Millares 4 4 2 5 4" xfId="18626" xr:uid="{00000000-0005-0000-0000-000042320000}"/>
    <cellStyle name="Millares 4 4 2 6" xfId="6612" xr:uid="{00000000-0005-0000-0000-000043320000}"/>
    <cellStyle name="Millares 4 4 2 6 2" xfId="13190" xr:uid="{00000000-0005-0000-0000-000044320000}"/>
    <cellStyle name="Millares 4 4 2 6 3" xfId="19877" xr:uid="{00000000-0005-0000-0000-000045320000}"/>
    <cellStyle name="Millares 4 4 2 7" xfId="9852" xr:uid="{00000000-0005-0000-0000-000046320000}"/>
    <cellStyle name="Millares 4 4 2 8" xfId="16649" xr:uid="{00000000-0005-0000-0000-000047320000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3" xfId="21160" xr:uid="{00000000-0005-0000-0000-00004D320000}"/>
    <cellStyle name="Millares 4 4 3 2 2 3" xfId="11182" xr:uid="{00000000-0005-0000-0000-00004E320000}"/>
    <cellStyle name="Millares 4 4 3 2 2 4" xfId="17932" xr:uid="{00000000-0005-0000-0000-00004F320000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3" xfId="22391" xr:uid="{00000000-0005-0000-0000-000053320000}"/>
    <cellStyle name="Millares 4 4 3 2 3 3" xfId="12476" xr:uid="{00000000-0005-0000-0000-000054320000}"/>
    <cellStyle name="Millares 4 4 3 2 3 4" xfId="19163" xr:uid="{00000000-0005-0000-0000-000055320000}"/>
    <cellStyle name="Millares 4 4 3 2 4" xfId="7101" xr:uid="{00000000-0005-0000-0000-000056320000}"/>
    <cellStyle name="Millares 4 4 3 2 4 2" xfId="13679" xr:uid="{00000000-0005-0000-0000-000057320000}"/>
    <cellStyle name="Millares 4 4 3 2 4 3" xfId="20366" xr:uid="{00000000-0005-0000-0000-000058320000}"/>
    <cellStyle name="Millares 4 4 3 2 5" xfId="10362" xr:uid="{00000000-0005-0000-0000-000059320000}"/>
    <cellStyle name="Millares 4 4 3 2 6" xfId="17138" xr:uid="{00000000-0005-0000-0000-00005A320000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3" xfId="22814" xr:uid="{00000000-0005-0000-0000-00005F320000}"/>
    <cellStyle name="Millares 4 4 3 3 2 3" xfId="12899" xr:uid="{00000000-0005-0000-0000-000060320000}"/>
    <cellStyle name="Millares 4 4 3 3 2 4" xfId="19586" xr:uid="{00000000-0005-0000-0000-000061320000}"/>
    <cellStyle name="Millares 4 4 3 3 3" xfId="8318" xr:uid="{00000000-0005-0000-0000-000062320000}"/>
    <cellStyle name="Millares 4 4 3 3 3 2" xfId="14896" xr:uid="{00000000-0005-0000-0000-000063320000}"/>
    <cellStyle name="Millares 4 4 3 3 3 3" xfId="21583" xr:uid="{00000000-0005-0000-0000-000064320000}"/>
    <cellStyle name="Millares 4 4 3 3 4" xfId="11653" xr:uid="{00000000-0005-0000-0000-000065320000}"/>
    <cellStyle name="Millares 4 4 3 3 5" xfId="18355" xr:uid="{00000000-0005-0000-0000-000066320000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3" xfId="20764" xr:uid="{00000000-0005-0000-0000-00006A320000}"/>
    <cellStyle name="Millares 4 4 3 4 3" xfId="10761" xr:uid="{00000000-0005-0000-0000-00006B320000}"/>
    <cellStyle name="Millares 4 4 3 4 4" xfId="17536" xr:uid="{00000000-0005-0000-0000-00006C32000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3" xfId="21995" xr:uid="{00000000-0005-0000-0000-000070320000}"/>
    <cellStyle name="Millares 4 4 3 5 3" xfId="12080" xr:uid="{00000000-0005-0000-0000-000071320000}"/>
    <cellStyle name="Millares 4 4 3 5 4" xfId="18767" xr:uid="{00000000-0005-0000-0000-000072320000}"/>
    <cellStyle name="Millares 4 4 3 6" xfId="6713" xr:uid="{00000000-0005-0000-0000-000073320000}"/>
    <cellStyle name="Millares 4 4 3 6 2" xfId="13291" xr:uid="{00000000-0005-0000-0000-000074320000}"/>
    <cellStyle name="Millares 4 4 3 6 3" xfId="19978" xr:uid="{00000000-0005-0000-0000-000075320000}"/>
    <cellStyle name="Millares 4 4 3 7" xfId="9961" xr:uid="{00000000-0005-0000-0000-000076320000}"/>
    <cellStyle name="Millares 4 4 3 8" xfId="16750" xr:uid="{00000000-0005-0000-0000-000077320000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3" xfId="22478" xr:uid="{00000000-0005-0000-0000-00007D320000}"/>
    <cellStyle name="Millares 4 4 4 2 2 3" xfId="12563" xr:uid="{00000000-0005-0000-0000-00007E320000}"/>
    <cellStyle name="Millares 4 4 4 2 2 4" xfId="19250" xr:uid="{00000000-0005-0000-0000-00007F320000}"/>
    <cellStyle name="Millares 4 4 4 2 3" xfId="7982" xr:uid="{00000000-0005-0000-0000-000080320000}"/>
    <cellStyle name="Millares 4 4 4 2 3 2" xfId="14560" xr:uid="{00000000-0005-0000-0000-000081320000}"/>
    <cellStyle name="Millares 4 4 4 2 3 3" xfId="21247" xr:uid="{00000000-0005-0000-0000-000082320000}"/>
    <cellStyle name="Millares 4 4 4 2 4" xfId="11278" xr:uid="{00000000-0005-0000-0000-000083320000}"/>
    <cellStyle name="Millares 4 4 4 2 5" xfId="18019" xr:uid="{00000000-0005-0000-0000-000084320000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3" xfId="20851" xr:uid="{00000000-0005-0000-0000-000088320000}"/>
    <cellStyle name="Millares 4 4 4 3 3" xfId="10851" xr:uid="{00000000-0005-0000-0000-000089320000}"/>
    <cellStyle name="Millares 4 4 4 3 4" xfId="17623" xr:uid="{00000000-0005-0000-0000-00008A320000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3" xfId="22082" xr:uid="{00000000-0005-0000-0000-00008E320000}"/>
    <cellStyle name="Millares 4 4 4 4 3" xfId="12167" xr:uid="{00000000-0005-0000-0000-00008F320000}"/>
    <cellStyle name="Millares 4 4 4 4 4" xfId="18854" xr:uid="{00000000-0005-0000-0000-000090320000}"/>
    <cellStyle name="Millares 4 4 4 5" xfId="6908" xr:uid="{00000000-0005-0000-0000-000091320000}"/>
    <cellStyle name="Millares 4 4 4 5 2" xfId="13486" xr:uid="{00000000-0005-0000-0000-000092320000}"/>
    <cellStyle name="Millares 4 4 4 5 3" xfId="20173" xr:uid="{00000000-0005-0000-0000-000093320000}"/>
    <cellStyle name="Millares 4 4 4 6" xfId="10169" xr:uid="{00000000-0005-0000-0000-000094320000}"/>
    <cellStyle name="Millares 4 4 4 7" xfId="16945" xr:uid="{00000000-0005-0000-0000-000095320000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3" xfId="22144" xr:uid="{00000000-0005-0000-0000-00009A320000}"/>
    <cellStyle name="Millares 4 4 5 2 3" xfId="12229" xr:uid="{00000000-0005-0000-0000-00009B320000}"/>
    <cellStyle name="Millares 4 4 5 2 4" xfId="18916" xr:uid="{00000000-0005-0000-0000-00009C320000}"/>
    <cellStyle name="Millares 4 4 5 3" xfId="7648" xr:uid="{00000000-0005-0000-0000-00009D320000}"/>
    <cellStyle name="Millares 4 4 5 3 2" xfId="14226" xr:uid="{00000000-0005-0000-0000-00009E320000}"/>
    <cellStyle name="Millares 4 4 5 3 3" xfId="20913" xr:uid="{00000000-0005-0000-0000-00009F320000}"/>
    <cellStyle name="Millares 4 4 5 4" xfId="10919" xr:uid="{00000000-0005-0000-0000-0000A0320000}"/>
    <cellStyle name="Millares 4 4 5 5" xfId="17685" xr:uid="{00000000-0005-0000-0000-0000A1320000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3" xfId="22570" xr:uid="{00000000-0005-0000-0000-0000A6320000}"/>
    <cellStyle name="Millares 4 4 6 2 3" xfId="12655" xr:uid="{00000000-0005-0000-0000-0000A7320000}"/>
    <cellStyle name="Millares 4 4 6 2 4" xfId="19342" xr:uid="{00000000-0005-0000-0000-0000A8320000}"/>
    <cellStyle name="Millares 4 4 6 3" xfId="8074" xr:uid="{00000000-0005-0000-0000-0000A9320000}"/>
    <cellStyle name="Millares 4 4 6 3 2" xfId="14652" xr:uid="{00000000-0005-0000-0000-0000AA320000}"/>
    <cellStyle name="Millares 4 4 6 3 3" xfId="21339" xr:uid="{00000000-0005-0000-0000-0000AB320000}"/>
    <cellStyle name="Millares 4 4 6 4" xfId="11377" xr:uid="{00000000-0005-0000-0000-0000AC320000}"/>
    <cellStyle name="Millares 4 4 6 5" xfId="18111" xr:uid="{00000000-0005-0000-0000-0000AD320000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3" xfId="20517" xr:uid="{00000000-0005-0000-0000-0000B1320000}"/>
    <cellStyle name="Millares 4 4 7 3" xfId="10513" xr:uid="{00000000-0005-0000-0000-0000B2320000}"/>
    <cellStyle name="Millares 4 4 7 4" xfId="17289" xr:uid="{00000000-0005-0000-0000-0000B3320000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3" xfId="21748" xr:uid="{00000000-0005-0000-0000-0000B7320000}"/>
    <cellStyle name="Millares 4 4 8 3" xfId="11833" xr:uid="{00000000-0005-0000-0000-0000B8320000}"/>
    <cellStyle name="Millares 4 4 8 4" xfId="18520" xr:uid="{00000000-0005-0000-0000-0000B9320000}"/>
    <cellStyle name="Millares 4 4 9" xfId="6520" xr:uid="{00000000-0005-0000-0000-0000BA320000}"/>
    <cellStyle name="Millares 4 4 9 2" xfId="13098" xr:uid="{00000000-0005-0000-0000-0000BB320000}"/>
    <cellStyle name="Millares 4 4 9 3" xfId="19785" xr:uid="{00000000-0005-0000-0000-0000BC320000}"/>
    <cellStyle name="Millares 4 5" xfId="429" xr:uid="{00000000-0005-0000-0000-0000BD320000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3" xfId="21065" xr:uid="{00000000-0005-0000-0000-0000C3320000}"/>
    <cellStyle name="Millares 4 5 2 2 2 3" xfId="11082" xr:uid="{00000000-0005-0000-0000-0000C4320000}"/>
    <cellStyle name="Millares 4 5 2 2 2 4" xfId="17837" xr:uid="{00000000-0005-0000-0000-0000C5320000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3" xfId="22296" xr:uid="{00000000-0005-0000-0000-0000C9320000}"/>
    <cellStyle name="Millares 4 5 2 2 3 3" xfId="12381" xr:uid="{00000000-0005-0000-0000-0000CA320000}"/>
    <cellStyle name="Millares 4 5 2 2 3 4" xfId="19068" xr:uid="{00000000-0005-0000-0000-0000CB320000}"/>
    <cellStyle name="Millares 4 5 2 2 4" xfId="7148" xr:uid="{00000000-0005-0000-0000-0000CC320000}"/>
    <cellStyle name="Millares 4 5 2 2 4 2" xfId="13726" xr:uid="{00000000-0005-0000-0000-0000CD320000}"/>
    <cellStyle name="Millares 4 5 2 2 4 3" xfId="20413" xr:uid="{00000000-0005-0000-0000-0000CE320000}"/>
    <cellStyle name="Millares 4 5 2 2 5" xfId="10409" xr:uid="{00000000-0005-0000-0000-0000CF320000}"/>
    <cellStyle name="Millares 4 5 2 2 6" xfId="17185" xr:uid="{00000000-0005-0000-0000-0000D0320000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3" xfId="22861" xr:uid="{00000000-0005-0000-0000-0000D5320000}"/>
    <cellStyle name="Millares 4 5 2 3 2 3" xfId="12946" xr:uid="{00000000-0005-0000-0000-0000D6320000}"/>
    <cellStyle name="Millares 4 5 2 3 2 4" xfId="19633" xr:uid="{00000000-0005-0000-0000-0000D7320000}"/>
    <cellStyle name="Millares 4 5 2 3 3" xfId="8365" xr:uid="{00000000-0005-0000-0000-0000D8320000}"/>
    <cellStyle name="Millares 4 5 2 3 3 2" xfId="14943" xr:uid="{00000000-0005-0000-0000-0000D9320000}"/>
    <cellStyle name="Millares 4 5 2 3 3 3" xfId="21630" xr:uid="{00000000-0005-0000-0000-0000DA320000}"/>
    <cellStyle name="Millares 4 5 2 3 4" xfId="11707" xr:uid="{00000000-0005-0000-0000-0000DB320000}"/>
    <cellStyle name="Millares 4 5 2 3 5" xfId="18402" xr:uid="{00000000-0005-0000-0000-0000DC320000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3" xfId="20669" xr:uid="{00000000-0005-0000-0000-0000E0320000}"/>
    <cellStyle name="Millares 4 5 2 4 3" xfId="10666" xr:uid="{00000000-0005-0000-0000-0000E1320000}"/>
    <cellStyle name="Millares 4 5 2 4 4" xfId="17441" xr:uid="{00000000-0005-0000-0000-0000E2320000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3" xfId="21900" xr:uid="{00000000-0005-0000-0000-0000E6320000}"/>
    <cellStyle name="Millares 4 5 2 5 3" xfId="11985" xr:uid="{00000000-0005-0000-0000-0000E7320000}"/>
    <cellStyle name="Millares 4 5 2 5 4" xfId="18672" xr:uid="{00000000-0005-0000-0000-0000E8320000}"/>
    <cellStyle name="Millares 4 5 2 6" xfId="6760" xr:uid="{00000000-0005-0000-0000-0000E9320000}"/>
    <cellStyle name="Millares 4 5 2 6 2" xfId="13338" xr:uid="{00000000-0005-0000-0000-0000EA320000}"/>
    <cellStyle name="Millares 4 5 2 6 3" xfId="20025" xr:uid="{00000000-0005-0000-0000-0000EB320000}"/>
    <cellStyle name="Millares 4 5 2 7" xfId="10014" xr:uid="{00000000-0005-0000-0000-0000EC320000}"/>
    <cellStyle name="Millares 4 5 2 8" xfId="16797" xr:uid="{00000000-0005-0000-0000-0000ED320000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3" xfId="20959" xr:uid="{00000000-0005-0000-0000-0000F2320000}"/>
    <cellStyle name="Millares 4 5 3 2 3" xfId="10968" xr:uid="{00000000-0005-0000-0000-0000F3320000}"/>
    <cellStyle name="Millares 4 5 3 2 4" xfId="17731" xr:uid="{00000000-0005-0000-0000-0000F4320000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3" xfId="22190" xr:uid="{00000000-0005-0000-0000-0000F8320000}"/>
    <cellStyle name="Millares 4 5 3 3 3" xfId="12275" xr:uid="{00000000-0005-0000-0000-0000F9320000}"/>
    <cellStyle name="Millares 4 5 3 3 4" xfId="18962" xr:uid="{00000000-0005-0000-0000-0000FA320000}"/>
    <cellStyle name="Millares 4 5 3 4" xfId="6955" xr:uid="{00000000-0005-0000-0000-0000FB320000}"/>
    <cellStyle name="Millares 4 5 3 4 2" xfId="13533" xr:uid="{00000000-0005-0000-0000-0000FC320000}"/>
    <cellStyle name="Millares 4 5 3 4 3" xfId="20220" xr:uid="{00000000-0005-0000-0000-0000FD320000}"/>
    <cellStyle name="Millares 4 5 3 5" xfId="10216" xr:uid="{00000000-0005-0000-0000-0000FE320000}"/>
    <cellStyle name="Millares 4 5 3 6" xfId="16992" xr:uid="{00000000-0005-0000-0000-0000FF320000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3" xfId="22617" xr:uid="{00000000-0005-0000-0000-000004330000}"/>
    <cellStyle name="Millares 4 5 4 2 3" xfId="12702" xr:uid="{00000000-0005-0000-0000-000005330000}"/>
    <cellStyle name="Millares 4 5 4 2 4" xfId="19389" xr:uid="{00000000-0005-0000-0000-000006330000}"/>
    <cellStyle name="Millares 4 5 4 3" xfId="8121" xr:uid="{00000000-0005-0000-0000-000007330000}"/>
    <cellStyle name="Millares 4 5 4 3 2" xfId="14699" xr:uid="{00000000-0005-0000-0000-000008330000}"/>
    <cellStyle name="Millares 4 5 4 3 3" xfId="21386" xr:uid="{00000000-0005-0000-0000-000009330000}"/>
    <cellStyle name="Millares 4 5 4 4" xfId="11433" xr:uid="{00000000-0005-0000-0000-00000A330000}"/>
    <cellStyle name="Millares 4 5 4 5" xfId="18158" xr:uid="{00000000-0005-0000-0000-00000B330000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3" xfId="20563" xr:uid="{00000000-0005-0000-0000-00000F330000}"/>
    <cellStyle name="Millares 4 5 5 3" xfId="10560" xr:uid="{00000000-0005-0000-0000-000010330000}"/>
    <cellStyle name="Millares 4 5 5 4" xfId="17335" xr:uid="{00000000-0005-0000-0000-000011330000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3" xfId="21794" xr:uid="{00000000-0005-0000-0000-000015330000}"/>
    <cellStyle name="Millares 4 5 6 3" xfId="11879" xr:uid="{00000000-0005-0000-0000-000016330000}"/>
    <cellStyle name="Millares 4 5 6 4" xfId="18566" xr:uid="{00000000-0005-0000-0000-000017330000}"/>
    <cellStyle name="Millares 4 5 7" xfId="6567" xr:uid="{00000000-0005-0000-0000-000018330000}"/>
    <cellStyle name="Millares 4 5 7 2" xfId="13145" xr:uid="{00000000-0005-0000-0000-000019330000}"/>
    <cellStyle name="Millares 4 5 7 3" xfId="19832" xr:uid="{00000000-0005-0000-0000-00001A330000}"/>
    <cellStyle name="Millares 4 5 8" xfId="9804" xr:uid="{00000000-0005-0000-0000-00001B330000}"/>
    <cellStyle name="Millares 4 5 9" xfId="16604" xr:uid="{00000000-0005-0000-0000-00001C330000}"/>
    <cellStyle name="Millares 4 6" xfId="792" xr:uid="{00000000-0005-0000-0000-00001D330000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3" xfId="21007" xr:uid="{00000000-0005-0000-0000-000022330000}"/>
    <cellStyle name="Millares 4 6 2 2 3" xfId="11023" xr:uid="{00000000-0005-0000-0000-000023330000}"/>
    <cellStyle name="Millares 4 6 2 2 4" xfId="17779" xr:uid="{00000000-0005-0000-0000-000024330000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3" xfId="22238" xr:uid="{00000000-0005-0000-0000-000028330000}"/>
    <cellStyle name="Millares 4 6 2 3 3" xfId="12323" xr:uid="{00000000-0005-0000-0000-000029330000}"/>
    <cellStyle name="Millares 4 6 2 3 4" xfId="19010" xr:uid="{00000000-0005-0000-0000-00002A330000}"/>
    <cellStyle name="Millares 4 6 2 4" xfId="7054" xr:uid="{00000000-0005-0000-0000-00002B330000}"/>
    <cellStyle name="Millares 4 6 2 4 2" xfId="13632" xr:uid="{00000000-0005-0000-0000-00002C330000}"/>
    <cellStyle name="Millares 4 6 2 4 3" xfId="20319" xr:uid="{00000000-0005-0000-0000-00002D330000}"/>
    <cellStyle name="Millares 4 6 2 5" xfId="10315" xr:uid="{00000000-0005-0000-0000-00002E330000}"/>
    <cellStyle name="Millares 4 6 2 6" xfId="16321" xr:uid="{00000000-0005-0000-0000-00002F330000}"/>
    <cellStyle name="Millares 4 6 2 7" xfId="17091" xr:uid="{00000000-0005-0000-0000-000030330000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3" xfId="22767" xr:uid="{00000000-0005-0000-0000-000035330000}"/>
    <cellStyle name="Millares 4 6 3 2 3" xfId="12852" xr:uid="{00000000-0005-0000-0000-000036330000}"/>
    <cellStyle name="Millares 4 6 3 2 4" xfId="19539" xr:uid="{00000000-0005-0000-0000-000037330000}"/>
    <cellStyle name="Millares 4 6 3 3" xfId="8271" xr:uid="{00000000-0005-0000-0000-000038330000}"/>
    <cellStyle name="Millares 4 6 3 3 2" xfId="14849" xr:uid="{00000000-0005-0000-0000-000039330000}"/>
    <cellStyle name="Millares 4 6 3 3 3" xfId="21536" xr:uid="{00000000-0005-0000-0000-00003A330000}"/>
    <cellStyle name="Millares 4 6 3 4" xfId="11601" xr:uid="{00000000-0005-0000-0000-00003B330000}"/>
    <cellStyle name="Millares 4 6 3 5" xfId="18308" xr:uid="{00000000-0005-0000-0000-00003C330000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3" xfId="20611" xr:uid="{00000000-0005-0000-0000-000040330000}"/>
    <cellStyle name="Millares 4 6 4 3" xfId="10608" xr:uid="{00000000-0005-0000-0000-000041330000}"/>
    <cellStyle name="Millares 4 6 4 4" xfId="17383" xr:uid="{00000000-0005-0000-0000-00004233000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3" xfId="21842" xr:uid="{00000000-0005-0000-0000-000046330000}"/>
    <cellStyle name="Millares 4 6 5 3" xfId="11927" xr:uid="{00000000-0005-0000-0000-000047330000}"/>
    <cellStyle name="Millares 4 6 5 4" xfId="18614" xr:uid="{00000000-0005-0000-0000-000048330000}"/>
    <cellStyle name="Millares 4 6 6" xfId="6666" xr:uid="{00000000-0005-0000-0000-000049330000}"/>
    <cellStyle name="Millares 4 6 6 2" xfId="13244" xr:uid="{00000000-0005-0000-0000-00004A330000}"/>
    <cellStyle name="Millares 4 6 6 3" xfId="19931" xr:uid="{00000000-0005-0000-0000-00004B330000}"/>
    <cellStyle name="Millares 4 6 7" xfId="9912" xr:uid="{00000000-0005-0000-0000-00004C330000}"/>
    <cellStyle name="Millares 4 6 8" xfId="16440" xr:uid="{00000000-0005-0000-0000-00004D330000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3" xfId="22384" xr:uid="{00000000-0005-0000-0000-000054330000}"/>
    <cellStyle name="Millares 4 7 2 2 3" xfId="12469" xr:uid="{00000000-0005-0000-0000-000055330000}"/>
    <cellStyle name="Millares 4 7 2 2 4" xfId="19156" xr:uid="{00000000-0005-0000-0000-000056330000}"/>
    <cellStyle name="Millares 4 7 2 3" xfId="7888" xr:uid="{00000000-0005-0000-0000-000057330000}"/>
    <cellStyle name="Millares 4 7 2 3 2" xfId="14466" xr:uid="{00000000-0005-0000-0000-000058330000}"/>
    <cellStyle name="Millares 4 7 2 3 3" xfId="21153" xr:uid="{00000000-0005-0000-0000-000059330000}"/>
    <cellStyle name="Millares 4 7 2 4" xfId="11175" xr:uid="{00000000-0005-0000-0000-00005A330000}"/>
    <cellStyle name="Millares 4 7 2 5" xfId="17925" xr:uid="{00000000-0005-0000-0000-00005B330000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3" xfId="20757" xr:uid="{00000000-0005-0000-0000-00005F330000}"/>
    <cellStyle name="Millares 4 7 3 3" xfId="10754" xr:uid="{00000000-0005-0000-0000-000060330000}"/>
    <cellStyle name="Millares 4 7 3 4" xfId="17529" xr:uid="{00000000-0005-0000-0000-000061330000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3" xfId="21988" xr:uid="{00000000-0005-0000-0000-000065330000}"/>
    <cellStyle name="Millares 4 7 4 3" xfId="12073" xr:uid="{00000000-0005-0000-0000-000066330000}"/>
    <cellStyle name="Millares 4 7 4 4" xfId="18760" xr:uid="{00000000-0005-0000-0000-000067330000}"/>
    <cellStyle name="Millares 4 7 5" xfId="6861" xr:uid="{00000000-0005-0000-0000-000068330000}"/>
    <cellStyle name="Millares 4 7 5 2" xfId="13439" xr:uid="{00000000-0005-0000-0000-000069330000}"/>
    <cellStyle name="Millares 4 7 5 3" xfId="20126" xr:uid="{00000000-0005-0000-0000-00006A330000}"/>
    <cellStyle name="Millares 4 7 6" xfId="10122" xr:uid="{00000000-0005-0000-0000-00006B330000}"/>
    <cellStyle name="Millares 4 7 7" xfId="16898" xr:uid="{00000000-0005-0000-0000-00006C330000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3" xfId="22433" xr:uid="{00000000-0005-0000-0000-000072330000}"/>
    <cellStyle name="Millares 4 8 2 2 3" xfId="12518" xr:uid="{00000000-0005-0000-0000-000073330000}"/>
    <cellStyle name="Millares 4 8 2 2 4" xfId="19205" xr:uid="{00000000-0005-0000-0000-000074330000}"/>
    <cellStyle name="Millares 4 8 2 3" xfId="7937" xr:uid="{00000000-0005-0000-0000-000075330000}"/>
    <cellStyle name="Millares 4 8 2 3 2" xfId="14515" xr:uid="{00000000-0005-0000-0000-000076330000}"/>
    <cellStyle name="Millares 4 8 2 3 3" xfId="21202" xr:uid="{00000000-0005-0000-0000-000077330000}"/>
    <cellStyle name="Millares 4 8 2 4" xfId="11230" xr:uid="{00000000-0005-0000-0000-000078330000}"/>
    <cellStyle name="Millares 4 8 2 5" xfId="17974" xr:uid="{00000000-0005-0000-0000-00007933000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3" xfId="22037" xr:uid="{00000000-0005-0000-0000-00007D330000}"/>
    <cellStyle name="Millares 4 8 3 3" xfId="12122" xr:uid="{00000000-0005-0000-0000-00007E330000}"/>
    <cellStyle name="Millares 4 8 3 4" xfId="18809" xr:uid="{00000000-0005-0000-0000-00007F330000}"/>
    <cellStyle name="Millares 4 8 4" xfId="7541" xr:uid="{00000000-0005-0000-0000-000080330000}"/>
    <cellStyle name="Millares 4 8 4 2" xfId="14119" xr:uid="{00000000-0005-0000-0000-000081330000}"/>
    <cellStyle name="Millares 4 8 4 3" xfId="20806" xr:uid="{00000000-0005-0000-0000-000082330000}"/>
    <cellStyle name="Millares 4 8 5" xfId="10803" xr:uid="{00000000-0005-0000-0000-000083330000}"/>
    <cellStyle name="Millares 4 8 6" xfId="11013" xr:uid="{00000000-0005-0000-0000-000084330000}"/>
    <cellStyle name="Millares 4 8 7" xfId="17578" xr:uid="{00000000-0005-0000-0000-000085330000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3" xfId="22132" xr:uid="{00000000-0005-0000-0000-00008A330000}"/>
    <cellStyle name="Millares 4 9 2 3" xfId="12217" xr:uid="{00000000-0005-0000-0000-00008B330000}"/>
    <cellStyle name="Millares 4 9 2 4" xfId="18904" xr:uid="{00000000-0005-0000-0000-00008C330000}"/>
    <cellStyle name="Millares 4 9 3" xfId="7636" xr:uid="{00000000-0005-0000-0000-00008D330000}"/>
    <cellStyle name="Millares 4 9 3 2" xfId="14214" xr:uid="{00000000-0005-0000-0000-00008E330000}"/>
    <cellStyle name="Millares 4 9 3 3" xfId="20901" xr:uid="{00000000-0005-0000-0000-00008F330000}"/>
    <cellStyle name="Millares 4 9 4" xfId="10907" xr:uid="{00000000-0005-0000-0000-000090330000}"/>
    <cellStyle name="Millares 4 9 5" xfId="16309" xr:uid="{00000000-0005-0000-0000-000091330000}"/>
    <cellStyle name="Millares 4 9 6" xfId="17673" xr:uid="{00000000-0005-0000-0000-000092330000}"/>
    <cellStyle name="Millares 40" xfId="9876" xr:uid="{00000000-0005-0000-0000-000093330000}"/>
    <cellStyle name="Millares 40 2" xfId="16316" xr:uid="{00000000-0005-0000-0000-000094330000}"/>
    <cellStyle name="Millares 41" xfId="16411" xr:uid="{00000000-0005-0000-0000-000095330000}"/>
    <cellStyle name="Millares 41 2" xfId="16282" xr:uid="{00000000-0005-0000-0000-000096330000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3" xfId="22526" xr:uid="{00000000-0005-0000-0000-0000AC330000}"/>
    <cellStyle name="Millares 5 10 2 3" xfId="12611" xr:uid="{00000000-0005-0000-0000-0000AD330000}"/>
    <cellStyle name="Millares 5 10 2 4" xfId="19298" xr:uid="{00000000-0005-0000-0000-0000AE330000}"/>
    <cellStyle name="Millares 5 10 3" xfId="8030" xr:uid="{00000000-0005-0000-0000-0000AF330000}"/>
    <cellStyle name="Millares 5 10 3 2" xfId="14608" xr:uid="{00000000-0005-0000-0000-0000B0330000}"/>
    <cellStyle name="Millares 5 10 3 3" xfId="21295" xr:uid="{00000000-0005-0000-0000-0000B1330000}"/>
    <cellStyle name="Millares 5 10 4" xfId="11330" xr:uid="{00000000-0005-0000-0000-0000B2330000}"/>
    <cellStyle name="Millares 5 10 5" xfId="18067" xr:uid="{00000000-0005-0000-0000-0000B3330000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3" xfId="21737" xr:uid="{00000000-0005-0000-0000-0000B7330000}"/>
    <cellStyle name="Millares 5 11 3" xfId="11822" xr:uid="{00000000-0005-0000-0000-0000B8330000}"/>
    <cellStyle name="Millares 5 11 4" xfId="18509" xr:uid="{00000000-0005-0000-0000-0000B9330000}"/>
    <cellStyle name="Millares 5 12" xfId="6474" xr:uid="{00000000-0005-0000-0000-0000BA330000}"/>
    <cellStyle name="Millares 5 12 2" xfId="13052" xr:uid="{00000000-0005-0000-0000-0000BB330000}"/>
    <cellStyle name="Millares 5 12 3" xfId="19739" xr:uid="{00000000-0005-0000-0000-0000BC330000}"/>
    <cellStyle name="Millares 5 13" xfId="75" xr:uid="{00000000-0005-0000-0000-0000BD330000}"/>
    <cellStyle name="Millares 5 13 2" xfId="16294" xr:uid="{00000000-0005-0000-0000-0000BE330000}"/>
    <cellStyle name="Millares 5 14" xfId="9706" xr:uid="{00000000-0005-0000-0000-0000BF330000}"/>
    <cellStyle name="Millares 5 15" xfId="16511" xr:uid="{00000000-0005-0000-0000-0000C0330000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3" xfId="21759" xr:uid="{00000000-0005-0000-0000-0000C5330000}"/>
    <cellStyle name="Millares 5 2 10 3" xfId="11844" xr:uid="{00000000-0005-0000-0000-0000C6330000}"/>
    <cellStyle name="Millares 5 2 10 4" xfId="18531" xr:uid="{00000000-0005-0000-0000-0000C7330000}"/>
    <cellStyle name="Millares 5 2 11" xfId="6484" xr:uid="{00000000-0005-0000-0000-0000C8330000}"/>
    <cellStyle name="Millares 5 2 11 2" xfId="13062" xr:uid="{00000000-0005-0000-0000-0000C9330000}"/>
    <cellStyle name="Millares 5 2 11 3" xfId="19749" xr:uid="{00000000-0005-0000-0000-0000CA330000}"/>
    <cellStyle name="Millares 5 2 12" xfId="9717" xr:uid="{00000000-0005-0000-0000-0000CB330000}"/>
    <cellStyle name="Millares 5 2 13" xfId="16521" xr:uid="{00000000-0005-0000-0000-0000CC330000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3" xfId="19772" xr:uid="{00000000-0005-0000-0000-0000D0330000}"/>
    <cellStyle name="Millares 5 2 2 11" xfId="9742" xr:uid="{00000000-0005-0000-0000-0000D1330000}"/>
    <cellStyle name="Millares 5 2 2 12" xfId="16544" xr:uid="{00000000-0005-0000-0000-0000D2330000}"/>
    <cellStyle name="Millares 5 2 2 2" xfId="377" xr:uid="{00000000-0005-0000-0000-0000D3330000}"/>
    <cellStyle name="Millares 5 2 2 2 10" xfId="9790" xr:uid="{00000000-0005-0000-0000-0000D4330000}"/>
    <cellStyle name="Millares 5 2 2 2 11" xfId="16590" xr:uid="{00000000-0005-0000-0000-0000D5330000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3" xfId="21708" xr:uid="{00000000-0005-0000-0000-0000DC330000}"/>
    <cellStyle name="Millares 5 2 2 2 2 2 2 2 3" xfId="11793" xr:uid="{00000000-0005-0000-0000-0000DD330000}"/>
    <cellStyle name="Millares 5 2 2 2 2 2 2 2 4" xfId="18480" xr:uid="{00000000-0005-0000-0000-0000DE330000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3" xfId="22939" xr:uid="{00000000-0005-0000-0000-0000E2330000}"/>
    <cellStyle name="Millares 5 2 2 2 2 2 2 3 3" xfId="13024" xr:uid="{00000000-0005-0000-0000-0000E3330000}"/>
    <cellStyle name="Millares 5 2 2 2 2 2 2 3 4" xfId="19711" xr:uid="{00000000-0005-0000-0000-0000E4330000}"/>
    <cellStyle name="Millares 5 2 2 2 2 2 2 4" xfId="7226" xr:uid="{00000000-0005-0000-0000-0000E5330000}"/>
    <cellStyle name="Millares 5 2 2 2 2 2 2 4 2" xfId="13804" xr:uid="{00000000-0005-0000-0000-0000E6330000}"/>
    <cellStyle name="Millares 5 2 2 2 2 2 2 4 3" xfId="20491" xr:uid="{00000000-0005-0000-0000-0000E7330000}"/>
    <cellStyle name="Millares 5 2 2 2 2 2 2 5" xfId="10487" xr:uid="{00000000-0005-0000-0000-0000E8330000}"/>
    <cellStyle name="Millares 5 2 2 2 2 2 2 6" xfId="17263" xr:uid="{00000000-0005-0000-0000-0000E9330000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3" xfId="21098" xr:uid="{00000000-0005-0000-0000-0000ED330000}"/>
    <cellStyle name="Millares 5 2 2 2 2 2 3 3" xfId="11115" xr:uid="{00000000-0005-0000-0000-0000EE330000}"/>
    <cellStyle name="Millares 5 2 2 2 2 2 3 4" xfId="17870" xr:uid="{00000000-0005-0000-0000-0000EF330000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3" xfId="22329" xr:uid="{00000000-0005-0000-0000-0000F3330000}"/>
    <cellStyle name="Millares 5 2 2 2 2 2 4 3" xfId="12414" xr:uid="{00000000-0005-0000-0000-0000F4330000}"/>
    <cellStyle name="Millares 5 2 2 2 2 2 4 4" xfId="19101" xr:uid="{00000000-0005-0000-0000-0000F5330000}"/>
    <cellStyle name="Millares 5 2 2 2 2 2 5" xfId="6838" xr:uid="{00000000-0005-0000-0000-0000F6330000}"/>
    <cellStyle name="Millares 5 2 2 2 2 2 5 2" xfId="13416" xr:uid="{00000000-0005-0000-0000-0000F7330000}"/>
    <cellStyle name="Millares 5 2 2 2 2 2 5 3" xfId="20103" xr:uid="{00000000-0005-0000-0000-0000F8330000}"/>
    <cellStyle name="Millares 5 2 2 2 2 2 6" xfId="10098" xr:uid="{00000000-0005-0000-0000-0000F9330000}"/>
    <cellStyle name="Millares 5 2 2 2 2 2 7" xfId="16875" xr:uid="{00000000-0005-0000-0000-0000FA330000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3" xfId="21464" xr:uid="{00000000-0005-0000-0000-0000FF330000}"/>
    <cellStyle name="Millares 5 2 2 2 2 3 2 3" xfId="11528" xr:uid="{00000000-0005-0000-0000-000000340000}"/>
    <cellStyle name="Millares 5 2 2 2 2 3 2 4" xfId="18236" xr:uid="{00000000-0005-0000-0000-000001340000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3" xfId="22695" xr:uid="{00000000-0005-0000-0000-000005340000}"/>
    <cellStyle name="Millares 5 2 2 2 2 3 3 3" xfId="12780" xr:uid="{00000000-0005-0000-0000-000006340000}"/>
    <cellStyle name="Millares 5 2 2 2 2 3 3 4" xfId="19467" xr:uid="{00000000-0005-0000-0000-000007340000}"/>
    <cellStyle name="Millares 5 2 2 2 2 3 4" xfId="7033" xr:uid="{00000000-0005-0000-0000-000008340000}"/>
    <cellStyle name="Millares 5 2 2 2 2 3 4 2" xfId="13611" xr:uid="{00000000-0005-0000-0000-000009340000}"/>
    <cellStyle name="Millares 5 2 2 2 2 3 4 3" xfId="20298" xr:uid="{00000000-0005-0000-0000-00000A340000}"/>
    <cellStyle name="Millares 5 2 2 2 2 3 5" xfId="10294" xr:uid="{00000000-0005-0000-0000-00000B340000}"/>
    <cellStyle name="Millares 5 2 2 2 2 3 6" xfId="17070" xr:uid="{00000000-0005-0000-0000-00000C340000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3" xfId="20702" xr:uid="{00000000-0005-0000-0000-000010340000}"/>
    <cellStyle name="Millares 5 2 2 2 2 4 3" xfId="10699" xr:uid="{00000000-0005-0000-0000-000011340000}"/>
    <cellStyle name="Millares 5 2 2 2 2 4 4" xfId="17474" xr:uid="{00000000-0005-0000-0000-000012340000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3" xfId="21933" xr:uid="{00000000-0005-0000-0000-000016340000}"/>
    <cellStyle name="Millares 5 2 2 2 2 5 3" xfId="12018" xr:uid="{00000000-0005-0000-0000-000017340000}"/>
    <cellStyle name="Millares 5 2 2 2 2 5 4" xfId="18705" xr:uid="{00000000-0005-0000-0000-000018340000}"/>
    <cellStyle name="Millares 5 2 2 2 2 6" xfId="6645" xr:uid="{00000000-0005-0000-0000-000019340000}"/>
    <cellStyle name="Millares 5 2 2 2 2 6 2" xfId="13223" xr:uid="{00000000-0005-0000-0000-00001A340000}"/>
    <cellStyle name="Millares 5 2 2 2 2 6 3" xfId="19910" xr:uid="{00000000-0005-0000-0000-00001B340000}"/>
    <cellStyle name="Millares 5 2 2 2 2 7" xfId="9890" xr:uid="{00000000-0005-0000-0000-00001C340000}"/>
    <cellStyle name="Millares 5 2 2 2 2 8" xfId="16682" xr:uid="{00000000-0005-0000-0000-00001D340000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3" xfId="21164" xr:uid="{00000000-0005-0000-0000-000023340000}"/>
    <cellStyle name="Millares 5 2 2 2 3 2 2 3" xfId="11186" xr:uid="{00000000-0005-0000-0000-000024340000}"/>
    <cellStyle name="Millares 5 2 2 2 3 2 2 4" xfId="17936" xr:uid="{00000000-0005-0000-0000-000025340000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3" xfId="22395" xr:uid="{00000000-0005-0000-0000-000029340000}"/>
    <cellStyle name="Millares 5 2 2 2 3 2 3 3" xfId="12480" xr:uid="{00000000-0005-0000-0000-00002A340000}"/>
    <cellStyle name="Millares 5 2 2 2 3 2 3 4" xfId="19167" xr:uid="{00000000-0005-0000-0000-00002B340000}"/>
    <cellStyle name="Millares 5 2 2 2 3 2 4" xfId="7134" xr:uid="{00000000-0005-0000-0000-00002C340000}"/>
    <cellStyle name="Millares 5 2 2 2 3 2 4 2" xfId="13712" xr:uid="{00000000-0005-0000-0000-00002D340000}"/>
    <cellStyle name="Millares 5 2 2 2 3 2 4 3" xfId="20399" xr:uid="{00000000-0005-0000-0000-00002E340000}"/>
    <cellStyle name="Millares 5 2 2 2 3 2 5" xfId="10395" xr:uid="{00000000-0005-0000-0000-00002F340000}"/>
    <cellStyle name="Millares 5 2 2 2 3 2 6" xfId="17171" xr:uid="{00000000-0005-0000-0000-000030340000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3" xfId="22847" xr:uid="{00000000-0005-0000-0000-000035340000}"/>
    <cellStyle name="Millares 5 2 2 2 3 3 2 3" xfId="12932" xr:uid="{00000000-0005-0000-0000-000036340000}"/>
    <cellStyle name="Millares 5 2 2 2 3 3 2 4" xfId="19619" xr:uid="{00000000-0005-0000-0000-000037340000}"/>
    <cellStyle name="Millares 5 2 2 2 3 3 3" xfId="8351" xr:uid="{00000000-0005-0000-0000-000038340000}"/>
    <cellStyle name="Millares 5 2 2 2 3 3 3 2" xfId="14929" xr:uid="{00000000-0005-0000-0000-000039340000}"/>
    <cellStyle name="Millares 5 2 2 2 3 3 3 3" xfId="21616" xr:uid="{00000000-0005-0000-0000-00003A340000}"/>
    <cellStyle name="Millares 5 2 2 2 3 3 4" xfId="11692" xr:uid="{00000000-0005-0000-0000-00003B340000}"/>
    <cellStyle name="Millares 5 2 2 2 3 3 5" xfId="18388" xr:uid="{00000000-0005-0000-0000-00003C340000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3" xfId="20768" xr:uid="{00000000-0005-0000-0000-000040340000}"/>
    <cellStyle name="Millares 5 2 2 2 3 4 3" xfId="10765" xr:uid="{00000000-0005-0000-0000-000041340000}"/>
    <cellStyle name="Millares 5 2 2 2 3 4 4" xfId="17540" xr:uid="{00000000-0005-0000-0000-000042340000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3" xfId="21999" xr:uid="{00000000-0005-0000-0000-000046340000}"/>
    <cellStyle name="Millares 5 2 2 2 3 5 3" xfId="12084" xr:uid="{00000000-0005-0000-0000-000047340000}"/>
    <cellStyle name="Millares 5 2 2 2 3 5 4" xfId="18771" xr:uid="{00000000-0005-0000-0000-000048340000}"/>
    <cellStyle name="Millares 5 2 2 2 3 6" xfId="6746" xr:uid="{00000000-0005-0000-0000-000049340000}"/>
    <cellStyle name="Millares 5 2 2 2 3 6 2" xfId="13324" xr:uid="{00000000-0005-0000-0000-00004A340000}"/>
    <cellStyle name="Millares 5 2 2 2 3 6 3" xfId="20011" xr:uid="{00000000-0005-0000-0000-00004B340000}"/>
    <cellStyle name="Millares 5 2 2 2 3 7" xfId="9997" xr:uid="{00000000-0005-0000-0000-00004C340000}"/>
    <cellStyle name="Millares 5 2 2 2 3 8" xfId="16783" xr:uid="{00000000-0005-0000-0000-00004D340000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3" xfId="22511" xr:uid="{00000000-0005-0000-0000-000053340000}"/>
    <cellStyle name="Millares 5 2 2 2 4 2 2 3" xfId="12596" xr:uid="{00000000-0005-0000-0000-000054340000}"/>
    <cellStyle name="Millares 5 2 2 2 4 2 2 4" xfId="19283" xr:uid="{00000000-0005-0000-0000-000055340000}"/>
    <cellStyle name="Millares 5 2 2 2 4 2 3" xfId="8015" xr:uid="{00000000-0005-0000-0000-000056340000}"/>
    <cellStyle name="Millares 5 2 2 2 4 2 3 2" xfId="14593" xr:uid="{00000000-0005-0000-0000-000057340000}"/>
    <cellStyle name="Millares 5 2 2 2 4 2 3 3" xfId="21280" xr:uid="{00000000-0005-0000-0000-000058340000}"/>
    <cellStyle name="Millares 5 2 2 2 4 2 4" xfId="11314" xr:uid="{00000000-0005-0000-0000-000059340000}"/>
    <cellStyle name="Millares 5 2 2 2 4 2 5" xfId="18052" xr:uid="{00000000-0005-0000-0000-00005A340000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3" xfId="20884" xr:uid="{00000000-0005-0000-0000-00005E340000}"/>
    <cellStyle name="Millares 5 2 2 2 4 3 3" xfId="10888" xr:uid="{00000000-0005-0000-0000-00005F340000}"/>
    <cellStyle name="Millares 5 2 2 2 4 3 4" xfId="17656" xr:uid="{00000000-0005-0000-0000-000060340000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3" xfId="22115" xr:uid="{00000000-0005-0000-0000-000064340000}"/>
    <cellStyle name="Millares 5 2 2 2 4 4 3" xfId="12200" xr:uid="{00000000-0005-0000-0000-000065340000}"/>
    <cellStyle name="Millares 5 2 2 2 4 4 4" xfId="18887" xr:uid="{00000000-0005-0000-0000-000066340000}"/>
    <cellStyle name="Millares 5 2 2 2 4 5" xfId="6941" xr:uid="{00000000-0005-0000-0000-000067340000}"/>
    <cellStyle name="Millares 5 2 2 2 4 5 2" xfId="13519" xr:uid="{00000000-0005-0000-0000-000068340000}"/>
    <cellStyle name="Millares 5 2 2 2 4 5 3" xfId="20206" xr:uid="{00000000-0005-0000-0000-000069340000}"/>
    <cellStyle name="Millares 5 2 2 2 4 6" xfId="10202" xr:uid="{00000000-0005-0000-0000-00006A340000}"/>
    <cellStyle name="Millares 5 2 2 2 4 7" xfId="16978" xr:uid="{00000000-0005-0000-0000-00006B340000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3" xfId="22223" xr:uid="{00000000-0005-0000-0000-000070340000}"/>
    <cellStyle name="Millares 5 2 2 2 5 2 3" xfId="12308" xr:uid="{00000000-0005-0000-0000-000071340000}"/>
    <cellStyle name="Millares 5 2 2 2 5 2 4" xfId="18995" xr:uid="{00000000-0005-0000-0000-000072340000}"/>
    <cellStyle name="Millares 5 2 2 2 5 3" xfId="7727" xr:uid="{00000000-0005-0000-0000-000073340000}"/>
    <cellStyle name="Millares 5 2 2 2 5 3 2" xfId="14305" xr:uid="{00000000-0005-0000-0000-000074340000}"/>
    <cellStyle name="Millares 5 2 2 2 5 3 3" xfId="20992" xr:uid="{00000000-0005-0000-0000-000075340000}"/>
    <cellStyle name="Millares 5 2 2 2 5 4" xfId="11006" xr:uid="{00000000-0005-0000-0000-000076340000}"/>
    <cellStyle name="Millares 5 2 2 2 5 5" xfId="17764" xr:uid="{00000000-0005-0000-0000-000077340000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3" xfId="22603" xr:uid="{00000000-0005-0000-0000-00007C340000}"/>
    <cellStyle name="Millares 5 2 2 2 6 2 3" xfId="12688" xr:uid="{00000000-0005-0000-0000-00007D340000}"/>
    <cellStyle name="Millares 5 2 2 2 6 2 4" xfId="19375" xr:uid="{00000000-0005-0000-0000-00007E340000}"/>
    <cellStyle name="Millares 5 2 2 2 6 3" xfId="8107" xr:uid="{00000000-0005-0000-0000-00007F340000}"/>
    <cellStyle name="Millares 5 2 2 2 6 3 2" xfId="14685" xr:uid="{00000000-0005-0000-0000-000080340000}"/>
    <cellStyle name="Millares 5 2 2 2 6 3 3" xfId="21372" xr:uid="{00000000-0005-0000-0000-000081340000}"/>
    <cellStyle name="Millares 5 2 2 2 6 4" xfId="11417" xr:uid="{00000000-0005-0000-0000-000082340000}"/>
    <cellStyle name="Millares 5 2 2 2 6 5" xfId="18144" xr:uid="{00000000-0005-0000-0000-000083340000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3" xfId="20596" xr:uid="{00000000-0005-0000-0000-000087340000}"/>
    <cellStyle name="Millares 5 2 2 2 7 3" xfId="10593" xr:uid="{00000000-0005-0000-0000-000088340000}"/>
    <cellStyle name="Millares 5 2 2 2 7 4" xfId="17368" xr:uid="{00000000-0005-0000-0000-000089340000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3" xfId="21827" xr:uid="{00000000-0005-0000-0000-00008D340000}"/>
    <cellStyle name="Millares 5 2 2 2 8 3" xfId="11912" xr:uid="{00000000-0005-0000-0000-00008E340000}"/>
    <cellStyle name="Millares 5 2 2 2 8 4" xfId="18599" xr:uid="{00000000-0005-0000-0000-00008F340000}"/>
    <cellStyle name="Millares 5 2 2 2 9" xfId="6553" xr:uid="{00000000-0005-0000-0000-000090340000}"/>
    <cellStyle name="Millares 5 2 2 2 9 2" xfId="13131" xr:uid="{00000000-0005-0000-0000-000091340000}"/>
    <cellStyle name="Millares 5 2 2 2 9 3" xfId="19818" xr:uid="{00000000-0005-0000-0000-000092340000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3" xfId="21663" xr:uid="{00000000-0005-0000-0000-000099340000}"/>
    <cellStyle name="Millares 5 2 2 3 2 2 2 3" xfId="11742" xr:uid="{00000000-0005-0000-0000-00009A340000}"/>
    <cellStyle name="Millares 5 2 2 3 2 2 2 4" xfId="18435" xr:uid="{00000000-0005-0000-0000-00009B340000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3" xfId="22894" xr:uid="{00000000-0005-0000-0000-00009F340000}"/>
    <cellStyle name="Millares 5 2 2 3 2 2 3 3" xfId="12979" xr:uid="{00000000-0005-0000-0000-0000A0340000}"/>
    <cellStyle name="Millares 5 2 2 3 2 2 3 4" xfId="19666" xr:uid="{00000000-0005-0000-0000-0000A1340000}"/>
    <cellStyle name="Millares 5 2 2 3 2 2 4" xfId="7181" xr:uid="{00000000-0005-0000-0000-0000A2340000}"/>
    <cellStyle name="Millares 5 2 2 3 2 2 4 2" xfId="13759" xr:uid="{00000000-0005-0000-0000-0000A3340000}"/>
    <cellStyle name="Millares 5 2 2 3 2 2 4 3" xfId="20446" xr:uid="{00000000-0005-0000-0000-0000A4340000}"/>
    <cellStyle name="Millares 5 2 2 3 2 2 5" xfId="10442" xr:uid="{00000000-0005-0000-0000-0000A5340000}"/>
    <cellStyle name="Millares 5 2 2 3 2 2 6" xfId="17218" xr:uid="{00000000-0005-0000-0000-0000A6340000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3" xfId="21053" xr:uid="{00000000-0005-0000-0000-0000AA340000}"/>
    <cellStyle name="Millares 5 2 2 3 2 3 3" xfId="11069" xr:uid="{00000000-0005-0000-0000-0000AB340000}"/>
    <cellStyle name="Millares 5 2 2 3 2 3 4" xfId="17825" xr:uid="{00000000-0005-0000-0000-0000AC340000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3" xfId="22284" xr:uid="{00000000-0005-0000-0000-0000B0340000}"/>
    <cellStyle name="Millares 5 2 2 3 2 4 3" xfId="12369" xr:uid="{00000000-0005-0000-0000-0000B1340000}"/>
    <cellStyle name="Millares 5 2 2 3 2 4 4" xfId="19056" xr:uid="{00000000-0005-0000-0000-0000B2340000}"/>
    <cellStyle name="Millares 5 2 2 3 2 5" xfId="6793" xr:uid="{00000000-0005-0000-0000-0000B3340000}"/>
    <cellStyle name="Millares 5 2 2 3 2 5 2" xfId="13371" xr:uid="{00000000-0005-0000-0000-0000B4340000}"/>
    <cellStyle name="Millares 5 2 2 3 2 5 3" xfId="20058" xr:uid="{00000000-0005-0000-0000-0000B5340000}"/>
    <cellStyle name="Millares 5 2 2 3 2 6" xfId="10049" xr:uid="{00000000-0005-0000-0000-0000B6340000}"/>
    <cellStyle name="Millares 5 2 2 3 2 7" xfId="16830" xr:uid="{00000000-0005-0000-0000-0000B7340000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3" xfId="21419" xr:uid="{00000000-0005-0000-0000-0000BC340000}"/>
    <cellStyle name="Millares 5 2 2 3 3 2 3" xfId="11472" xr:uid="{00000000-0005-0000-0000-0000BD340000}"/>
    <cellStyle name="Millares 5 2 2 3 3 2 4" xfId="18191" xr:uid="{00000000-0005-0000-0000-0000BE340000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3" xfId="22650" xr:uid="{00000000-0005-0000-0000-0000C2340000}"/>
    <cellStyle name="Millares 5 2 2 3 3 3 3" xfId="12735" xr:uid="{00000000-0005-0000-0000-0000C3340000}"/>
    <cellStyle name="Millares 5 2 2 3 3 3 4" xfId="19422" xr:uid="{00000000-0005-0000-0000-0000C4340000}"/>
    <cellStyle name="Millares 5 2 2 3 3 4" xfId="6988" xr:uid="{00000000-0005-0000-0000-0000C5340000}"/>
    <cellStyle name="Millares 5 2 2 3 3 4 2" xfId="13566" xr:uid="{00000000-0005-0000-0000-0000C6340000}"/>
    <cellStyle name="Millares 5 2 2 3 3 4 3" xfId="20253" xr:uid="{00000000-0005-0000-0000-0000C7340000}"/>
    <cellStyle name="Millares 5 2 2 3 3 5" xfId="10249" xr:uid="{00000000-0005-0000-0000-0000C8340000}"/>
    <cellStyle name="Millares 5 2 2 3 3 6" xfId="17025" xr:uid="{00000000-0005-0000-0000-0000C9340000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3" xfId="20657" xr:uid="{00000000-0005-0000-0000-0000CD340000}"/>
    <cellStyle name="Millares 5 2 2 3 4 3" xfId="10654" xr:uid="{00000000-0005-0000-0000-0000CE340000}"/>
    <cellStyle name="Millares 5 2 2 3 4 4" xfId="17429" xr:uid="{00000000-0005-0000-0000-0000CF340000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3" xfId="21888" xr:uid="{00000000-0005-0000-0000-0000D3340000}"/>
    <cellStyle name="Millares 5 2 2 3 5 3" xfId="11973" xr:uid="{00000000-0005-0000-0000-0000D4340000}"/>
    <cellStyle name="Millares 5 2 2 3 5 4" xfId="18660" xr:uid="{00000000-0005-0000-0000-0000D5340000}"/>
    <cellStyle name="Millares 5 2 2 3 6" xfId="6600" xr:uid="{00000000-0005-0000-0000-0000D6340000}"/>
    <cellStyle name="Millares 5 2 2 3 6 2" xfId="13178" xr:uid="{00000000-0005-0000-0000-0000D7340000}"/>
    <cellStyle name="Millares 5 2 2 3 6 3" xfId="19865" xr:uid="{00000000-0005-0000-0000-0000D8340000}"/>
    <cellStyle name="Millares 5 2 2 3 7" xfId="9840" xr:uid="{00000000-0005-0000-0000-0000D9340000}"/>
    <cellStyle name="Millares 5 2 2 3 8" xfId="16637" xr:uid="{00000000-0005-0000-0000-0000DA340000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3" xfId="21163" xr:uid="{00000000-0005-0000-0000-0000E0340000}"/>
    <cellStyle name="Millares 5 2 2 4 2 2 3" xfId="11185" xr:uid="{00000000-0005-0000-0000-0000E1340000}"/>
    <cellStyle name="Millares 5 2 2 4 2 2 4" xfId="17935" xr:uid="{00000000-0005-0000-0000-0000E2340000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3" xfId="22394" xr:uid="{00000000-0005-0000-0000-0000E6340000}"/>
    <cellStyle name="Millares 5 2 2 4 2 3 3" xfId="12479" xr:uid="{00000000-0005-0000-0000-0000E7340000}"/>
    <cellStyle name="Millares 5 2 2 4 2 3 4" xfId="19166" xr:uid="{00000000-0005-0000-0000-0000E8340000}"/>
    <cellStyle name="Millares 5 2 2 4 2 4" xfId="7088" xr:uid="{00000000-0005-0000-0000-0000E9340000}"/>
    <cellStyle name="Millares 5 2 2 4 2 4 2" xfId="13666" xr:uid="{00000000-0005-0000-0000-0000EA340000}"/>
    <cellStyle name="Millares 5 2 2 4 2 4 3" xfId="20353" xr:uid="{00000000-0005-0000-0000-0000EB340000}"/>
    <cellStyle name="Millares 5 2 2 4 2 5" xfId="10349" xr:uid="{00000000-0005-0000-0000-0000EC340000}"/>
    <cellStyle name="Millares 5 2 2 4 2 6" xfId="17125" xr:uid="{00000000-0005-0000-0000-0000ED340000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3" xfId="22801" xr:uid="{00000000-0005-0000-0000-0000F2340000}"/>
    <cellStyle name="Millares 5 2 2 4 3 2 3" xfId="12886" xr:uid="{00000000-0005-0000-0000-0000F3340000}"/>
    <cellStyle name="Millares 5 2 2 4 3 2 4" xfId="19573" xr:uid="{00000000-0005-0000-0000-0000F4340000}"/>
    <cellStyle name="Millares 5 2 2 4 3 3" xfId="8305" xr:uid="{00000000-0005-0000-0000-0000F5340000}"/>
    <cellStyle name="Millares 5 2 2 4 3 3 2" xfId="14883" xr:uid="{00000000-0005-0000-0000-0000F6340000}"/>
    <cellStyle name="Millares 5 2 2 4 3 3 3" xfId="21570" xr:uid="{00000000-0005-0000-0000-0000F7340000}"/>
    <cellStyle name="Millares 5 2 2 4 3 4" xfId="11639" xr:uid="{00000000-0005-0000-0000-0000F8340000}"/>
    <cellStyle name="Millares 5 2 2 4 3 5" xfId="18342" xr:uid="{00000000-0005-0000-0000-0000F9340000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3" xfId="20767" xr:uid="{00000000-0005-0000-0000-0000FD340000}"/>
    <cellStyle name="Millares 5 2 2 4 4 3" xfId="10764" xr:uid="{00000000-0005-0000-0000-0000FE340000}"/>
    <cellStyle name="Millares 5 2 2 4 4 4" xfId="17539" xr:uid="{00000000-0005-0000-0000-0000FF340000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3" xfId="21998" xr:uid="{00000000-0005-0000-0000-000003350000}"/>
    <cellStyle name="Millares 5 2 2 4 5 3" xfId="12083" xr:uid="{00000000-0005-0000-0000-000004350000}"/>
    <cellStyle name="Millares 5 2 2 4 5 4" xfId="18770" xr:uid="{00000000-0005-0000-0000-000005350000}"/>
    <cellStyle name="Millares 5 2 2 4 6" xfId="6700" xr:uid="{00000000-0005-0000-0000-000006350000}"/>
    <cellStyle name="Millares 5 2 2 4 6 2" xfId="13278" xr:uid="{00000000-0005-0000-0000-000007350000}"/>
    <cellStyle name="Millares 5 2 2 4 6 3" xfId="19965" xr:uid="{00000000-0005-0000-0000-000008350000}"/>
    <cellStyle name="Millares 5 2 2 4 7" xfId="9948" xr:uid="{00000000-0005-0000-0000-000009350000}"/>
    <cellStyle name="Millares 5 2 2 4 8" xfId="16737" xr:uid="{00000000-0005-0000-0000-00000A350000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3" xfId="22466" xr:uid="{00000000-0005-0000-0000-000010350000}"/>
    <cellStyle name="Millares 5 2 2 5 2 2 3" xfId="12551" xr:uid="{00000000-0005-0000-0000-000011350000}"/>
    <cellStyle name="Millares 5 2 2 5 2 2 4" xfId="19238" xr:uid="{00000000-0005-0000-0000-000012350000}"/>
    <cellStyle name="Millares 5 2 2 5 2 3" xfId="7970" xr:uid="{00000000-0005-0000-0000-000013350000}"/>
    <cellStyle name="Millares 5 2 2 5 2 3 2" xfId="14548" xr:uid="{00000000-0005-0000-0000-000014350000}"/>
    <cellStyle name="Millares 5 2 2 5 2 3 3" xfId="21235" xr:uid="{00000000-0005-0000-0000-000015350000}"/>
    <cellStyle name="Millares 5 2 2 5 2 4" xfId="11266" xr:uid="{00000000-0005-0000-0000-000016350000}"/>
    <cellStyle name="Millares 5 2 2 5 2 5" xfId="18007" xr:uid="{00000000-0005-0000-0000-000017350000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3" xfId="20839" xr:uid="{00000000-0005-0000-0000-00001B350000}"/>
    <cellStyle name="Millares 5 2 2 5 3 3" xfId="10837" xr:uid="{00000000-0005-0000-0000-00001C350000}"/>
    <cellStyle name="Millares 5 2 2 5 3 4" xfId="17611" xr:uid="{00000000-0005-0000-0000-00001D350000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3" xfId="22070" xr:uid="{00000000-0005-0000-0000-000021350000}"/>
    <cellStyle name="Millares 5 2 2 5 4 3" xfId="12155" xr:uid="{00000000-0005-0000-0000-000022350000}"/>
    <cellStyle name="Millares 5 2 2 5 4 4" xfId="18842" xr:uid="{00000000-0005-0000-0000-000023350000}"/>
    <cellStyle name="Millares 5 2 2 5 5" xfId="6895" xr:uid="{00000000-0005-0000-0000-000024350000}"/>
    <cellStyle name="Millares 5 2 2 5 5 2" xfId="13473" xr:uid="{00000000-0005-0000-0000-000025350000}"/>
    <cellStyle name="Millares 5 2 2 5 5 3" xfId="20160" xr:uid="{00000000-0005-0000-0000-000026350000}"/>
    <cellStyle name="Millares 5 2 2 5 6" xfId="10156" xr:uid="{00000000-0005-0000-0000-000027350000}"/>
    <cellStyle name="Millares 5 2 2 5 7" xfId="16932" xr:uid="{00000000-0005-0000-0000-000028350000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3" xfId="22178" xr:uid="{00000000-0005-0000-0000-00002D350000}"/>
    <cellStyle name="Millares 5 2 2 6 2 3" xfId="12263" xr:uid="{00000000-0005-0000-0000-00002E350000}"/>
    <cellStyle name="Millares 5 2 2 6 2 4" xfId="18950" xr:uid="{00000000-0005-0000-0000-00002F350000}"/>
    <cellStyle name="Millares 5 2 2 6 3" xfId="7682" xr:uid="{00000000-0005-0000-0000-000030350000}"/>
    <cellStyle name="Millares 5 2 2 6 3 2" xfId="14260" xr:uid="{00000000-0005-0000-0000-000031350000}"/>
    <cellStyle name="Millares 5 2 2 6 3 3" xfId="20947" xr:uid="{00000000-0005-0000-0000-000032350000}"/>
    <cellStyle name="Millares 5 2 2 6 4" xfId="10955" xr:uid="{00000000-0005-0000-0000-000033350000}"/>
    <cellStyle name="Millares 5 2 2 6 5" xfId="17719" xr:uid="{00000000-0005-0000-0000-000034350000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3" xfId="22558" xr:uid="{00000000-0005-0000-0000-000039350000}"/>
    <cellStyle name="Millares 5 2 2 7 2 3" xfId="12643" xr:uid="{00000000-0005-0000-0000-00003A350000}"/>
    <cellStyle name="Millares 5 2 2 7 2 4" xfId="19330" xr:uid="{00000000-0005-0000-0000-00003B350000}"/>
    <cellStyle name="Millares 5 2 2 7 3" xfId="8062" xr:uid="{00000000-0005-0000-0000-00003C350000}"/>
    <cellStyle name="Millares 5 2 2 7 3 2" xfId="14640" xr:uid="{00000000-0005-0000-0000-00003D350000}"/>
    <cellStyle name="Millares 5 2 2 7 3 3" xfId="21327" xr:uid="{00000000-0005-0000-0000-00003E350000}"/>
    <cellStyle name="Millares 5 2 2 7 4" xfId="11364" xr:uid="{00000000-0005-0000-0000-00003F350000}"/>
    <cellStyle name="Millares 5 2 2 7 5" xfId="18099" xr:uid="{00000000-0005-0000-0000-000040350000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3" xfId="20551" xr:uid="{00000000-0005-0000-0000-000044350000}"/>
    <cellStyle name="Millares 5 2 2 8 3" xfId="10548" xr:uid="{00000000-0005-0000-0000-000045350000}"/>
    <cellStyle name="Millares 5 2 2 8 4" xfId="17323" xr:uid="{00000000-0005-0000-0000-000046350000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3" xfId="21782" xr:uid="{00000000-0005-0000-0000-00004A350000}"/>
    <cellStyle name="Millares 5 2 2 9 3" xfId="11867" xr:uid="{00000000-0005-0000-0000-00004B350000}"/>
    <cellStyle name="Millares 5 2 2 9 4" xfId="18554" xr:uid="{00000000-0005-0000-0000-00004C350000}"/>
    <cellStyle name="Millares 5 2 3" xfId="291" xr:uid="{00000000-0005-0000-0000-00004D350000}"/>
    <cellStyle name="Millares 5 2 3 10" xfId="9767" xr:uid="{00000000-0005-0000-0000-00004E350000}"/>
    <cellStyle name="Millares 5 2 3 11" xfId="16568" xr:uid="{00000000-0005-0000-0000-00004F350000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3" xfId="21686" xr:uid="{00000000-0005-0000-0000-000056350000}"/>
    <cellStyle name="Millares 5 2 3 2 2 2 2 3" xfId="11769" xr:uid="{00000000-0005-0000-0000-000057350000}"/>
    <cellStyle name="Millares 5 2 3 2 2 2 2 4" xfId="18458" xr:uid="{00000000-0005-0000-0000-000058350000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3" xfId="22917" xr:uid="{00000000-0005-0000-0000-00005C350000}"/>
    <cellStyle name="Millares 5 2 3 2 2 2 3 3" xfId="13002" xr:uid="{00000000-0005-0000-0000-00005D350000}"/>
    <cellStyle name="Millares 5 2 3 2 2 2 3 4" xfId="19689" xr:uid="{00000000-0005-0000-0000-00005E350000}"/>
    <cellStyle name="Millares 5 2 3 2 2 2 4" xfId="7204" xr:uid="{00000000-0005-0000-0000-00005F350000}"/>
    <cellStyle name="Millares 5 2 3 2 2 2 4 2" xfId="13782" xr:uid="{00000000-0005-0000-0000-000060350000}"/>
    <cellStyle name="Millares 5 2 3 2 2 2 4 3" xfId="20469" xr:uid="{00000000-0005-0000-0000-000061350000}"/>
    <cellStyle name="Millares 5 2 3 2 2 2 5" xfId="10465" xr:uid="{00000000-0005-0000-0000-000062350000}"/>
    <cellStyle name="Millares 5 2 3 2 2 2 6" xfId="17241" xr:uid="{00000000-0005-0000-0000-000063350000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3" xfId="21076" xr:uid="{00000000-0005-0000-0000-000067350000}"/>
    <cellStyle name="Millares 5 2 3 2 2 3 3" xfId="11093" xr:uid="{00000000-0005-0000-0000-000068350000}"/>
    <cellStyle name="Millares 5 2 3 2 2 3 4" xfId="17848" xr:uid="{00000000-0005-0000-0000-000069350000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3" xfId="22307" xr:uid="{00000000-0005-0000-0000-00006D350000}"/>
    <cellStyle name="Millares 5 2 3 2 2 4 3" xfId="12392" xr:uid="{00000000-0005-0000-0000-00006E350000}"/>
    <cellStyle name="Millares 5 2 3 2 2 4 4" xfId="19079" xr:uid="{00000000-0005-0000-0000-00006F350000}"/>
    <cellStyle name="Millares 5 2 3 2 2 5" xfId="6816" xr:uid="{00000000-0005-0000-0000-000070350000}"/>
    <cellStyle name="Millares 5 2 3 2 2 5 2" xfId="13394" xr:uid="{00000000-0005-0000-0000-000071350000}"/>
    <cellStyle name="Millares 5 2 3 2 2 5 3" xfId="20081" xr:uid="{00000000-0005-0000-0000-000072350000}"/>
    <cellStyle name="Millares 5 2 3 2 2 6" xfId="10074" xr:uid="{00000000-0005-0000-0000-000073350000}"/>
    <cellStyle name="Millares 5 2 3 2 2 7" xfId="16853" xr:uid="{00000000-0005-0000-0000-000074350000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3" xfId="21442" xr:uid="{00000000-0005-0000-0000-000079350000}"/>
    <cellStyle name="Millares 5 2 3 2 3 2 3" xfId="11502" xr:uid="{00000000-0005-0000-0000-00007A350000}"/>
    <cellStyle name="Millares 5 2 3 2 3 2 4" xfId="18214" xr:uid="{00000000-0005-0000-0000-00007B350000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3" xfId="22673" xr:uid="{00000000-0005-0000-0000-00007F350000}"/>
    <cellStyle name="Millares 5 2 3 2 3 3 3" xfId="12758" xr:uid="{00000000-0005-0000-0000-000080350000}"/>
    <cellStyle name="Millares 5 2 3 2 3 3 4" xfId="19445" xr:uid="{00000000-0005-0000-0000-000081350000}"/>
    <cellStyle name="Millares 5 2 3 2 3 4" xfId="7011" xr:uid="{00000000-0005-0000-0000-000082350000}"/>
    <cellStyle name="Millares 5 2 3 2 3 4 2" xfId="13589" xr:uid="{00000000-0005-0000-0000-000083350000}"/>
    <cellStyle name="Millares 5 2 3 2 3 4 3" xfId="20276" xr:uid="{00000000-0005-0000-0000-000084350000}"/>
    <cellStyle name="Millares 5 2 3 2 3 5" xfId="10272" xr:uid="{00000000-0005-0000-0000-000085350000}"/>
    <cellStyle name="Millares 5 2 3 2 3 6" xfId="17048" xr:uid="{00000000-0005-0000-0000-00008635000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3" xfId="20680" xr:uid="{00000000-0005-0000-0000-00008A350000}"/>
    <cellStyle name="Millares 5 2 3 2 4 3" xfId="10677" xr:uid="{00000000-0005-0000-0000-00008B350000}"/>
    <cellStyle name="Millares 5 2 3 2 4 4" xfId="17452" xr:uid="{00000000-0005-0000-0000-00008C350000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3" xfId="21911" xr:uid="{00000000-0005-0000-0000-000090350000}"/>
    <cellStyle name="Millares 5 2 3 2 5 3" xfId="11996" xr:uid="{00000000-0005-0000-0000-000091350000}"/>
    <cellStyle name="Millares 5 2 3 2 5 4" xfId="18683" xr:uid="{00000000-0005-0000-0000-000092350000}"/>
    <cellStyle name="Millares 5 2 3 2 6" xfId="6623" xr:uid="{00000000-0005-0000-0000-000093350000}"/>
    <cellStyle name="Millares 5 2 3 2 6 2" xfId="13201" xr:uid="{00000000-0005-0000-0000-000094350000}"/>
    <cellStyle name="Millares 5 2 3 2 6 3" xfId="19888" xr:uid="{00000000-0005-0000-0000-000095350000}"/>
    <cellStyle name="Millares 5 2 3 2 7" xfId="9865" xr:uid="{00000000-0005-0000-0000-000096350000}"/>
    <cellStyle name="Millares 5 2 3 2 8" xfId="16660" xr:uid="{00000000-0005-0000-0000-000097350000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3" xfId="21165" xr:uid="{00000000-0005-0000-0000-00009D350000}"/>
    <cellStyle name="Millares 5 2 3 3 2 2 3" xfId="11187" xr:uid="{00000000-0005-0000-0000-00009E350000}"/>
    <cellStyle name="Millares 5 2 3 3 2 2 4" xfId="17937" xr:uid="{00000000-0005-0000-0000-00009F350000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3" xfId="22396" xr:uid="{00000000-0005-0000-0000-0000A3350000}"/>
    <cellStyle name="Millares 5 2 3 3 2 3 3" xfId="12481" xr:uid="{00000000-0005-0000-0000-0000A4350000}"/>
    <cellStyle name="Millares 5 2 3 3 2 3 4" xfId="19168" xr:uid="{00000000-0005-0000-0000-0000A5350000}"/>
    <cellStyle name="Millares 5 2 3 3 2 4" xfId="7112" xr:uid="{00000000-0005-0000-0000-0000A6350000}"/>
    <cellStyle name="Millares 5 2 3 3 2 4 2" xfId="13690" xr:uid="{00000000-0005-0000-0000-0000A7350000}"/>
    <cellStyle name="Millares 5 2 3 3 2 4 3" xfId="20377" xr:uid="{00000000-0005-0000-0000-0000A8350000}"/>
    <cellStyle name="Millares 5 2 3 3 2 5" xfId="10373" xr:uid="{00000000-0005-0000-0000-0000A9350000}"/>
    <cellStyle name="Millares 5 2 3 3 2 6" xfId="17149" xr:uid="{00000000-0005-0000-0000-0000AA350000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3" xfId="22825" xr:uid="{00000000-0005-0000-0000-0000AF350000}"/>
    <cellStyle name="Millares 5 2 3 3 3 2 3" xfId="12910" xr:uid="{00000000-0005-0000-0000-0000B0350000}"/>
    <cellStyle name="Millares 5 2 3 3 3 2 4" xfId="19597" xr:uid="{00000000-0005-0000-0000-0000B1350000}"/>
    <cellStyle name="Millares 5 2 3 3 3 3" xfId="8329" xr:uid="{00000000-0005-0000-0000-0000B2350000}"/>
    <cellStyle name="Millares 5 2 3 3 3 3 2" xfId="14907" xr:uid="{00000000-0005-0000-0000-0000B3350000}"/>
    <cellStyle name="Millares 5 2 3 3 3 3 3" xfId="21594" xr:uid="{00000000-0005-0000-0000-0000B4350000}"/>
    <cellStyle name="Millares 5 2 3 3 3 4" xfId="11664" xr:uid="{00000000-0005-0000-0000-0000B5350000}"/>
    <cellStyle name="Millares 5 2 3 3 3 5" xfId="18366" xr:uid="{00000000-0005-0000-0000-0000B6350000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3" xfId="20769" xr:uid="{00000000-0005-0000-0000-0000BA350000}"/>
    <cellStyle name="Millares 5 2 3 3 4 3" xfId="10766" xr:uid="{00000000-0005-0000-0000-0000BB350000}"/>
    <cellStyle name="Millares 5 2 3 3 4 4" xfId="17541" xr:uid="{00000000-0005-0000-0000-0000BC350000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3" xfId="22000" xr:uid="{00000000-0005-0000-0000-0000C0350000}"/>
    <cellStyle name="Millares 5 2 3 3 5 3" xfId="12085" xr:uid="{00000000-0005-0000-0000-0000C1350000}"/>
    <cellStyle name="Millares 5 2 3 3 5 4" xfId="18772" xr:uid="{00000000-0005-0000-0000-0000C2350000}"/>
    <cellStyle name="Millares 5 2 3 3 6" xfId="6724" xr:uid="{00000000-0005-0000-0000-0000C3350000}"/>
    <cellStyle name="Millares 5 2 3 3 6 2" xfId="13302" xr:uid="{00000000-0005-0000-0000-0000C4350000}"/>
    <cellStyle name="Millares 5 2 3 3 6 3" xfId="19989" xr:uid="{00000000-0005-0000-0000-0000C5350000}"/>
    <cellStyle name="Millares 5 2 3 3 7" xfId="9973" xr:uid="{00000000-0005-0000-0000-0000C6350000}"/>
    <cellStyle name="Millares 5 2 3 3 8" xfId="16761" xr:uid="{00000000-0005-0000-0000-0000C735000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3" xfId="22489" xr:uid="{00000000-0005-0000-0000-0000CD350000}"/>
    <cellStyle name="Millares 5 2 3 4 2 2 3" xfId="12574" xr:uid="{00000000-0005-0000-0000-0000CE350000}"/>
    <cellStyle name="Millares 5 2 3 4 2 2 4" xfId="19261" xr:uid="{00000000-0005-0000-0000-0000CF350000}"/>
    <cellStyle name="Millares 5 2 3 4 2 3" xfId="7993" xr:uid="{00000000-0005-0000-0000-0000D0350000}"/>
    <cellStyle name="Millares 5 2 3 4 2 3 2" xfId="14571" xr:uid="{00000000-0005-0000-0000-0000D1350000}"/>
    <cellStyle name="Millares 5 2 3 4 2 3 3" xfId="21258" xr:uid="{00000000-0005-0000-0000-0000D2350000}"/>
    <cellStyle name="Millares 5 2 3 4 2 4" xfId="11290" xr:uid="{00000000-0005-0000-0000-0000D3350000}"/>
    <cellStyle name="Millares 5 2 3 4 2 5" xfId="18030" xr:uid="{00000000-0005-0000-0000-0000D4350000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3" xfId="20862" xr:uid="{00000000-0005-0000-0000-0000D8350000}"/>
    <cellStyle name="Millares 5 2 3 4 3 3" xfId="10864" xr:uid="{00000000-0005-0000-0000-0000D9350000}"/>
    <cellStyle name="Millares 5 2 3 4 3 4" xfId="17634" xr:uid="{00000000-0005-0000-0000-0000DA350000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3" xfId="22093" xr:uid="{00000000-0005-0000-0000-0000DE350000}"/>
    <cellStyle name="Millares 5 2 3 4 4 3" xfId="12178" xr:uid="{00000000-0005-0000-0000-0000DF350000}"/>
    <cellStyle name="Millares 5 2 3 4 4 4" xfId="18865" xr:uid="{00000000-0005-0000-0000-0000E0350000}"/>
    <cellStyle name="Millares 5 2 3 4 5" xfId="6919" xr:uid="{00000000-0005-0000-0000-0000E1350000}"/>
    <cellStyle name="Millares 5 2 3 4 5 2" xfId="13497" xr:uid="{00000000-0005-0000-0000-0000E2350000}"/>
    <cellStyle name="Millares 5 2 3 4 5 3" xfId="20184" xr:uid="{00000000-0005-0000-0000-0000E3350000}"/>
    <cellStyle name="Millares 5 2 3 4 6" xfId="10180" xr:uid="{00000000-0005-0000-0000-0000E4350000}"/>
    <cellStyle name="Millares 5 2 3 4 7" xfId="16956" xr:uid="{00000000-0005-0000-0000-0000E5350000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3" xfId="22201" xr:uid="{00000000-0005-0000-0000-0000EA350000}"/>
    <cellStyle name="Millares 5 2 3 5 2 3" xfId="12286" xr:uid="{00000000-0005-0000-0000-0000EB350000}"/>
    <cellStyle name="Millares 5 2 3 5 2 4" xfId="18973" xr:uid="{00000000-0005-0000-0000-0000EC350000}"/>
    <cellStyle name="Millares 5 2 3 5 3" xfId="7705" xr:uid="{00000000-0005-0000-0000-0000ED350000}"/>
    <cellStyle name="Millares 5 2 3 5 3 2" xfId="14283" xr:uid="{00000000-0005-0000-0000-0000EE350000}"/>
    <cellStyle name="Millares 5 2 3 5 3 3" xfId="20970" xr:uid="{00000000-0005-0000-0000-0000EF350000}"/>
    <cellStyle name="Millares 5 2 3 5 4" xfId="10981" xr:uid="{00000000-0005-0000-0000-0000F0350000}"/>
    <cellStyle name="Millares 5 2 3 5 5" xfId="17742" xr:uid="{00000000-0005-0000-0000-0000F135000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3" xfId="22581" xr:uid="{00000000-0005-0000-0000-0000F6350000}"/>
    <cellStyle name="Millares 5 2 3 6 2 3" xfId="12666" xr:uid="{00000000-0005-0000-0000-0000F7350000}"/>
    <cellStyle name="Millares 5 2 3 6 2 4" xfId="19353" xr:uid="{00000000-0005-0000-0000-0000F8350000}"/>
    <cellStyle name="Millares 5 2 3 6 3" xfId="8085" xr:uid="{00000000-0005-0000-0000-0000F9350000}"/>
    <cellStyle name="Millares 5 2 3 6 3 2" xfId="14663" xr:uid="{00000000-0005-0000-0000-0000FA350000}"/>
    <cellStyle name="Millares 5 2 3 6 3 3" xfId="21350" xr:uid="{00000000-0005-0000-0000-0000FB350000}"/>
    <cellStyle name="Millares 5 2 3 6 4" xfId="11391" xr:uid="{00000000-0005-0000-0000-0000FC350000}"/>
    <cellStyle name="Millares 5 2 3 6 5" xfId="18122" xr:uid="{00000000-0005-0000-0000-0000FD350000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3" xfId="20574" xr:uid="{00000000-0005-0000-0000-000001360000}"/>
    <cellStyle name="Millares 5 2 3 7 3" xfId="10571" xr:uid="{00000000-0005-0000-0000-000002360000}"/>
    <cellStyle name="Millares 5 2 3 7 4" xfId="17346" xr:uid="{00000000-0005-0000-0000-000003360000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3" xfId="21805" xr:uid="{00000000-0005-0000-0000-000007360000}"/>
    <cellStyle name="Millares 5 2 3 8 3" xfId="11890" xr:uid="{00000000-0005-0000-0000-000008360000}"/>
    <cellStyle name="Millares 5 2 3 8 4" xfId="18577" xr:uid="{00000000-0005-0000-0000-000009360000}"/>
    <cellStyle name="Millares 5 2 3 9" xfId="6531" xr:uid="{00000000-0005-0000-0000-00000A360000}"/>
    <cellStyle name="Millares 5 2 3 9 2" xfId="13109" xr:uid="{00000000-0005-0000-0000-00000B360000}"/>
    <cellStyle name="Millares 5 2 3 9 3" xfId="19796" xr:uid="{00000000-0005-0000-0000-00000C360000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3" xfId="21641" xr:uid="{00000000-0005-0000-0000-000013360000}"/>
    <cellStyle name="Millares 5 2 4 2 2 2 3" xfId="11718" xr:uid="{00000000-0005-0000-0000-000014360000}"/>
    <cellStyle name="Millares 5 2 4 2 2 2 4" xfId="18413" xr:uid="{00000000-0005-0000-0000-000015360000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3" xfId="22872" xr:uid="{00000000-0005-0000-0000-000019360000}"/>
    <cellStyle name="Millares 5 2 4 2 2 3 3" xfId="12957" xr:uid="{00000000-0005-0000-0000-00001A360000}"/>
    <cellStyle name="Millares 5 2 4 2 2 3 4" xfId="19644" xr:uid="{00000000-0005-0000-0000-00001B360000}"/>
    <cellStyle name="Millares 5 2 4 2 2 4" xfId="7159" xr:uid="{00000000-0005-0000-0000-00001C360000}"/>
    <cellStyle name="Millares 5 2 4 2 2 4 2" xfId="13737" xr:uid="{00000000-0005-0000-0000-00001D360000}"/>
    <cellStyle name="Millares 5 2 4 2 2 4 3" xfId="20424" xr:uid="{00000000-0005-0000-0000-00001E360000}"/>
    <cellStyle name="Millares 5 2 4 2 2 5" xfId="10420" xr:uid="{00000000-0005-0000-0000-00001F360000}"/>
    <cellStyle name="Millares 5 2 4 2 2 6" xfId="17196" xr:uid="{00000000-0005-0000-0000-000020360000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3" xfId="21030" xr:uid="{00000000-0005-0000-0000-000024360000}"/>
    <cellStyle name="Millares 5 2 4 2 3 3" xfId="11046" xr:uid="{00000000-0005-0000-0000-000025360000}"/>
    <cellStyle name="Millares 5 2 4 2 3 4" xfId="17802" xr:uid="{00000000-0005-0000-0000-000026360000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3" xfId="22261" xr:uid="{00000000-0005-0000-0000-00002A360000}"/>
    <cellStyle name="Millares 5 2 4 2 4 3" xfId="12346" xr:uid="{00000000-0005-0000-0000-00002B360000}"/>
    <cellStyle name="Millares 5 2 4 2 4 4" xfId="19033" xr:uid="{00000000-0005-0000-0000-00002C360000}"/>
    <cellStyle name="Millares 5 2 4 2 5" xfId="6771" xr:uid="{00000000-0005-0000-0000-00002D360000}"/>
    <cellStyle name="Millares 5 2 4 2 5 2" xfId="13349" xr:uid="{00000000-0005-0000-0000-00002E360000}"/>
    <cellStyle name="Millares 5 2 4 2 5 3" xfId="20036" xr:uid="{00000000-0005-0000-0000-00002F360000}"/>
    <cellStyle name="Millares 5 2 4 2 6" xfId="10026" xr:uid="{00000000-0005-0000-0000-000030360000}"/>
    <cellStyle name="Millares 5 2 4 2 7" xfId="16808" xr:uid="{00000000-0005-0000-0000-000031360000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3" xfId="21397" xr:uid="{00000000-0005-0000-0000-000036360000}"/>
    <cellStyle name="Millares 5 2 4 3 2 3" xfId="11445" xr:uid="{00000000-0005-0000-0000-000037360000}"/>
    <cellStyle name="Millares 5 2 4 3 2 4" xfId="18169" xr:uid="{00000000-0005-0000-0000-000038360000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3" xfId="22628" xr:uid="{00000000-0005-0000-0000-00003C360000}"/>
    <cellStyle name="Millares 5 2 4 3 3 3" xfId="12713" xr:uid="{00000000-0005-0000-0000-00003D360000}"/>
    <cellStyle name="Millares 5 2 4 3 3 4" xfId="19400" xr:uid="{00000000-0005-0000-0000-00003E360000}"/>
    <cellStyle name="Millares 5 2 4 3 4" xfId="6966" xr:uid="{00000000-0005-0000-0000-00003F360000}"/>
    <cellStyle name="Millares 5 2 4 3 4 2" xfId="13544" xr:uid="{00000000-0005-0000-0000-000040360000}"/>
    <cellStyle name="Millares 5 2 4 3 4 3" xfId="20231" xr:uid="{00000000-0005-0000-0000-000041360000}"/>
    <cellStyle name="Millares 5 2 4 3 5" xfId="10227" xr:uid="{00000000-0005-0000-0000-000042360000}"/>
    <cellStyle name="Millares 5 2 4 3 6" xfId="17003" xr:uid="{00000000-0005-0000-0000-000043360000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3" xfId="20634" xr:uid="{00000000-0005-0000-0000-000047360000}"/>
    <cellStyle name="Millares 5 2 4 4 3" xfId="10631" xr:uid="{00000000-0005-0000-0000-000048360000}"/>
    <cellStyle name="Millares 5 2 4 4 4" xfId="17406" xr:uid="{00000000-0005-0000-0000-000049360000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3" xfId="21865" xr:uid="{00000000-0005-0000-0000-00004D360000}"/>
    <cellStyle name="Millares 5 2 4 5 3" xfId="11950" xr:uid="{00000000-0005-0000-0000-00004E360000}"/>
    <cellStyle name="Millares 5 2 4 5 4" xfId="18637" xr:uid="{00000000-0005-0000-0000-00004F360000}"/>
    <cellStyle name="Millares 5 2 4 6" xfId="6578" xr:uid="{00000000-0005-0000-0000-000050360000}"/>
    <cellStyle name="Millares 5 2 4 6 2" xfId="13156" xr:uid="{00000000-0005-0000-0000-000051360000}"/>
    <cellStyle name="Millares 5 2 4 6 3" xfId="19843" xr:uid="{00000000-0005-0000-0000-000052360000}"/>
    <cellStyle name="Millares 5 2 4 7" xfId="9816" xr:uid="{00000000-0005-0000-0000-000053360000}"/>
    <cellStyle name="Millares 5 2 4 8" xfId="16615" xr:uid="{00000000-0005-0000-0000-000054360000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3" xfId="21162" xr:uid="{00000000-0005-0000-0000-00005A360000}"/>
    <cellStyle name="Millares 5 2 5 2 2 3" xfId="11184" xr:uid="{00000000-0005-0000-0000-00005B360000}"/>
    <cellStyle name="Millares 5 2 5 2 2 4" xfId="17934" xr:uid="{00000000-0005-0000-0000-00005C360000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3" xfId="22393" xr:uid="{00000000-0005-0000-0000-000060360000}"/>
    <cellStyle name="Millares 5 2 5 2 3 3" xfId="12478" xr:uid="{00000000-0005-0000-0000-000061360000}"/>
    <cellStyle name="Millares 5 2 5 2 3 4" xfId="19165" xr:uid="{00000000-0005-0000-0000-000062360000}"/>
    <cellStyle name="Millares 5 2 5 2 4" xfId="7065" xr:uid="{00000000-0005-0000-0000-000063360000}"/>
    <cellStyle name="Millares 5 2 5 2 4 2" xfId="13643" xr:uid="{00000000-0005-0000-0000-000064360000}"/>
    <cellStyle name="Millares 5 2 5 2 4 3" xfId="20330" xr:uid="{00000000-0005-0000-0000-000065360000}"/>
    <cellStyle name="Millares 5 2 5 2 5" xfId="10326" xr:uid="{00000000-0005-0000-0000-000066360000}"/>
    <cellStyle name="Millares 5 2 5 2 6" xfId="17102" xr:uid="{00000000-0005-0000-0000-000067360000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3" xfId="22778" xr:uid="{00000000-0005-0000-0000-00006C360000}"/>
    <cellStyle name="Millares 5 2 5 3 2 3" xfId="12863" xr:uid="{00000000-0005-0000-0000-00006D360000}"/>
    <cellStyle name="Millares 5 2 5 3 2 4" xfId="19550" xr:uid="{00000000-0005-0000-0000-00006E360000}"/>
    <cellStyle name="Millares 5 2 5 3 3" xfId="8282" xr:uid="{00000000-0005-0000-0000-00006F360000}"/>
    <cellStyle name="Millares 5 2 5 3 3 2" xfId="14860" xr:uid="{00000000-0005-0000-0000-000070360000}"/>
    <cellStyle name="Millares 5 2 5 3 3 3" xfId="21547" xr:uid="{00000000-0005-0000-0000-000071360000}"/>
    <cellStyle name="Millares 5 2 5 3 4" xfId="11613" xr:uid="{00000000-0005-0000-0000-000072360000}"/>
    <cellStyle name="Millares 5 2 5 3 5" xfId="18319" xr:uid="{00000000-0005-0000-0000-000073360000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3" xfId="20766" xr:uid="{00000000-0005-0000-0000-000077360000}"/>
    <cellStyle name="Millares 5 2 5 4 3" xfId="10763" xr:uid="{00000000-0005-0000-0000-000078360000}"/>
    <cellStyle name="Millares 5 2 5 4 4" xfId="17538" xr:uid="{00000000-0005-0000-0000-000079360000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3" xfId="21997" xr:uid="{00000000-0005-0000-0000-00007D360000}"/>
    <cellStyle name="Millares 5 2 5 5 3" xfId="12082" xr:uid="{00000000-0005-0000-0000-00007E360000}"/>
    <cellStyle name="Millares 5 2 5 5 4" xfId="18769" xr:uid="{00000000-0005-0000-0000-00007F360000}"/>
    <cellStyle name="Millares 5 2 5 6" xfId="6677" xr:uid="{00000000-0005-0000-0000-000080360000}"/>
    <cellStyle name="Millares 5 2 5 6 2" xfId="13255" xr:uid="{00000000-0005-0000-0000-000081360000}"/>
    <cellStyle name="Millares 5 2 5 6 3" xfId="19942" xr:uid="{00000000-0005-0000-0000-000082360000}"/>
    <cellStyle name="Millares 5 2 5 7" xfId="9923" xr:uid="{00000000-0005-0000-0000-000083360000}"/>
    <cellStyle name="Millares 5 2 5 8" xfId="16714" xr:uid="{00000000-0005-0000-0000-000084360000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3" xfId="22444" xr:uid="{00000000-0005-0000-0000-00008A360000}"/>
    <cellStyle name="Millares 5 2 6 2 2 3" xfId="12529" xr:uid="{00000000-0005-0000-0000-00008B360000}"/>
    <cellStyle name="Millares 5 2 6 2 2 4" xfId="19216" xr:uid="{00000000-0005-0000-0000-00008C360000}"/>
    <cellStyle name="Millares 5 2 6 2 3" xfId="7948" xr:uid="{00000000-0005-0000-0000-00008D360000}"/>
    <cellStyle name="Millares 5 2 6 2 3 2" xfId="14526" xr:uid="{00000000-0005-0000-0000-00008E360000}"/>
    <cellStyle name="Millares 5 2 6 2 3 3" xfId="21213" xr:uid="{00000000-0005-0000-0000-00008F360000}"/>
    <cellStyle name="Millares 5 2 6 2 4" xfId="11241" xr:uid="{00000000-0005-0000-0000-000090360000}"/>
    <cellStyle name="Millares 5 2 6 2 5" xfId="17985" xr:uid="{00000000-0005-0000-0000-000091360000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3" xfId="20817" xr:uid="{00000000-0005-0000-0000-000095360000}"/>
    <cellStyle name="Millares 5 2 6 3 3" xfId="10815" xr:uid="{00000000-0005-0000-0000-000096360000}"/>
    <cellStyle name="Millares 5 2 6 3 4" xfId="17589" xr:uid="{00000000-0005-0000-0000-000097360000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3" xfId="22048" xr:uid="{00000000-0005-0000-0000-00009B360000}"/>
    <cellStyle name="Millares 5 2 6 4 3" xfId="12133" xr:uid="{00000000-0005-0000-0000-00009C360000}"/>
    <cellStyle name="Millares 5 2 6 4 4" xfId="18820" xr:uid="{00000000-0005-0000-0000-00009D360000}"/>
    <cellStyle name="Millares 5 2 6 5" xfId="6872" xr:uid="{00000000-0005-0000-0000-00009E360000}"/>
    <cellStyle name="Millares 5 2 6 5 2" xfId="13450" xr:uid="{00000000-0005-0000-0000-00009F360000}"/>
    <cellStyle name="Millares 5 2 6 5 3" xfId="20137" xr:uid="{00000000-0005-0000-0000-0000A0360000}"/>
    <cellStyle name="Millares 5 2 6 6" xfId="10133" xr:uid="{00000000-0005-0000-0000-0000A1360000}"/>
    <cellStyle name="Millares 5 2 6 7" xfId="16909" xr:uid="{00000000-0005-0000-0000-0000A2360000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3" xfId="22155" xr:uid="{00000000-0005-0000-0000-0000A7360000}"/>
    <cellStyle name="Millares 5 2 7 2 3" xfId="12240" xr:uid="{00000000-0005-0000-0000-0000A8360000}"/>
    <cellStyle name="Millares 5 2 7 2 4" xfId="18927" xr:uid="{00000000-0005-0000-0000-0000A9360000}"/>
    <cellStyle name="Millares 5 2 7 3" xfId="7659" xr:uid="{00000000-0005-0000-0000-0000AA360000}"/>
    <cellStyle name="Millares 5 2 7 3 2" xfId="14237" xr:uid="{00000000-0005-0000-0000-0000AB360000}"/>
    <cellStyle name="Millares 5 2 7 3 3" xfId="20924" xr:uid="{00000000-0005-0000-0000-0000AC360000}"/>
    <cellStyle name="Millares 5 2 7 4" xfId="10931" xr:uid="{00000000-0005-0000-0000-0000AD360000}"/>
    <cellStyle name="Millares 5 2 7 5" xfId="17696" xr:uid="{00000000-0005-0000-0000-0000AE360000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3" xfId="22536" xr:uid="{00000000-0005-0000-0000-0000B3360000}"/>
    <cellStyle name="Millares 5 2 8 2 3" xfId="12621" xr:uid="{00000000-0005-0000-0000-0000B4360000}"/>
    <cellStyle name="Millares 5 2 8 2 4" xfId="19308" xr:uid="{00000000-0005-0000-0000-0000B5360000}"/>
    <cellStyle name="Millares 5 2 8 3" xfId="8040" xr:uid="{00000000-0005-0000-0000-0000B6360000}"/>
    <cellStyle name="Millares 5 2 8 3 2" xfId="14618" xr:uid="{00000000-0005-0000-0000-0000B7360000}"/>
    <cellStyle name="Millares 5 2 8 3 3" xfId="21305" xr:uid="{00000000-0005-0000-0000-0000B8360000}"/>
    <cellStyle name="Millares 5 2 8 4" xfId="11340" xr:uid="{00000000-0005-0000-0000-0000B9360000}"/>
    <cellStyle name="Millares 5 2 8 5" xfId="18077" xr:uid="{00000000-0005-0000-0000-0000BA36000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3" xfId="20528" xr:uid="{00000000-0005-0000-0000-0000BE360000}"/>
    <cellStyle name="Millares 5 2 9 3" xfId="10525" xr:uid="{00000000-0005-0000-0000-0000BF360000}"/>
    <cellStyle name="Millares 5 2 9 4" xfId="17300" xr:uid="{00000000-0005-0000-0000-0000C0360000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3" xfId="19762" xr:uid="{00000000-0005-0000-0000-0000C4360000}"/>
    <cellStyle name="Millares 5 3 11" xfId="9731" xr:uid="{00000000-0005-0000-0000-0000C5360000}"/>
    <cellStyle name="Millares 5 3 12" xfId="16534" xr:uid="{00000000-0005-0000-0000-0000C6360000}"/>
    <cellStyle name="Millares 5 3 2" xfId="337" xr:uid="{00000000-0005-0000-0000-0000C7360000}"/>
    <cellStyle name="Millares 5 3 2 10" xfId="9780" xr:uid="{00000000-0005-0000-0000-0000C8360000}"/>
    <cellStyle name="Millares 5 3 2 11" xfId="16580" xr:uid="{00000000-0005-0000-0000-0000C9360000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3" xfId="21698" xr:uid="{00000000-0005-0000-0000-0000D0360000}"/>
    <cellStyle name="Millares 5 3 2 2 2 2 2 3" xfId="11782" xr:uid="{00000000-0005-0000-0000-0000D1360000}"/>
    <cellStyle name="Millares 5 3 2 2 2 2 2 4" xfId="18470" xr:uid="{00000000-0005-0000-0000-0000D2360000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3" xfId="22929" xr:uid="{00000000-0005-0000-0000-0000D6360000}"/>
    <cellStyle name="Millares 5 3 2 2 2 2 3 3" xfId="13014" xr:uid="{00000000-0005-0000-0000-0000D7360000}"/>
    <cellStyle name="Millares 5 3 2 2 2 2 3 4" xfId="19701" xr:uid="{00000000-0005-0000-0000-0000D8360000}"/>
    <cellStyle name="Millares 5 3 2 2 2 2 4" xfId="7216" xr:uid="{00000000-0005-0000-0000-0000D9360000}"/>
    <cellStyle name="Millares 5 3 2 2 2 2 4 2" xfId="13794" xr:uid="{00000000-0005-0000-0000-0000DA360000}"/>
    <cellStyle name="Millares 5 3 2 2 2 2 4 3" xfId="20481" xr:uid="{00000000-0005-0000-0000-0000DB360000}"/>
    <cellStyle name="Millares 5 3 2 2 2 2 5" xfId="10477" xr:uid="{00000000-0005-0000-0000-0000DC360000}"/>
    <cellStyle name="Millares 5 3 2 2 2 2 6" xfId="17253" xr:uid="{00000000-0005-0000-0000-0000DD360000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3" xfId="21088" xr:uid="{00000000-0005-0000-0000-0000E1360000}"/>
    <cellStyle name="Millares 5 3 2 2 2 3 3" xfId="11105" xr:uid="{00000000-0005-0000-0000-0000E2360000}"/>
    <cellStyle name="Millares 5 3 2 2 2 3 4" xfId="17860" xr:uid="{00000000-0005-0000-0000-0000E3360000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3" xfId="22319" xr:uid="{00000000-0005-0000-0000-0000E7360000}"/>
    <cellStyle name="Millares 5 3 2 2 2 4 3" xfId="12404" xr:uid="{00000000-0005-0000-0000-0000E8360000}"/>
    <cellStyle name="Millares 5 3 2 2 2 4 4" xfId="19091" xr:uid="{00000000-0005-0000-0000-0000E9360000}"/>
    <cellStyle name="Millares 5 3 2 2 2 5" xfId="6828" xr:uid="{00000000-0005-0000-0000-0000EA360000}"/>
    <cellStyle name="Millares 5 3 2 2 2 5 2" xfId="13406" xr:uid="{00000000-0005-0000-0000-0000EB360000}"/>
    <cellStyle name="Millares 5 3 2 2 2 5 3" xfId="20093" xr:uid="{00000000-0005-0000-0000-0000EC360000}"/>
    <cellStyle name="Millares 5 3 2 2 2 6" xfId="10087" xr:uid="{00000000-0005-0000-0000-0000ED360000}"/>
    <cellStyle name="Millares 5 3 2 2 2 7" xfId="16865" xr:uid="{00000000-0005-0000-0000-0000EE360000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3" xfId="21454" xr:uid="{00000000-0005-0000-0000-0000F3360000}"/>
    <cellStyle name="Millares 5 3 2 2 3 2 3" xfId="11517" xr:uid="{00000000-0005-0000-0000-0000F4360000}"/>
    <cellStyle name="Millares 5 3 2 2 3 2 4" xfId="18226" xr:uid="{00000000-0005-0000-0000-0000F5360000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3" xfId="22685" xr:uid="{00000000-0005-0000-0000-0000F9360000}"/>
    <cellStyle name="Millares 5 3 2 2 3 3 3" xfId="12770" xr:uid="{00000000-0005-0000-0000-0000FA360000}"/>
    <cellStyle name="Millares 5 3 2 2 3 3 4" xfId="19457" xr:uid="{00000000-0005-0000-0000-0000FB360000}"/>
    <cellStyle name="Millares 5 3 2 2 3 4" xfId="7023" xr:uid="{00000000-0005-0000-0000-0000FC360000}"/>
    <cellStyle name="Millares 5 3 2 2 3 4 2" xfId="13601" xr:uid="{00000000-0005-0000-0000-0000FD360000}"/>
    <cellStyle name="Millares 5 3 2 2 3 4 3" xfId="20288" xr:uid="{00000000-0005-0000-0000-0000FE360000}"/>
    <cellStyle name="Millares 5 3 2 2 3 5" xfId="10284" xr:uid="{00000000-0005-0000-0000-0000FF360000}"/>
    <cellStyle name="Millares 5 3 2 2 3 6" xfId="17060" xr:uid="{00000000-0005-0000-0000-000000370000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3" xfId="20692" xr:uid="{00000000-0005-0000-0000-000004370000}"/>
    <cellStyle name="Millares 5 3 2 2 4 3" xfId="10689" xr:uid="{00000000-0005-0000-0000-000005370000}"/>
    <cellStyle name="Millares 5 3 2 2 4 4" xfId="17464" xr:uid="{00000000-0005-0000-0000-000006370000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3" xfId="21923" xr:uid="{00000000-0005-0000-0000-00000A370000}"/>
    <cellStyle name="Millares 5 3 2 2 5 3" xfId="12008" xr:uid="{00000000-0005-0000-0000-00000B370000}"/>
    <cellStyle name="Millares 5 3 2 2 5 4" xfId="18695" xr:uid="{00000000-0005-0000-0000-00000C370000}"/>
    <cellStyle name="Millares 5 3 2 2 6" xfId="6635" xr:uid="{00000000-0005-0000-0000-00000D370000}"/>
    <cellStyle name="Millares 5 3 2 2 6 2" xfId="13213" xr:uid="{00000000-0005-0000-0000-00000E370000}"/>
    <cellStyle name="Millares 5 3 2 2 6 3" xfId="19900" xr:uid="{00000000-0005-0000-0000-00000F370000}"/>
    <cellStyle name="Millares 5 3 2 2 7" xfId="9879" xr:uid="{00000000-0005-0000-0000-000010370000}"/>
    <cellStyle name="Millares 5 3 2 2 8" xfId="16672" xr:uid="{00000000-0005-0000-0000-000011370000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3" xfId="21167" xr:uid="{00000000-0005-0000-0000-000017370000}"/>
    <cellStyle name="Millares 5 3 2 3 2 2 3" xfId="11189" xr:uid="{00000000-0005-0000-0000-000018370000}"/>
    <cellStyle name="Millares 5 3 2 3 2 2 4" xfId="17939" xr:uid="{00000000-0005-0000-0000-000019370000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3" xfId="22398" xr:uid="{00000000-0005-0000-0000-00001D370000}"/>
    <cellStyle name="Millares 5 3 2 3 2 3 3" xfId="12483" xr:uid="{00000000-0005-0000-0000-00001E370000}"/>
    <cellStyle name="Millares 5 3 2 3 2 3 4" xfId="19170" xr:uid="{00000000-0005-0000-0000-00001F370000}"/>
    <cellStyle name="Millares 5 3 2 3 2 4" xfId="7124" xr:uid="{00000000-0005-0000-0000-000020370000}"/>
    <cellStyle name="Millares 5 3 2 3 2 4 2" xfId="13702" xr:uid="{00000000-0005-0000-0000-000021370000}"/>
    <cellStyle name="Millares 5 3 2 3 2 4 3" xfId="20389" xr:uid="{00000000-0005-0000-0000-000022370000}"/>
    <cellStyle name="Millares 5 3 2 3 2 5" xfId="10385" xr:uid="{00000000-0005-0000-0000-000023370000}"/>
    <cellStyle name="Millares 5 3 2 3 2 6" xfId="17161" xr:uid="{00000000-0005-0000-0000-000024370000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3" xfId="22837" xr:uid="{00000000-0005-0000-0000-000029370000}"/>
    <cellStyle name="Millares 5 3 2 3 3 2 3" xfId="12922" xr:uid="{00000000-0005-0000-0000-00002A370000}"/>
    <cellStyle name="Millares 5 3 2 3 3 2 4" xfId="19609" xr:uid="{00000000-0005-0000-0000-00002B370000}"/>
    <cellStyle name="Millares 5 3 2 3 3 3" xfId="8341" xr:uid="{00000000-0005-0000-0000-00002C370000}"/>
    <cellStyle name="Millares 5 3 2 3 3 3 2" xfId="14919" xr:uid="{00000000-0005-0000-0000-00002D370000}"/>
    <cellStyle name="Millares 5 3 2 3 3 3 3" xfId="21606" xr:uid="{00000000-0005-0000-0000-00002E370000}"/>
    <cellStyle name="Millares 5 3 2 3 3 4" xfId="11679" xr:uid="{00000000-0005-0000-0000-00002F370000}"/>
    <cellStyle name="Millares 5 3 2 3 3 5" xfId="18378" xr:uid="{00000000-0005-0000-0000-000030370000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3" xfId="20771" xr:uid="{00000000-0005-0000-0000-000034370000}"/>
    <cellStyle name="Millares 5 3 2 3 4 3" xfId="10768" xr:uid="{00000000-0005-0000-0000-000035370000}"/>
    <cellStyle name="Millares 5 3 2 3 4 4" xfId="17543" xr:uid="{00000000-0005-0000-0000-000036370000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3" xfId="22002" xr:uid="{00000000-0005-0000-0000-00003A370000}"/>
    <cellStyle name="Millares 5 3 2 3 5 3" xfId="12087" xr:uid="{00000000-0005-0000-0000-00003B370000}"/>
    <cellStyle name="Millares 5 3 2 3 5 4" xfId="18774" xr:uid="{00000000-0005-0000-0000-00003C370000}"/>
    <cellStyle name="Millares 5 3 2 3 6" xfId="6736" xr:uid="{00000000-0005-0000-0000-00003D370000}"/>
    <cellStyle name="Millares 5 3 2 3 6 2" xfId="13314" xr:uid="{00000000-0005-0000-0000-00003E370000}"/>
    <cellStyle name="Millares 5 3 2 3 6 3" xfId="20001" xr:uid="{00000000-0005-0000-0000-00003F370000}"/>
    <cellStyle name="Millares 5 3 2 3 7" xfId="9986" xr:uid="{00000000-0005-0000-0000-000040370000}"/>
    <cellStyle name="Millares 5 3 2 3 8" xfId="16773" xr:uid="{00000000-0005-0000-0000-000041370000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3" xfId="22501" xr:uid="{00000000-0005-0000-0000-000047370000}"/>
    <cellStyle name="Millares 5 3 2 4 2 2 3" xfId="12586" xr:uid="{00000000-0005-0000-0000-000048370000}"/>
    <cellStyle name="Millares 5 3 2 4 2 2 4" xfId="19273" xr:uid="{00000000-0005-0000-0000-000049370000}"/>
    <cellStyle name="Millares 5 3 2 4 2 3" xfId="8005" xr:uid="{00000000-0005-0000-0000-00004A370000}"/>
    <cellStyle name="Millares 5 3 2 4 2 3 2" xfId="14583" xr:uid="{00000000-0005-0000-0000-00004B370000}"/>
    <cellStyle name="Millares 5 3 2 4 2 3 3" xfId="21270" xr:uid="{00000000-0005-0000-0000-00004C370000}"/>
    <cellStyle name="Millares 5 3 2 4 2 4" xfId="11303" xr:uid="{00000000-0005-0000-0000-00004D370000}"/>
    <cellStyle name="Millares 5 3 2 4 2 5" xfId="18042" xr:uid="{00000000-0005-0000-0000-00004E370000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3" xfId="20874" xr:uid="{00000000-0005-0000-0000-000052370000}"/>
    <cellStyle name="Millares 5 3 2 4 3 3" xfId="10878" xr:uid="{00000000-0005-0000-0000-000053370000}"/>
    <cellStyle name="Millares 5 3 2 4 3 4" xfId="17646" xr:uid="{00000000-0005-0000-0000-000054370000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3" xfId="22105" xr:uid="{00000000-0005-0000-0000-000058370000}"/>
    <cellStyle name="Millares 5 3 2 4 4 3" xfId="12190" xr:uid="{00000000-0005-0000-0000-000059370000}"/>
    <cellStyle name="Millares 5 3 2 4 4 4" xfId="18877" xr:uid="{00000000-0005-0000-0000-00005A370000}"/>
    <cellStyle name="Millares 5 3 2 4 5" xfId="6931" xr:uid="{00000000-0005-0000-0000-00005B370000}"/>
    <cellStyle name="Millares 5 3 2 4 5 2" xfId="13509" xr:uid="{00000000-0005-0000-0000-00005C370000}"/>
    <cellStyle name="Millares 5 3 2 4 5 3" xfId="20196" xr:uid="{00000000-0005-0000-0000-00005D370000}"/>
    <cellStyle name="Millares 5 3 2 4 6" xfId="10192" xr:uid="{00000000-0005-0000-0000-00005E370000}"/>
    <cellStyle name="Millares 5 3 2 4 7" xfId="16968" xr:uid="{00000000-0005-0000-0000-00005F370000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3" xfId="22213" xr:uid="{00000000-0005-0000-0000-000064370000}"/>
    <cellStyle name="Millares 5 3 2 5 2 3" xfId="12298" xr:uid="{00000000-0005-0000-0000-000065370000}"/>
    <cellStyle name="Millares 5 3 2 5 2 4" xfId="18985" xr:uid="{00000000-0005-0000-0000-000066370000}"/>
    <cellStyle name="Millares 5 3 2 5 3" xfId="7717" xr:uid="{00000000-0005-0000-0000-000067370000}"/>
    <cellStyle name="Millares 5 3 2 5 3 2" xfId="14295" xr:uid="{00000000-0005-0000-0000-000068370000}"/>
    <cellStyle name="Millares 5 3 2 5 3 3" xfId="20982" xr:uid="{00000000-0005-0000-0000-000069370000}"/>
    <cellStyle name="Millares 5 3 2 5 4" xfId="10995" xr:uid="{00000000-0005-0000-0000-00006A370000}"/>
    <cellStyle name="Millares 5 3 2 5 5" xfId="17754" xr:uid="{00000000-0005-0000-0000-00006B37000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3" xfId="22593" xr:uid="{00000000-0005-0000-0000-000070370000}"/>
    <cellStyle name="Millares 5 3 2 6 2 3" xfId="12678" xr:uid="{00000000-0005-0000-0000-000071370000}"/>
    <cellStyle name="Millares 5 3 2 6 2 4" xfId="19365" xr:uid="{00000000-0005-0000-0000-000072370000}"/>
    <cellStyle name="Millares 5 3 2 6 3" xfId="8097" xr:uid="{00000000-0005-0000-0000-000073370000}"/>
    <cellStyle name="Millares 5 3 2 6 3 2" xfId="14675" xr:uid="{00000000-0005-0000-0000-000074370000}"/>
    <cellStyle name="Millares 5 3 2 6 3 3" xfId="21362" xr:uid="{00000000-0005-0000-0000-000075370000}"/>
    <cellStyle name="Millares 5 3 2 6 4" xfId="11404" xr:uid="{00000000-0005-0000-0000-000076370000}"/>
    <cellStyle name="Millares 5 3 2 6 5" xfId="18134" xr:uid="{00000000-0005-0000-0000-000077370000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3" xfId="20586" xr:uid="{00000000-0005-0000-0000-00007B370000}"/>
    <cellStyle name="Millares 5 3 2 7 3" xfId="10583" xr:uid="{00000000-0005-0000-0000-00007C370000}"/>
    <cellStyle name="Millares 5 3 2 7 4" xfId="17358" xr:uid="{00000000-0005-0000-0000-00007D370000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3" xfId="21817" xr:uid="{00000000-0005-0000-0000-000081370000}"/>
    <cellStyle name="Millares 5 3 2 8 3" xfId="11902" xr:uid="{00000000-0005-0000-0000-000082370000}"/>
    <cellStyle name="Millares 5 3 2 8 4" xfId="18589" xr:uid="{00000000-0005-0000-0000-000083370000}"/>
    <cellStyle name="Millares 5 3 2 9" xfId="6543" xr:uid="{00000000-0005-0000-0000-000084370000}"/>
    <cellStyle name="Millares 5 3 2 9 2" xfId="13121" xr:uid="{00000000-0005-0000-0000-000085370000}"/>
    <cellStyle name="Millares 5 3 2 9 3" xfId="19808" xr:uid="{00000000-0005-0000-0000-000086370000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3" xfId="21653" xr:uid="{00000000-0005-0000-0000-00008D370000}"/>
    <cellStyle name="Millares 5 3 3 2 2 2 3" xfId="11731" xr:uid="{00000000-0005-0000-0000-00008E370000}"/>
    <cellStyle name="Millares 5 3 3 2 2 2 4" xfId="18425" xr:uid="{00000000-0005-0000-0000-00008F370000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3" xfId="22884" xr:uid="{00000000-0005-0000-0000-000093370000}"/>
    <cellStyle name="Millares 5 3 3 2 2 3 3" xfId="12969" xr:uid="{00000000-0005-0000-0000-000094370000}"/>
    <cellStyle name="Millares 5 3 3 2 2 3 4" xfId="19656" xr:uid="{00000000-0005-0000-0000-000095370000}"/>
    <cellStyle name="Millares 5 3 3 2 2 4" xfId="7171" xr:uid="{00000000-0005-0000-0000-000096370000}"/>
    <cellStyle name="Millares 5 3 3 2 2 4 2" xfId="13749" xr:uid="{00000000-0005-0000-0000-000097370000}"/>
    <cellStyle name="Millares 5 3 3 2 2 4 3" xfId="20436" xr:uid="{00000000-0005-0000-0000-000098370000}"/>
    <cellStyle name="Millares 5 3 3 2 2 5" xfId="10432" xr:uid="{00000000-0005-0000-0000-000099370000}"/>
    <cellStyle name="Millares 5 3 3 2 2 6" xfId="17208" xr:uid="{00000000-0005-0000-0000-00009A370000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3" xfId="21043" xr:uid="{00000000-0005-0000-0000-00009E370000}"/>
    <cellStyle name="Millares 5 3 3 2 3 3" xfId="11059" xr:uid="{00000000-0005-0000-0000-00009F370000}"/>
    <cellStyle name="Millares 5 3 3 2 3 4" xfId="17815" xr:uid="{00000000-0005-0000-0000-0000A037000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3" xfId="22274" xr:uid="{00000000-0005-0000-0000-0000A4370000}"/>
    <cellStyle name="Millares 5 3 3 2 4 3" xfId="12359" xr:uid="{00000000-0005-0000-0000-0000A5370000}"/>
    <cellStyle name="Millares 5 3 3 2 4 4" xfId="19046" xr:uid="{00000000-0005-0000-0000-0000A6370000}"/>
    <cellStyle name="Millares 5 3 3 2 5" xfId="6783" xr:uid="{00000000-0005-0000-0000-0000A7370000}"/>
    <cellStyle name="Millares 5 3 3 2 5 2" xfId="13361" xr:uid="{00000000-0005-0000-0000-0000A8370000}"/>
    <cellStyle name="Millares 5 3 3 2 5 3" xfId="20048" xr:uid="{00000000-0005-0000-0000-0000A9370000}"/>
    <cellStyle name="Millares 5 3 3 2 6" xfId="10038" xr:uid="{00000000-0005-0000-0000-0000AA370000}"/>
    <cellStyle name="Millares 5 3 3 2 7" xfId="16820" xr:uid="{00000000-0005-0000-0000-0000AB370000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3" xfId="21409" xr:uid="{00000000-0005-0000-0000-0000B0370000}"/>
    <cellStyle name="Millares 5 3 3 3 2 3" xfId="11459" xr:uid="{00000000-0005-0000-0000-0000B1370000}"/>
    <cellStyle name="Millares 5 3 3 3 2 4" xfId="18181" xr:uid="{00000000-0005-0000-0000-0000B2370000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3" xfId="22640" xr:uid="{00000000-0005-0000-0000-0000B6370000}"/>
    <cellStyle name="Millares 5 3 3 3 3 3" xfId="12725" xr:uid="{00000000-0005-0000-0000-0000B7370000}"/>
    <cellStyle name="Millares 5 3 3 3 3 4" xfId="19412" xr:uid="{00000000-0005-0000-0000-0000B8370000}"/>
    <cellStyle name="Millares 5 3 3 3 4" xfId="6978" xr:uid="{00000000-0005-0000-0000-0000B9370000}"/>
    <cellStyle name="Millares 5 3 3 3 4 2" xfId="13556" xr:uid="{00000000-0005-0000-0000-0000BA370000}"/>
    <cellStyle name="Millares 5 3 3 3 4 3" xfId="20243" xr:uid="{00000000-0005-0000-0000-0000BB370000}"/>
    <cellStyle name="Millares 5 3 3 3 5" xfId="10239" xr:uid="{00000000-0005-0000-0000-0000BC370000}"/>
    <cellStyle name="Millares 5 3 3 3 6" xfId="17015" xr:uid="{00000000-0005-0000-0000-0000BD370000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3" xfId="20647" xr:uid="{00000000-0005-0000-0000-0000C1370000}"/>
    <cellStyle name="Millares 5 3 3 4 3" xfId="10644" xr:uid="{00000000-0005-0000-0000-0000C2370000}"/>
    <cellStyle name="Millares 5 3 3 4 4" xfId="17419" xr:uid="{00000000-0005-0000-0000-0000C3370000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3" xfId="21878" xr:uid="{00000000-0005-0000-0000-0000C7370000}"/>
    <cellStyle name="Millares 5 3 3 5 3" xfId="11963" xr:uid="{00000000-0005-0000-0000-0000C8370000}"/>
    <cellStyle name="Millares 5 3 3 5 4" xfId="18650" xr:uid="{00000000-0005-0000-0000-0000C9370000}"/>
    <cellStyle name="Millares 5 3 3 6" xfId="6590" xr:uid="{00000000-0005-0000-0000-0000CA370000}"/>
    <cellStyle name="Millares 5 3 3 6 2" xfId="13168" xr:uid="{00000000-0005-0000-0000-0000CB370000}"/>
    <cellStyle name="Millares 5 3 3 6 3" xfId="19855" xr:uid="{00000000-0005-0000-0000-0000CC370000}"/>
    <cellStyle name="Millares 5 3 3 7" xfId="9829" xr:uid="{00000000-0005-0000-0000-0000CD370000}"/>
    <cellStyle name="Millares 5 3 3 8" xfId="16627" xr:uid="{00000000-0005-0000-0000-0000CE370000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3" xfId="21166" xr:uid="{00000000-0005-0000-0000-0000D4370000}"/>
    <cellStyle name="Millares 5 3 4 2 2 3" xfId="11188" xr:uid="{00000000-0005-0000-0000-0000D5370000}"/>
    <cellStyle name="Millares 5 3 4 2 2 4" xfId="17938" xr:uid="{00000000-0005-0000-0000-0000D6370000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3" xfId="22397" xr:uid="{00000000-0005-0000-0000-0000DA370000}"/>
    <cellStyle name="Millares 5 3 4 2 3 3" xfId="12482" xr:uid="{00000000-0005-0000-0000-0000DB370000}"/>
    <cellStyle name="Millares 5 3 4 2 3 4" xfId="19169" xr:uid="{00000000-0005-0000-0000-0000DC370000}"/>
    <cellStyle name="Millares 5 3 4 2 4" xfId="7078" xr:uid="{00000000-0005-0000-0000-0000DD370000}"/>
    <cellStyle name="Millares 5 3 4 2 4 2" xfId="13656" xr:uid="{00000000-0005-0000-0000-0000DE370000}"/>
    <cellStyle name="Millares 5 3 4 2 4 3" xfId="20343" xr:uid="{00000000-0005-0000-0000-0000DF370000}"/>
    <cellStyle name="Millares 5 3 4 2 5" xfId="10339" xr:uid="{00000000-0005-0000-0000-0000E0370000}"/>
    <cellStyle name="Millares 5 3 4 2 6" xfId="17115" xr:uid="{00000000-0005-0000-0000-0000E1370000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3" xfId="22791" xr:uid="{00000000-0005-0000-0000-0000E6370000}"/>
    <cellStyle name="Millares 5 3 4 3 2 3" xfId="12876" xr:uid="{00000000-0005-0000-0000-0000E7370000}"/>
    <cellStyle name="Millares 5 3 4 3 2 4" xfId="19563" xr:uid="{00000000-0005-0000-0000-0000E8370000}"/>
    <cellStyle name="Millares 5 3 4 3 3" xfId="8295" xr:uid="{00000000-0005-0000-0000-0000E9370000}"/>
    <cellStyle name="Millares 5 3 4 3 3 2" xfId="14873" xr:uid="{00000000-0005-0000-0000-0000EA370000}"/>
    <cellStyle name="Millares 5 3 4 3 3 3" xfId="21560" xr:uid="{00000000-0005-0000-0000-0000EB370000}"/>
    <cellStyle name="Millares 5 3 4 3 4" xfId="11627" xr:uid="{00000000-0005-0000-0000-0000EC370000}"/>
    <cellStyle name="Millares 5 3 4 3 5" xfId="18332" xr:uid="{00000000-0005-0000-0000-0000ED370000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3" xfId="20770" xr:uid="{00000000-0005-0000-0000-0000F1370000}"/>
    <cellStyle name="Millares 5 3 4 4 3" xfId="10767" xr:uid="{00000000-0005-0000-0000-0000F2370000}"/>
    <cellStyle name="Millares 5 3 4 4 4" xfId="17542" xr:uid="{00000000-0005-0000-0000-0000F3370000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3" xfId="22001" xr:uid="{00000000-0005-0000-0000-0000F7370000}"/>
    <cellStyle name="Millares 5 3 4 5 3" xfId="12086" xr:uid="{00000000-0005-0000-0000-0000F8370000}"/>
    <cellStyle name="Millares 5 3 4 5 4" xfId="18773" xr:uid="{00000000-0005-0000-0000-0000F9370000}"/>
    <cellStyle name="Millares 5 3 4 6" xfId="6690" xr:uid="{00000000-0005-0000-0000-0000FA370000}"/>
    <cellStyle name="Millares 5 3 4 6 2" xfId="13268" xr:uid="{00000000-0005-0000-0000-0000FB370000}"/>
    <cellStyle name="Millares 5 3 4 6 3" xfId="19955" xr:uid="{00000000-0005-0000-0000-0000FC370000}"/>
    <cellStyle name="Millares 5 3 4 7" xfId="9938" xr:uid="{00000000-0005-0000-0000-0000FD370000}"/>
    <cellStyle name="Millares 5 3 4 8" xfId="16727" xr:uid="{00000000-0005-0000-0000-0000FE370000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3" xfId="22456" xr:uid="{00000000-0005-0000-0000-000004380000}"/>
    <cellStyle name="Millares 5 3 5 2 2 3" xfId="12541" xr:uid="{00000000-0005-0000-0000-000005380000}"/>
    <cellStyle name="Millares 5 3 5 2 2 4" xfId="19228" xr:uid="{00000000-0005-0000-0000-000006380000}"/>
    <cellStyle name="Millares 5 3 5 2 3" xfId="7960" xr:uid="{00000000-0005-0000-0000-000007380000}"/>
    <cellStyle name="Millares 5 3 5 2 3 2" xfId="14538" xr:uid="{00000000-0005-0000-0000-000008380000}"/>
    <cellStyle name="Millares 5 3 5 2 3 3" xfId="21225" xr:uid="{00000000-0005-0000-0000-000009380000}"/>
    <cellStyle name="Millares 5 3 5 2 4" xfId="11254" xr:uid="{00000000-0005-0000-0000-00000A380000}"/>
    <cellStyle name="Millares 5 3 5 2 5" xfId="17997" xr:uid="{00000000-0005-0000-0000-00000B380000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3" xfId="20829" xr:uid="{00000000-0005-0000-0000-00000F380000}"/>
    <cellStyle name="Millares 5 3 5 3 3" xfId="10827" xr:uid="{00000000-0005-0000-0000-000010380000}"/>
    <cellStyle name="Millares 5 3 5 3 4" xfId="17601" xr:uid="{00000000-0005-0000-0000-000011380000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3" xfId="22060" xr:uid="{00000000-0005-0000-0000-000015380000}"/>
    <cellStyle name="Millares 5 3 5 4 3" xfId="12145" xr:uid="{00000000-0005-0000-0000-000016380000}"/>
    <cellStyle name="Millares 5 3 5 4 4" xfId="18832" xr:uid="{00000000-0005-0000-0000-000017380000}"/>
    <cellStyle name="Millares 5 3 5 5" xfId="6885" xr:uid="{00000000-0005-0000-0000-000018380000}"/>
    <cellStyle name="Millares 5 3 5 5 2" xfId="13463" xr:uid="{00000000-0005-0000-0000-000019380000}"/>
    <cellStyle name="Millares 5 3 5 5 3" xfId="20150" xr:uid="{00000000-0005-0000-0000-00001A380000}"/>
    <cellStyle name="Millares 5 3 5 6" xfId="10146" xr:uid="{00000000-0005-0000-0000-00001B380000}"/>
    <cellStyle name="Millares 5 3 5 7" xfId="16922" xr:uid="{00000000-0005-0000-0000-00001C380000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3" xfId="22168" xr:uid="{00000000-0005-0000-0000-000021380000}"/>
    <cellStyle name="Millares 5 3 6 2 3" xfId="12253" xr:uid="{00000000-0005-0000-0000-000022380000}"/>
    <cellStyle name="Millares 5 3 6 2 4" xfId="18940" xr:uid="{00000000-0005-0000-0000-000023380000}"/>
    <cellStyle name="Millares 5 3 6 3" xfId="7672" xr:uid="{00000000-0005-0000-0000-000024380000}"/>
    <cellStyle name="Millares 5 3 6 3 2" xfId="14250" xr:uid="{00000000-0005-0000-0000-000025380000}"/>
    <cellStyle name="Millares 5 3 6 3 3" xfId="20937" xr:uid="{00000000-0005-0000-0000-000026380000}"/>
    <cellStyle name="Millares 5 3 6 4" xfId="10944" xr:uid="{00000000-0005-0000-0000-000027380000}"/>
    <cellStyle name="Millares 5 3 6 5" xfId="17709" xr:uid="{00000000-0005-0000-0000-000028380000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3" xfId="22548" xr:uid="{00000000-0005-0000-0000-00002D380000}"/>
    <cellStyle name="Millares 5 3 7 2 3" xfId="12633" xr:uid="{00000000-0005-0000-0000-00002E380000}"/>
    <cellStyle name="Millares 5 3 7 2 4" xfId="19320" xr:uid="{00000000-0005-0000-0000-00002F380000}"/>
    <cellStyle name="Millares 5 3 7 3" xfId="8052" xr:uid="{00000000-0005-0000-0000-000030380000}"/>
    <cellStyle name="Millares 5 3 7 3 2" xfId="14630" xr:uid="{00000000-0005-0000-0000-000031380000}"/>
    <cellStyle name="Millares 5 3 7 3 3" xfId="21317" xr:uid="{00000000-0005-0000-0000-000032380000}"/>
    <cellStyle name="Millares 5 3 7 4" xfId="11354" xr:uid="{00000000-0005-0000-0000-000033380000}"/>
    <cellStyle name="Millares 5 3 7 5" xfId="18089" xr:uid="{00000000-0005-0000-0000-000034380000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3" xfId="20541" xr:uid="{00000000-0005-0000-0000-000038380000}"/>
    <cellStyle name="Millares 5 3 8 3" xfId="10538" xr:uid="{00000000-0005-0000-0000-000039380000}"/>
    <cellStyle name="Millares 5 3 8 4" xfId="17313" xr:uid="{00000000-0005-0000-0000-00003A380000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3" xfId="21772" xr:uid="{00000000-0005-0000-0000-00003E380000}"/>
    <cellStyle name="Millares 5 3 9 3" xfId="11857" xr:uid="{00000000-0005-0000-0000-00003F380000}"/>
    <cellStyle name="Millares 5 3 9 4" xfId="18544" xr:uid="{00000000-0005-0000-0000-000040380000}"/>
    <cellStyle name="Millares 5 4" xfId="251" xr:uid="{00000000-0005-0000-0000-000041380000}"/>
    <cellStyle name="Millares 5 4 10" xfId="9756" xr:uid="{00000000-0005-0000-0000-000042380000}"/>
    <cellStyle name="Millares 5 4 11" xfId="16558" xr:uid="{00000000-0005-0000-0000-000043380000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3" xfId="21676" xr:uid="{00000000-0005-0000-0000-00004A380000}"/>
    <cellStyle name="Millares 5 4 2 2 2 2 3" xfId="11759" xr:uid="{00000000-0005-0000-0000-00004B380000}"/>
    <cellStyle name="Millares 5 4 2 2 2 2 4" xfId="18448" xr:uid="{00000000-0005-0000-0000-00004C380000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3" xfId="22907" xr:uid="{00000000-0005-0000-0000-000050380000}"/>
    <cellStyle name="Millares 5 4 2 2 2 3 3" xfId="12992" xr:uid="{00000000-0005-0000-0000-000051380000}"/>
    <cellStyle name="Millares 5 4 2 2 2 3 4" xfId="19679" xr:uid="{00000000-0005-0000-0000-000052380000}"/>
    <cellStyle name="Millares 5 4 2 2 2 4" xfId="7194" xr:uid="{00000000-0005-0000-0000-000053380000}"/>
    <cellStyle name="Millares 5 4 2 2 2 4 2" xfId="13772" xr:uid="{00000000-0005-0000-0000-000054380000}"/>
    <cellStyle name="Millares 5 4 2 2 2 4 3" xfId="20459" xr:uid="{00000000-0005-0000-0000-000055380000}"/>
    <cellStyle name="Millares 5 4 2 2 2 5" xfId="10455" xr:uid="{00000000-0005-0000-0000-000056380000}"/>
    <cellStyle name="Millares 5 4 2 2 2 6" xfId="17231" xr:uid="{00000000-0005-0000-0000-000057380000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3" xfId="21020" xr:uid="{00000000-0005-0000-0000-00005B380000}"/>
    <cellStyle name="Millares 5 4 2 2 3 3" xfId="11036" xr:uid="{00000000-0005-0000-0000-00005C380000}"/>
    <cellStyle name="Millares 5 4 2 2 3 4" xfId="17792" xr:uid="{00000000-0005-0000-0000-00005D380000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3" xfId="22251" xr:uid="{00000000-0005-0000-0000-000061380000}"/>
    <cellStyle name="Millares 5 4 2 2 4 3" xfId="12336" xr:uid="{00000000-0005-0000-0000-000062380000}"/>
    <cellStyle name="Millares 5 4 2 2 4 4" xfId="19023" xr:uid="{00000000-0005-0000-0000-000063380000}"/>
    <cellStyle name="Millares 5 4 2 2 5" xfId="6806" xr:uid="{00000000-0005-0000-0000-000064380000}"/>
    <cellStyle name="Millares 5 4 2 2 5 2" xfId="13384" xr:uid="{00000000-0005-0000-0000-000065380000}"/>
    <cellStyle name="Millares 5 4 2 2 5 3" xfId="20071" xr:uid="{00000000-0005-0000-0000-000066380000}"/>
    <cellStyle name="Millares 5 4 2 2 6" xfId="10062" xr:uid="{00000000-0005-0000-0000-000067380000}"/>
    <cellStyle name="Millares 5 4 2 2 7" xfId="16843" xr:uid="{00000000-0005-0000-0000-000068380000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3" xfId="21432" xr:uid="{00000000-0005-0000-0000-00006D380000}"/>
    <cellStyle name="Millares 5 4 2 3 2 3" xfId="11488" xr:uid="{00000000-0005-0000-0000-00006E380000}"/>
    <cellStyle name="Millares 5 4 2 3 2 4" xfId="18204" xr:uid="{00000000-0005-0000-0000-00006F380000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3" xfId="22663" xr:uid="{00000000-0005-0000-0000-000073380000}"/>
    <cellStyle name="Millares 5 4 2 3 3 3" xfId="12748" xr:uid="{00000000-0005-0000-0000-000074380000}"/>
    <cellStyle name="Millares 5 4 2 3 3 4" xfId="19435" xr:uid="{00000000-0005-0000-0000-000075380000}"/>
    <cellStyle name="Millares 5 4 2 3 4" xfId="7001" xr:uid="{00000000-0005-0000-0000-000076380000}"/>
    <cellStyle name="Millares 5 4 2 3 4 2" xfId="13579" xr:uid="{00000000-0005-0000-0000-000077380000}"/>
    <cellStyle name="Millares 5 4 2 3 4 3" xfId="20266" xr:uid="{00000000-0005-0000-0000-000078380000}"/>
    <cellStyle name="Millares 5 4 2 3 5" xfId="10262" xr:uid="{00000000-0005-0000-0000-000079380000}"/>
    <cellStyle name="Millares 5 4 2 3 6" xfId="17038" xr:uid="{00000000-0005-0000-0000-00007A380000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3" xfId="20624" xr:uid="{00000000-0005-0000-0000-00007E380000}"/>
    <cellStyle name="Millares 5 4 2 4 3" xfId="10621" xr:uid="{00000000-0005-0000-0000-00007F380000}"/>
    <cellStyle name="Millares 5 4 2 4 4" xfId="17396" xr:uid="{00000000-0005-0000-0000-000080380000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3" xfId="21855" xr:uid="{00000000-0005-0000-0000-000084380000}"/>
    <cellStyle name="Millares 5 4 2 5 3" xfId="11940" xr:uid="{00000000-0005-0000-0000-000085380000}"/>
    <cellStyle name="Millares 5 4 2 5 4" xfId="18627" xr:uid="{00000000-0005-0000-0000-000086380000}"/>
    <cellStyle name="Millares 5 4 2 6" xfId="6613" xr:uid="{00000000-0005-0000-0000-000087380000}"/>
    <cellStyle name="Millares 5 4 2 6 2" xfId="13191" xr:uid="{00000000-0005-0000-0000-000088380000}"/>
    <cellStyle name="Millares 5 4 2 6 3" xfId="19878" xr:uid="{00000000-0005-0000-0000-000089380000}"/>
    <cellStyle name="Millares 5 4 2 7" xfId="9853" xr:uid="{00000000-0005-0000-0000-00008A380000}"/>
    <cellStyle name="Millares 5 4 2 8" xfId="16650" xr:uid="{00000000-0005-0000-0000-00008B380000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3" xfId="21168" xr:uid="{00000000-0005-0000-0000-000091380000}"/>
    <cellStyle name="Millares 5 4 3 2 2 3" xfId="11190" xr:uid="{00000000-0005-0000-0000-000092380000}"/>
    <cellStyle name="Millares 5 4 3 2 2 4" xfId="17940" xr:uid="{00000000-0005-0000-0000-000093380000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3" xfId="22399" xr:uid="{00000000-0005-0000-0000-000097380000}"/>
    <cellStyle name="Millares 5 4 3 2 3 3" xfId="12484" xr:uid="{00000000-0005-0000-0000-000098380000}"/>
    <cellStyle name="Millares 5 4 3 2 3 4" xfId="19171" xr:uid="{00000000-0005-0000-0000-000099380000}"/>
    <cellStyle name="Millares 5 4 3 2 4" xfId="7102" xr:uid="{00000000-0005-0000-0000-00009A380000}"/>
    <cellStyle name="Millares 5 4 3 2 4 2" xfId="13680" xr:uid="{00000000-0005-0000-0000-00009B380000}"/>
    <cellStyle name="Millares 5 4 3 2 4 3" xfId="20367" xr:uid="{00000000-0005-0000-0000-00009C380000}"/>
    <cellStyle name="Millares 5 4 3 2 5" xfId="10363" xr:uid="{00000000-0005-0000-0000-00009D380000}"/>
    <cellStyle name="Millares 5 4 3 2 6" xfId="17139" xr:uid="{00000000-0005-0000-0000-00009E380000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3" xfId="22815" xr:uid="{00000000-0005-0000-0000-0000A3380000}"/>
    <cellStyle name="Millares 5 4 3 3 2 3" xfId="12900" xr:uid="{00000000-0005-0000-0000-0000A4380000}"/>
    <cellStyle name="Millares 5 4 3 3 2 4" xfId="19587" xr:uid="{00000000-0005-0000-0000-0000A5380000}"/>
    <cellStyle name="Millares 5 4 3 3 3" xfId="8319" xr:uid="{00000000-0005-0000-0000-0000A6380000}"/>
    <cellStyle name="Millares 5 4 3 3 3 2" xfId="14897" xr:uid="{00000000-0005-0000-0000-0000A7380000}"/>
    <cellStyle name="Millares 5 4 3 3 3 3" xfId="21584" xr:uid="{00000000-0005-0000-0000-0000A8380000}"/>
    <cellStyle name="Millares 5 4 3 3 4" xfId="11654" xr:uid="{00000000-0005-0000-0000-0000A9380000}"/>
    <cellStyle name="Millares 5 4 3 3 5" xfId="18356" xr:uid="{00000000-0005-0000-0000-0000AA380000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3" xfId="20772" xr:uid="{00000000-0005-0000-0000-0000AE380000}"/>
    <cellStyle name="Millares 5 4 3 4 3" xfId="10769" xr:uid="{00000000-0005-0000-0000-0000AF380000}"/>
    <cellStyle name="Millares 5 4 3 4 4" xfId="17544" xr:uid="{00000000-0005-0000-0000-0000B0380000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3" xfId="22003" xr:uid="{00000000-0005-0000-0000-0000B4380000}"/>
    <cellStyle name="Millares 5 4 3 5 3" xfId="12088" xr:uid="{00000000-0005-0000-0000-0000B5380000}"/>
    <cellStyle name="Millares 5 4 3 5 4" xfId="18775" xr:uid="{00000000-0005-0000-0000-0000B6380000}"/>
    <cellStyle name="Millares 5 4 3 6" xfId="6714" xr:uid="{00000000-0005-0000-0000-0000B7380000}"/>
    <cellStyle name="Millares 5 4 3 6 2" xfId="13292" xr:uid="{00000000-0005-0000-0000-0000B8380000}"/>
    <cellStyle name="Millares 5 4 3 6 3" xfId="19979" xr:uid="{00000000-0005-0000-0000-0000B9380000}"/>
    <cellStyle name="Millares 5 4 3 7" xfId="9962" xr:uid="{00000000-0005-0000-0000-0000BA380000}"/>
    <cellStyle name="Millares 5 4 3 8" xfId="16751" xr:uid="{00000000-0005-0000-0000-0000BB380000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3" xfId="22479" xr:uid="{00000000-0005-0000-0000-0000C1380000}"/>
    <cellStyle name="Millares 5 4 4 2 2 3" xfId="12564" xr:uid="{00000000-0005-0000-0000-0000C2380000}"/>
    <cellStyle name="Millares 5 4 4 2 2 4" xfId="19251" xr:uid="{00000000-0005-0000-0000-0000C3380000}"/>
    <cellStyle name="Millares 5 4 4 2 3" xfId="7983" xr:uid="{00000000-0005-0000-0000-0000C4380000}"/>
    <cellStyle name="Millares 5 4 4 2 3 2" xfId="14561" xr:uid="{00000000-0005-0000-0000-0000C5380000}"/>
    <cellStyle name="Millares 5 4 4 2 3 3" xfId="21248" xr:uid="{00000000-0005-0000-0000-0000C6380000}"/>
    <cellStyle name="Millares 5 4 4 2 4" xfId="11279" xr:uid="{00000000-0005-0000-0000-0000C7380000}"/>
    <cellStyle name="Millares 5 4 4 2 5" xfId="18020" xr:uid="{00000000-0005-0000-0000-0000C8380000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3" xfId="20852" xr:uid="{00000000-0005-0000-0000-0000CC380000}"/>
    <cellStyle name="Millares 5 4 4 3 3" xfId="10852" xr:uid="{00000000-0005-0000-0000-0000CD380000}"/>
    <cellStyle name="Millares 5 4 4 3 4" xfId="17624" xr:uid="{00000000-0005-0000-0000-0000CE380000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3" xfId="22083" xr:uid="{00000000-0005-0000-0000-0000D2380000}"/>
    <cellStyle name="Millares 5 4 4 4 3" xfId="12168" xr:uid="{00000000-0005-0000-0000-0000D3380000}"/>
    <cellStyle name="Millares 5 4 4 4 4" xfId="18855" xr:uid="{00000000-0005-0000-0000-0000D4380000}"/>
    <cellStyle name="Millares 5 4 4 5" xfId="6909" xr:uid="{00000000-0005-0000-0000-0000D5380000}"/>
    <cellStyle name="Millares 5 4 4 5 2" xfId="13487" xr:uid="{00000000-0005-0000-0000-0000D6380000}"/>
    <cellStyle name="Millares 5 4 4 5 3" xfId="20174" xr:uid="{00000000-0005-0000-0000-0000D7380000}"/>
    <cellStyle name="Millares 5 4 4 6" xfId="10170" xr:uid="{00000000-0005-0000-0000-0000D8380000}"/>
    <cellStyle name="Millares 5 4 4 7" xfId="16946" xr:uid="{00000000-0005-0000-0000-0000D9380000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3" xfId="22145" xr:uid="{00000000-0005-0000-0000-0000DE380000}"/>
    <cellStyle name="Millares 5 4 5 2 3" xfId="12230" xr:uid="{00000000-0005-0000-0000-0000DF380000}"/>
    <cellStyle name="Millares 5 4 5 2 4" xfId="18917" xr:uid="{00000000-0005-0000-0000-0000E0380000}"/>
    <cellStyle name="Millares 5 4 5 3" xfId="7649" xr:uid="{00000000-0005-0000-0000-0000E1380000}"/>
    <cellStyle name="Millares 5 4 5 3 2" xfId="14227" xr:uid="{00000000-0005-0000-0000-0000E2380000}"/>
    <cellStyle name="Millares 5 4 5 3 3" xfId="20914" xr:uid="{00000000-0005-0000-0000-0000E3380000}"/>
    <cellStyle name="Millares 5 4 5 4" xfId="10920" xr:uid="{00000000-0005-0000-0000-0000E4380000}"/>
    <cellStyle name="Millares 5 4 5 5" xfId="17686" xr:uid="{00000000-0005-0000-0000-0000E5380000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3" xfId="22571" xr:uid="{00000000-0005-0000-0000-0000EA380000}"/>
    <cellStyle name="Millares 5 4 6 2 3" xfId="12656" xr:uid="{00000000-0005-0000-0000-0000EB380000}"/>
    <cellStyle name="Millares 5 4 6 2 4" xfId="19343" xr:uid="{00000000-0005-0000-0000-0000EC380000}"/>
    <cellStyle name="Millares 5 4 6 3" xfId="8075" xr:uid="{00000000-0005-0000-0000-0000ED380000}"/>
    <cellStyle name="Millares 5 4 6 3 2" xfId="14653" xr:uid="{00000000-0005-0000-0000-0000EE380000}"/>
    <cellStyle name="Millares 5 4 6 3 3" xfId="21340" xr:uid="{00000000-0005-0000-0000-0000EF380000}"/>
    <cellStyle name="Millares 5 4 6 4" xfId="11378" xr:uid="{00000000-0005-0000-0000-0000F0380000}"/>
    <cellStyle name="Millares 5 4 6 5" xfId="18112" xr:uid="{00000000-0005-0000-0000-0000F1380000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3" xfId="20518" xr:uid="{00000000-0005-0000-0000-0000F5380000}"/>
    <cellStyle name="Millares 5 4 7 3" xfId="10514" xr:uid="{00000000-0005-0000-0000-0000F6380000}"/>
    <cellStyle name="Millares 5 4 7 4" xfId="17290" xr:uid="{00000000-0005-0000-0000-0000F7380000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3" xfId="21749" xr:uid="{00000000-0005-0000-0000-0000FB380000}"/>
    <cellStyle name="Millares 5 4 8 3" xfId="11834" xr:uid="{00000000-0005-0000-0000-0000FC380000}"/>
    <cellStyle name="Millares 5 4 8 4" xfId="18521" xr:uid="{00000000-0005-0000-0000-0000FD380000}"/>
    <cellStyle name="Millares 5 4 9" xfId="6521" xr:uid="{00000000-0005-0000-0000-0000FE380000}"/>
    <cellStyle name="Millares 5 4 9 2" xfId="13099" xr:uid="{00000000-0005-0000-0000-0000FF380000}"/>
    <cellStyle name="Millares 5 4 9 3" xfId="19786" xr:uid="{00000000-0005-0000-0000-000000390000}"/>
    <cellStyle name="Millares 5 5" xfId="432" xr:uid="{00000000-0005-0000-0000-000001390000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3" xfId="21066" xr:uid="{00000000-0005-0000-0000-000007390000}"/>
    <cellStyle name="Millares 5 5 2 2 2 3" xfId="11083" xr:uid="{00000000-0005-0000-0000-000008390000}"/>
    <cellStyle name="Millares 5 5 2 2 2 4" xfId="17838" xr:uid="{00000000-0005-0000-0000-000009390000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3" xfId="22297" xr:uid="{00000000-0005-0000-0000-00000D390000}"/>
    <cellStyle name="Millares 5 5 2 2 3 3" xfId="12382" xr:uid="{00000000-0005-0000-0000-00000E390000}"/>
    <cellStyle name="Millares 5 5 2 2 3 4" xfId="19069" xr:uid="{00000000-0005-0000-0000-00000F390000}"/>
    <cellStyle name="Millares 5 5 2 2 4" xfId="7149" xr:uid="{00000000-0005-0000-0000-000010390000}"/>
    <cellStyle name="Millares 5 5 2 2 4 2" xfId="13727" xr:uid="{00000000-0005-0000-0000-000011390000}"/>
    <cellStyle name="Millares 5 5 2 2 4 3" xfId="20414" xr:uid="{00000000-0005-0000-0000-000012390000}"/>
    <cellStyle name="Millares 5 5 2 2 5" xfId="10410" xr:uid="{00000000-0005-0000-0000-000013390000}"/>
    <cellStyle name="Millares 5 5 2 2 6" xfId="17186" xr:uid="{00000000-0005-0000-0000-000014390000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3" xfId="22862" xr:uid="{00000000-0005-0000-0000-000019390000}"/>
    <cellStyle name="Millares 5 5 2 3 2 3" xfId="12947" xr:uid="{00000000-0005-0000-0000-00001A390000}"/>
    <cellStyle name="Millares 5 5 2 3 2 4" xfId="19634" xr:uid="{00000000-0005-0000-0000-00001B390000}"/>
    <cellStyle name="Millares 5 5 2 3 3" xfId="8366" xr:uid="{00000000-0005-0000-0000-00001C390000}"/>
    <cellStyle name="Millares 5 5 2 3 3 2" xfId="14944" xr:uid="{00000000-0005-0000-0000-00001D390000}"/>
    <cellStyle name="Millares 5 5 2 3 3 3" xfId="21631" xr:uid="{00000000-0005-0000-0000-00001E390000}"/>
    <cellStyle name="Millares 5 5 2 3 4" xfId="11708" xr:uid="{00000000-0005-0000-0000-00001F390000}"/>
    <cellStyle name="Millares 5 5 2 3 5" xfId="18403" xr:uid="{00000000-0005-0000-0000-000020390000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3" xfId="20670" xr:uid="{00000000-0005-0000-0000-000024390000}"/>
    <cellStyle name="Millares 5 5 2 4 3" xfId="10667" xr:uid="{00000000-0005-0000-0000-000025390000}"/>
    <cellStyle name="Millares 5 5 2 4 4" xfId="17442" xr:uid="{00000000-0005-0000-0000-000026390000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3" xfId="21901" xr:uid="{00000000-0005-0000-0000-00002A390000}"/>
    <cellStyle name="Millares 5 5 2 5 3" xfId="11986" xr:uid="{00000000-0005-0000-0000-00002B390000}"/>
    <cellStyle name="Millares 5 5 2 5 4" xfId="18673" xr:uid="{00000000-0005-0000-0000-00002C390000}"/>
    <cellStyle name="Millares 5 5 2 6" xfId="6761" xr:uid="{00000000-0005-0000-0000-00002D390000}"/>
    <cellStyle name="Millares 5 5 2 6 2" xfId="13339" xr:uid="{00000000-0005-0000-0000-00002E390000}"/>
    <cellStyle name="Millares 5 5 2 6 3" xfId="20026" xr:uid="{00000000-0005-0000-0000-00002F390000}"/>
    <cellStyle name="Millares 5 5 2 7" xfId="10015" xr:uid="{00000000-0005-0000-0000-000030390000}"/>
    <cellStyle name="Millares 5 5 2 8" xfId="16798" xr:uid="{00000000-0005-0000-0000-000031390000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3" xfId="20960" xr:uid="{00000000-0005-0000-0000-000036390000}"/>
    <cellStyle name="Millares 5 5 3 2 3" xfId="10969" xr:uid="{00000000-0005-0000-0000-000037390000}"/>
    <cellStyle name="Millares 5 5 3 2 4" xfId="17732" xr:uid="{00000000-0005-0000-0000-000038390000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3" xfId="22191" xr:uid="{00000000-0005-0000-0000-00003C390000}"/>
    <cellStyle name="Millares 5 5 3 3 3" xfId="12276" xr:uid="{00000000-0005-0000-0000-00003D390000}"/>
    <cellStyle name="Millares 5 5 3 3 4" xfId="18963" xr:uid="{00000000-0005-0000-0000-00003E390000}"/>
    <cellStyle name="Millares 5 5 3 4" xfId="6956" xr:uid="{00000000-0005-0000-0000-00003F390000}"/>
    <cellStyle name="Millares 5 5 3 4 2" xfId="13534" xr:uid="{00000000-0005-0000-0000-000040390000}"/>
    <cellStyle name="Millares 5 5 3 4 3" xfId="20221" xr:uid="{00000000-0005-0000-0000-000041390000}"/>
    <cellStyle name="Millares 5 5 3 5" xfId="10217" xr:uid="{00000000-0005-0000-0000-000042390000}"/>
    <cellStyle name="Millares 5 5 3 6" xfId="16993" xr:uid="{00000000-0005-0000-0000-000043390000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3" xfId="22618" xr:uid="{00000000-0005-0000-0000-000048390000}"/>
    <cellStyle name="Millares 5 5 4 2 3" xfId="12703" xr:uid="{00000000-0005-0000-0000-000049390000}"/>
    <cellStyle name="Millares 5 5 4 2 4" xfId="19390" xr:uid="{00000000-0005-0000-0000-00004A390000}"/>
    <cellStyle name="Millares 5 5 4 3" xfId="8122" xr:uid="{00000000-0005-0000-0000-00004B390000}"/>
    <cellStyle name="Millares 5 5 4 3 2" xfId="14700" xr:uid="{00000000-0005-0000-0000-00004C390000}"/>
    <cellStyle name="Millares 5 5 4 3 3" xfId="21387" xr:uid="{00000000-0005-0000-0000-00004D390000}"/>
    <cellStyle name="Millares 5 5 4 4" xfId="11434" xr:uid="{00000000-0005-0000-0000-00004E390000}"/>
    <cellStyle name="Millares 5 5 4 5" xfId="18159" xr:uid="{00000000-0005-0000-0000-00004F390000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3" xfId="20564" xr:uid="{00000000-0005-0000-0000-000053390000}"/>
    <cellStyle name="Millares 5 5 5 3" xfId="10561" xr:uid="{00000000-0005-0000-0000-000054390000}"/>
    <cellStyle name="Millares 5 5 5 4" xfId="17336" xr:uid="{00000000-0005-0000-0000-000055390000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3" xfId="21795" xr:uid="{00000000-0005-0000-0000-000059390000}"/>
    <cellStyle name="Millares 5 5 6 3" xfId="11880" xr:uid="{00000000-0005-0000-0000-00005A390000}"/>
    <cellStyle name="Millares 5 5 6 4" xfId="18567" xr:uid="{00000000-0005-0000-0000-00005B390000}"/>
    <cellStyle name="Millares 5 5 7" xfId="6568" xr:uid="{00000000-0005-0000-0000-00005C390000}"/>
    <cellStyle name="Millares 5 5 7 2" xfId="13146" xr:uid="{00000000-0005-0000-0000-00005D390000}"/>
    <cellStyle name="Millares 5 5 7 3" xfId="19833" xr:uid="{00000000-0005-0000-0000-00005E390000}"/>
    <cellStyle name="Millares 5 5 8" xfId="9805" xr:uid="{00000000-0005-0000-0000-00005F390000}"/>
    <cellStyle name="Millares 5 5 9" xfId="16605" xr:uid="{00000000-0005-0000-0000-000060390000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3" xfId="21008" xr:uid="{00000000-0005-0000-0000-000066390000}"/>
    <cellStyle name="Millares 5 6 2 2 3" xfId="11024" xr:uid="{00000000-0005-0000-0000-000067390000}"/>
    <cellStyle name="Millares 5 6 2 2 4" xfId="17780" xr:uid="{00000000-0005-0000-0000-000068390000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3" xfId="22239" xr:uid="{00000000-0005-0000-0000-00006C390000}"/>
    <cellStyle name="Millares 5 6 2 3 3" xfId="12324" xr:uid="{00000000-0005-0000-0000-00006D390000}"/>
    <cellStyle name="Millares 5 6 2 3 4" xfId="19011" xr:uid="{00000000-0005-0000-0000-00006E390000}"/>
    <cellStyle name="Millares 5 6 2 4" xfId="7055" xr:uid="{00000000-0005-0000-0000-00006F390000}"/>
    <cellStyle name="Millares 5 6 2 4 2" xfId="13633" xr:uid="{00000000-0005-0000-0000-000070390000}"/>
    <cellStyle name="Millares 5 6 2 4 3" xfId="20320" xr:uid="{00000000-0005-0000-0000-000071390000}"/>
    <cellStyle name="Millares 5 6 2 5" xfId="10316" xr:uid="{00000000-0005-0000-0000-000072390000}"/>
    <cellStyle name="Millares 5 6 2 6" xfId="17092" xr:uid="{00000000-0005-0000-0000-000073390000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3" xfId="22768" xr:uid="{00000000-0005-0000-0000-000078390000}"/>
    <cellStyle name="Millares 5 6 3 2 3" xfId="12853" xr:uid="{00000000-0005-0000-0000-000079390000}"/>
    <cellStyle name="Millares 5 6 3 2 4" xfId="19540" xr:uid="{00000000-0005-0000-0000-00007A390000}"/>
    <cellStyle name="Millares 5 6 3 3" xfId="8272" xr:uid="{00000000-0005-0000-0000-00007B390000}"/>
    <cellStyle name="Millares 5 6 3 3 2" xfId="14850" xr:uid="{00000000-0005-0000-0000-00007C390000}"/>
    <cellStyle name="Millares 5 6 3 3 3" xfId="21537" xr:uid="{00000000-0005-0000-0000-00007D390000}"/>
    <cellStyle name="Millares 5 6 3 4" xfId="11602" xr:uid="{00000000-0005-0000-0000-00007E390000}"/>
    <cellStyle name="Millares 5 6 3 5" xfId="18309" xr:uid="{00000000-0005-0000-0000-00007F390000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3" xfId="20612" xr:uid="{00000000-0005-0000-0000-000083390000}"/>
    <cellStyle name="Millares 5 6 4 3" xfId="10609" xr:uid="{00000000-0005-0000-0000-000084390000}"/>
    <cellStyle name="Millares 5 6 4 4" xfId="17384" xr:uid="{00000000-0005-0000-0000-000085390000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3" xfId="21843" xr:uid="{00000000-0005-0000-0000-000089390000}"/>
    <cellStyle name="Millares 5 6 5 3" xfId="11928" xr:uid="{00000000-0005-0000-0000-00008A390000}"/>
    <cellStyle name="Millares 5 6 5 4" xfId="18615" xr:uid="{00000000-0005-0000-0000-00008B390000}"/>
    <cellStyle name="Millares 5 6 6" xfId="6667" xr:uid="{00000000-0005-0000-0000-00008C390000}"/>
    <cellStyle name="Millares 5 6 6 2" xfId="13245" xr:uid="{00000000-0005-0000-0000-00008D390000}"/>
    <cellStyle name="Millares 5 6 6 3" xfId="19932" xr:uid="{00000000-0005-0000-0000-00008E390000}"/>
    <cellStyle name="Millares 5 6 7" xfId="9913" xr:uid="{00000000-0005-0000-0000-00008F390000}"/>
    <cellStyle name="Millares 5 6 8" xfId="16704" xr:uid="{00000000-0005-0000-0000-000090390000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3" xfId="22392" xr:uid="{00000000-0005-0000-0000-000096390000}"/>
    <cellStyle name="Millares 5 7 2 2 3" xfId="12477" xr:uid="{00000000-0005-0000-0000-000097390000}"/>
    <cellStyle name="Millares 5 7 2 2 4" xfId="19164" xr:uid="{00000000-0005-0000-0000-000098390000}"/>
    <cellStyle name="Millares 5 7 2 3" xfId="7896" xr:uid="{00000000-0005-0000-0000-000099390000}"/>
    <cellStyle name="Millares 5 7 2 3 2" xfId="14474" xr:uid="{00000000-0005-0000-0000-00009A390000}"/>
    <cellStyle name="Millares 5 7 2 3 3" xfId="21161" xr:uid="{00000000-0005-0000-0000-00009B390000}"/>
    <cellStyle name="Millares 5 7 2 4" xfId="11183" xr:uid="{00000000-0005-0000-0000-00009C390000}"/>
    <cellStyle name="Millares 5 7 2 5" xfId="17933" xr:uid="{00000000-0005-0000-0000-00009D390000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3" xfId="20765" xr:uid="{00000000-0005-0000-0000-0000A1390000}"/>
    <cellStyle name="Millares 5 7 3 3" xfId="10762" xr:uid="{00000000-0005-0000-0000-0000A2390000}"/>
    <cellStyle name="Millares 5 7 3 4" xfId="17537" xr:uid="{00000000-0005-0000-0000-0000A3390000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3" xfId="21996" xr:uid="{00000000-0005-0000-0000-0000A7390000}"/>
    <cellStyle name="Millares 5 7 4 3" xfId="12081" xr:uid="{00000000-0005-0000-0000-0000A8390000}"/>
    <cellStyle name="Millares 5 7 4 4" xfId="18768" xr:uid="{00000000-0005-0000-0000-0000A9390000}"/>
    <cellStyle name="Millares 5 7 5" xfId="6862" xr:uid="{00000000-0005-0000-0000-0000AA390000}"/>
    <cellStyle name="Millares 5 7 5 2" xfId="13440" xr:uid="{00000000-0005-0000-0000-0000AB390000}"/>
    <cellStyle name="Millares 5 7 5 3" xfId="20127" xr:uid="{00000000-0005-0000-0000-0000AC390000}"/>
    <cellStyle name="Millares 5 7 6" xfId="10123" xr:uid="{00000000-0005-0000-0000-0000AD390000}"/>
    <cellStyle name="Millares 5 7 7" xfId="16899" xr:uid="{00000000-0005-0000-0000-0000AE390000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3" xfId="22434" xr:uid="{00000000-0005-0000-0000-0000B4390000}"/>
    <cellStyle name="Millares 5 8 2 2 3" xfId="12519" xr:uid="{00000000-0005-0000-0000-0000B5390000}"/>
    <cellStyle name="Millares 5 8 2 2 4" xfId="19206" xr:uid="{00000000-0005-0000-0000-0000B6390000}"/>
    <cellStyle name="Millares 5 8 2 3" xfId="7938" xr:uid="{00000000-0005-0000-0000-0000B7390000}"/>
    <cellStyle name="Millares 5 8 2 3 2" xfId="14516" xr:uid="{00000000-0005-0000-0000-0000B8390000}"/>
    <cellStyle name="Millares 5 8 2 3 3" xfId="21203" xr:uid="{00000000-0005-0000-0000-0000B9390000}"/>
    <cellStyle name="Millares 5 8 2 4" xfId="11231" xr:uid="{00000000-0005-0000-0000-0000BA390000}"/>
    <cellStyle name="Millares 5 8 2 5" xfId="17975" xr:uid="{00000000-0005-0000-0000-0000BB390000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3" xfId="22038" xr:uid="{00000000-0005-0000-0000-0000BF390000}"/>
    <cellStyle name="Millares 5 8 3 3" xfId="12123" xr:uid="{00000000-0005-0000-0000-0000C0390000}"/>
    <cellStyle name="Millares 5 8 3 4" xfId="18810" xr:uid="{00000000-0005-0000-0000-0000C1390000}"/>
    <cellStyle name="Millares 5 8 4" xfId="7542" xr:uid="{00000000-0005-0000-0000-0000C2390000}"/>
    <cellStyle name="Millares 5 8 4 2" xfId="14120" xr:uid="{00000000-0005-0000-0000-0000C3390000}"/>
    <cellStyle name="Millares 5 8 4 3" xfId="20807" xr:uid="{00000000-0005-0000-0000-0000C4390000}"/>
    <cellStyle name="Millares 5 8 5" xfId="10804" xr:uid="{00000000-0005-0000-0000-0000C5390000}"/>
    <cellStyle name="Millares 5 8 6" xfId="17579" xr:uid="{00000000-0005-0000-0000-0000C6390000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3" xfId="22133" xr:uid="{00000000-0005-0000-0000-0000CB390000}"/>
    <cellStyle name="Millares 5 9 2 3" xfId="12218" xr:uid="{00000000-0005-0000-0000-0000CC390000}"/>
    <cellStyle name="Millares 5 9 2 4" xfId="18905" xr:uid="{00000000-0005-0000-0000-0000CD390000}"/>
    <cellStyle name="Millares 5 9 3" xfId="7637" xr:uid="{00000000-0005-0000-0000-0000CE390000}"/>
    <cellStyle name="Millares 5 9 3 2" xfId="14215" xr:uid="{00000000-0005-0000-0000-0000CF390000}"/>
    <cellStyle name="Millares 5 9 3 3" xfId="20902" xr:uid="{00000000-0005-0000-0000-0000D0390000}"/>
    <cellStyle name="Millares 5 9 4" xfId="10908" xr:uid="{00000000-0005-0000-0000-0000D1390000}"/>
    <cellStyle name="Millares 5 9 5" xfId="17674" xr:uid="{00000000-0005-0000-0000-0000D2390000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3" xfId="22527" xr:uid="{00000000-0005-0000-0000-0000EC390000}"/>
    <cellStyle name="Millares 6 10 2 3" xfId="12612" xr:uid="{00000000-0005-0000-0000-0000ED390000}"/>
    <cellStyle name="Millares 6 10 2 4" xfId="19299" xr:uid="{00000000-0005-0000-0000-0000EE390000}"/>
    <cellStyle name="Millares 6 10 3" xfId="8031" xr:uid="{00000000-0005-0000-0000-0000EF390000}"/>
    <cellStyle name="Millares 6 10 3 2" xfId="14609" xr:uid="{00000000-0005-0000-0000-0000F0390000}"/>
    <cellStyle name="Millares 6 10 3 3" xfId="21296" xr:uid="{00000000-0005-0000-0000-0000F1390000}"/>
    <cellStyle name="Millares 6 10 4" xfId="11331" xr:uid="{00000000-0005-0000-0000-0000F2390000}"/>
    <cellStyle name="Millares 6 10 5" xfId="18068" xr:uid="{00000000-0005-0000-0000-0000F3390000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3" xfId="21738" xr:uid="{00000000-0005-0000-0000-0000F7390000}"/>
    <cellStyle name="Millares 6 11 3" xfId="11823" xr:uid="{00000000-0005-0000-0000-0000F8390000}"/>
    <cellStyle name="Millares 6 11 4" xfId="18510" xr:uid="{00000000-0005-0000-0000-0000F9390000}"/>
    <cellStyle name="Millares 6 12" xfId="6475" xr:uid="{00000000-0005-0000-0000-0000FA390000}"/>
    <cellStyle name="Millares 6 12 2" xfId="13053" xr:uid="{00000000-0005-0000-0000-0000FB390000}"/>
    <cellStyle name="Millares 6 12 3" xfId="19740" xr:uid="{00000000-0005-0000-0000-0000FC390000}"/>
    <cellStyle name="Millares 6 13" xfId="77" xr:uid="{00000000-0005-0000-0000-0000FD390000}"/>
    <cellStyle name="Millares 6 13 2" xfId="16304" xr:uid="{00000000-0005-0000-0000-0000FE390000}"/>
    <cellStyle name="Millares 6 14" xfId="9707" xr:uid="{00000000-0005-0000-0000-0000FF390000}"/>
    <cellStyle name="Millares 6 15" xfId="11226" xr:uid="{00000000-0005-0000-0000-0000003A0000}"/>
    <cellStyle name="Millares 6 16" xfId="16512" xr:uid="{00000000-0005-0000-0000-0000013A0000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3" xfId="21760" xr:uid="{00000000-0005-0000-0000-0000063A0000}"/>
    <cellStyle name="Millares 6 2 10 3" xfId="11845" xr:uid="{00000000-0005-0000-0000-0000073A0000}"/>
    <cellStyle name="Millares 6 2 10 4" xfId="18532" xr:uid="{00000000-0005-0000-0000-0000083A0000}"/>
    <cellStyle name="Millares 6 2 11" xfId="6485" xr:uid="{00000000-0005-0000-0000-0000093A0000}"/>
    <cellStyle name="Millares 6 2 11 2" xfId="13063" xr:uid="{00000000-0005-0000-0000-00000A3A0000}"/>
    <cellStyle name="Millares 6 2 11 3" xfId="19750" xr:uid="{00000000-0005-0000-0000-00000B3A0000}"/>
    <cellStyle name="Millares 6 2 12" xfId="9718" xr:uid="{00000000-0005-0000-0000-00000C3A0000}"/>
    <cellStyle name="Millares 6 2 13" xfId="16284" xr:uid="{00000000-0005-0000-0000-00000D3A0000}"/>
    <cellStyle name="Millares 6 2 14" xfId="16522" xr:uid="{00000000-0005-0000-0000-00000E3A0000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3" xfId="19773" xr:uid="{00000000-0005-0000-0000-0000123A0000}"/>
    <cellStyle name="Millares 6 2 2 11" xfId="9743" xr:uid="{00000000-0005-0000-0000-0000133A0000}"/>
    <cellStyle name="Millares 6 2 2 12" xfId="16317" xr:uid="{00000000-0005-0000-0000-0000143A0000}"/>
    <cellStyle name="Millares 6 2 2 13" xfId="16545" xr:uid="{00000000-0005-0000-0000-0000153A0000}"/>
    <cellStyle name="Millares 6 2 2 2" xfId="379" xr:uid="{00000000-0005-0000-0000-0000163A0000}"/>
    <cellStyle name="Millares 6 2 2 2 10" xfId="9791" xr:uid="{00000000-0005-0000-0000-0000173A0000}"/>
    <cellStyle name="Millares 6 2 2 2 11" xfId="16591" xr:uid="{00000000-0005-0000-0000-0000183A0000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3" xfId="21709" xr:uid="{00000000-0005-0000-0000-00001F3A0000}"/>
    <cellStyle name="Millares 6 2 2 2 2 2 2 2 3" xfId="11794" xr:uid="{00000000-0005-0000-0000-0000203A0000}"/>
    <cellStyle name="Millares 6 2 2 2 2 2 2 2 4" xfId="18481" xr:uid="{00000000-0005-0000-0000-0000213A0000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3" xfId="22940" xr:uid="{00000000-0005-0000-0000-0000253A0000}"/>
    <cellStyle name="Millares 6 2 2 2 2 2 2 3 3" xfId="13025" xr:uid="{00000000-0005-0000-0000-0000263A0000}"/>
    <cellStyle name="Millares 6 2 2 2 2 2 2 3 4" xfId="19712" xr:uid="{00000000-0005-0000-0000-0000273A0000}"/>
    <cellStyle name="Millares 6 2 2 2 2 2 2 4" xfId="7227" xr:uid="{00000000-0005-0000-0000-0000283A0000}"/>
    <cellStyle name="Millares 6 2 2 2 2 2 2 4 2" xfId="13805" xr:uid="{00000000-0005-0000-0000-0000293A0000}"/>
    <cellStyle name="Millares 6 2 2 2 2 2 2 4 3" xfId="20492" xr:uid="{00000000-0005-0000-0000-00002A3A0000}"/>
    <cellStyle name="Millares 6 2 2 2 2 2 2 5" xfId="10488" xr:uid="{00000000-0005-0000-0000-00002B3A0000}"/>
    <cellStyle name="Millares 6 2 2 2 2 2 2 6" xfId="17264" xr:uid="{00000000-0005-0000-0000-00002C3A0000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3" xfId="21099" xr:uid="{00000000-0005-0000-0000-0000303A0000}"/>
    <cellStyle name="Millares 6 2 2 2 2 2 3 3" xfId="11116" xr:uid="{00000000-0005-0000-0000-0000313A0000}"/>
    <cellStyle name="Millares 6 2 2 2 2 2 3 4" xfId="17871" xr:uid="{00000000-0005-0000-0000-0000323A0000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3" xfId="22330" xr:uid="{00000000-0005-0000-0000-0000363A0000}"/>
    <cellStyle name="Millares 6 2 2 2 2 2 4 3" xfId="12415" xr:uid="{00000000-0005-0000-0000-0000373A0000}"/>
    <cellStyle name="Millares 6 2 2 2 2 2 4 4" xfId="19102" xr:uid="{00000000-0005-0000-0000-0000383A0000}"/>
    <cellStyle name="Millares 6 2 2 2 2 2 5" xfId="6839" xr:uid="{00000000-0005-0000-0000-0000393A0000}"/>
    <cellStyle name="Millares 6 2 2 2 2 2 5 2" xfId="13417" xr:uid="{00000000-0005-0000-0000-00003A3A0000}"/>
    <cellStyle name="Millares 6 2 2 2 2 2 5 3" xfId="20104" xr:uid="{00000000-0005-0000-0000-00003B3A0000}"/>
    <cellStyle name="Millares 6 2 2 2 2 2 6" xfId="10099" xr:uid="{00000000-0005-0000-0000-00003C3A0000}"/>
    <cellStyle name="Millares 6 2 2 2 2 2 7" xfId="16876" xr:uid="{00000000-0005-0000-0000-00003D3A0000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3" xfId="21465" xr:uid="{00000000-0005-0000-0000-0000423A0000}"/>
    <cellStyle name="Millares 6 2 2 2 2 3 2 3" xfId="11529" xr:uid="{00000000-0005-0000-0000-0000433A0000}"/>
    <cellStyle name="Millares 6 2 2 2 2 3 2 4" xfId="18237" xr:uid="{00000000-0005-0000-0000-0000443A0000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3" xfId="22696" xr:uid="{00000000-0005-0000-0000-0000483A0000}"/>
    <cellStyle name="Millares 6 2 2 2 2 3 3 3" xfId="12781" xr:uid="{00000000-0005-0000-0000-0000493A0000}"/>
    <cellStyle name="Millares 6 2 2 2 2 3 3 4" xfId="19468" xr:uid="{00000000-0005-0000-0000-00004A3A0000}"/>
    <cellStyle name="Millares 6 2 2 2 2 3 4" xfId="7034" xr:uid="{00000000-0005-0000-0000-00004B3A0000}"/>
    <cellStyle name="Millares 6 2 2 2 2 3 4 2" xfId="13612" xr:uid="{00000000-0005-0000-0000-00004C3A0000}"/>
    <cellStyle name="Millares 6 2 2 2 2 3 4 3" xfId="20299" xr:uid="{00000000-0005-0000-0000-00004D3A0000}"/>
    <cellStyle name="Millares 6 2 2 2 2 3 5" xfId="10295" xr:uid="{00000000-0005-0000-0000-00004E3A0000}"/>
    <cellStyle name="Millares 6 2 2 2 2 3 6" xfId="17071" xr:uid="{00000000-0005-0000-0000-00004F3A000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3" xfId="20703" xr:uid="{00000000-0005-0000-0000-0000533A0000}"/>
    <cellStyle name="Millares 6 2 2 2 2 4 3" xfId="10700" xr:uid="{00000000-0005-0000-0000-0000543A0000}"/>
    <cellStyle name="Millares 6 2 2 2 2 4 4" xfId="17475" xr:uid="{00000000-0005-0000-0000-0000553A0000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3" xfId="21934" xr:uid="{00000000-0005-0000-0000-0000593A0000}"/>
    <cellStyle name="Millares 6 2 2 2 2 5 3" xfId="12019" xr:uid="{00000000-0005-0000-0000-00005A3A0000}"/>
    <cellStyle name="Millares 6 2 2 2 2 5 4" xfId="18706" xr:uid="{00000000-0005-0000-0000-00005B3A0000}"/>
    <cellStyle name="Millares 6 2 2 2 2 6" xfId="6646" xr:uid="{00000000-0005-0000-0000-00005C3A0000}"/>
    <cellStyle name="Millares 6 2 2 2 2 6 2" xfId="13224" xr:uid="{00000000-0005-0000-0000-00005D3A0000}"/>
    <cellStyle name="Millares 6 2 2 2 2 6 3" xfId="19911" xr:uid="{00000000-0005-0000-0000-00005E3A0000}"/>
    <cellStyle name="Millares 6 2 2 2 2 7" xfId="9891" xr:uid="{00000000-0005-0000-0000-00005F3A0000}"/>
    <cellStyle name="Millares 6 2 2 2 2 8" xfId="16683" xr:uid="{00000000-0005-0000-0000-0000603A0000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3" xfId="21172" xr:uid="{00000000-0005-0000-0000-0000663A0000}"/>
    <cellStyle name="Millares 6 2 2 2 3 2 2 3" xfId="11194" xr:uid="{00000000-0005-0000-0000-0000673A0000}"/>
    <cellStyle name="Millares 6 2 2 2 3 2 2 4" xfId="17944" xr:uid="{00000000-0005-0000-0000-0000683A0000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3" xfId="22403" xr:uid="{00000000-0005-0000-0000-00006C3A0000}"/>
    <cellStyle name="Millares 6 2 2 2 3 2 3 3" xfId="12488" xr:uid="{00000000-0005-0000-0000-00006D3A0000}"/>
    <cellStyle name="Millares 6 2 2 2 3 2 3 4" xfId="19175" xr:uid="{00000000-0005-0000-0000-00006E3A0000}"/>
    <cellStyle name="Millares 6 2 2 2 3 2 4" xfId="7135" xr:uid="{00000000-0005-0000-0000-00006F3A0000}"/>
    <cellStyle name="Millares 6 2 2 2 3 2 4 2" xfId="13713" xr:uid="{00000000-0005-0000-0000-0000703A0000}"/>
    <cellStyle name="Millares 6 2 2 2 3 2 4 3" xfId="20400" xr:uid="{00000000-0005-0000-0000-0000713A0000}"/>
    <cellStyle name="Millares 6 2 2 2 3 2 5" xfId="10396" xr:uid="{00000000-0005-0000-0000-0000723A0000}"/>
    <cellStyle name="Millares 6 2 2 2 3 2 6" xfId="17172" xr:uid="{00000000-0005-0000-0000-0000733A0000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3" xfId="22848" xr:uid="{00000000-0005-0000-0000-0000783A0000}"/>
    <cellStyle name="Millares 6 2 2 2 3 3 2 3" xfId="12933" xr:uid="{00000000-0005-0000-0000-0000793A0000}"/>
    <cellStyle name="Millares 6 2 2 2 3 3 2 4" xfId="19620" xr:uid="{00000000-0005-0000-0000-00007A3A0000}"/>
    <cellStyle name="Millares 6 2 2 2 3 3 3" xfId="8352" xr:uid="{00000000-0005-0000-0000-00007B3A0000}"/>
    <cellStyle name="Millares 6 2 2 2 3 3 3 2" xfId="14930" xr:uid="{00000000-0005-0000-0000-00007C3A0000}"/>
    <cellStyle name="Millares 6 2 2 2 3 3 3 3" xfId="21617" xr:uid="{00000000-0005-0000-0000-00007D3A0000}"/>
    <cellStyle name="Millares 6 2 2 2 3 3 4" xfId="11693" xr:uid="{00000000-0005-0000-0000-00007E3A0000}"/>
    <cellStyle name="Millares 6 2 2 2 3 3 5" xfId="18389" xr:uid="{00000000-0005-0000-0000-00007F3A0000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3" xfId="20776" xr:uid="{00000000-0005-0000-0000-0000833A0000}"/>
    <cellStyle name="Millares 6 2 2 2 3 4 3" xfId="10773" xr:uid="{00000000-0005-0000-0000-0000843A0000}"/>
    <cellStyle name="Millares 6 2 2 2 3 4 4" xfId="17548" xr:uid="{00000000-0005-0000-0000-0000853A0000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3" xfId="22007" xr:uid="{00000000-0005-0000-0000-0000893A0000}"/>
    <cellStyle name="Millares 6 2 2 2 3 5 3" xfId="12092" xr:uid="{00000000-0005-0000-0000-00008A3A0000}"/>
    <cellStyle name="Millares 6 2 2 2 3 5 4" xfId="18779" xr:uid="{00000000-0005-0000-0000-00008B3A0000}"/>
    <cellStyle name="Millares 6 2 2 2 3 6" xfId="6747" xr:uid="{00000000-0005-0000-0000-00008C3A0000}"/>
    <cellStyle name="Millares 6 2 2 2 3 6 2" xfId="13325" xr:uid="{00000000-0005-0000-0000-00008D3A0000}"/>
    <cellStyle name="Millares 6 2 2 2 3 6 3" xfId="20012" xr:uid="{00000000-0005-0000-0000-00008E3A0000}"/>
    <cellStyle name="Millares 6 2 2 2 3 7" xfId="9998" xr:uid="{00000000-0005-0000-0000-00008F3A0000}"/>
    <cellStyle name="Millares 6 2 2 2 3 8" xfId="16784" xr:uid="{00000000-0005-0000-0000-0000903A0000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3" xfId="22512" xr:uid="{00000000-0005-0000-0000-0000963A0000}"/>
    <cellStyle name="Millares 6 2 2 2 4 2 2 3" xfId="12597" xr:uid="{00000000-0005-0000-0000-0000973A0000}"/>
    <cellStyle name="Millares 6 2 2 2 4 2 2 4" xfId="19284" xr:uid="{00000000-0005-0000-0000-0000983A0000}"/>
    <cellStyle name="Millares 6 2 2 2 4 2 3" xfId="8016" xr:uid="{00000000-0005-0000-0000-0000993A0000}"/>
    <cellStyle name="Millares 6 2 2 2 4 2 3 2" xfId="14594" xr:uid="{00000000-0005-0000-0000-00009A3A0000}"/>
    <cellStyle name="Millares 6 2 2 2 4 2 3 3" xfId="21281" xr:uid="{00000000-0005-0000-0000-00009B3A0000}"/>
    <cellStyle name="Millares 6 2 2 2 4 2 4" xfId="11315" xr:uid="{00000000-0005-0000-0000-00009C3A0000}"/>
    <cellStyle name="Millares 6 2 2 2 4 2 5" xfId="18053" xr:uid="{00000000-0005-0000-0000-00009D3A0000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3" xfId="20885" xr:uid="{00000000-0005-0000-0000-0000A13A0000}"/>
    <cellStyle name="Millares 6 2 2 2 4 3 3" xfId="10889" xr:uid="{00000000-0005-0000-0000-0000A23A0000}"/>
    <cellStyle name="Millares 6 2 2 2 4 3 4" xfId="17657" xr:uid="{00000000-0005-0000-0000-0000A33A0000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3" xfId="22116" xr:uid="{00000000-0005-0000-0000-0000A73A0000}"/>
    <cellStyle name="Millares 6 2 2 2 4 4 3" xfId="12201" xr:uid="{00000000-0005-0000-0000-0000A83A0000}"/>
    <cellStyle name="Millares 6 2 2 2 4 4 4" xfId="18888" xr:uid="{00000000-0005-0000-0000-0000A93A0000}"/>
    <cellStyle name="Millares 6 2 2 2 4 5" xfId="6942" xr:uid="{00000000-0005-0000-0000-0000AA3A0000}"/>
    <cellStyle name="Millares 6 2 2 2 4 5 2" xfId="13520" xr:uid="{00000000-0005-0000-0000-0000AB3A0000}"/>
    <cellStyle name="Millares 6 2 2 2 4 5 3" xfId="20207" xr:uid="{00000000-0005-0000-0000-0000AC3A0000}"/>
    <cellStyle name="Millares 6 2 2 2 4 6" xfId="10203" xr:uid="{00000000-0005-0000-0000-0000AD3A0000}"/>
    <cellStyle name="Millares 6 2 2 2 4 7" xfId="16979" xr:uid="{00000000-0005-0000-0000-0000AE3A0000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3" xfId="22224" xr:uid="{00000000-0005-0000-0000-0000B33A0000}"/>
    <cellStyle name="Millares 6 2 2 2 5 2 3" xfId="12309" xr:uid="{00000000-0005-0000-0000-0000B43A0000}"/>
    <cellStyle name="Millares 6 2 2 2 5 2 4" xfId="18996" xr:uid="{00000000-0005-0000-0000-0000B53A0000}"/>
    <cellStyle name="Millares 6 2 2 2 5 3" xfId="7728" xr:uid="{00000000-0005-0000-0000-0000B63A0000}"/>
    <cellStyle name="Millares 6 2 2 2 5 3 2" xfId="14306" xr:uid="{00000000-0005-0000-0000-0000B73A0000}"/>
    <cellStyle name="Millares 6 2 2 2 5 3 3" xfId="20993" xr:uid="{00000000-0005-0000-0000-0000B83A0000}"/>
    <cellStyle name="Millares 6 2 2 2 5 4" xfId="11007" xr:uid="{00000000-0005-0000-0000-0000B93A0000}"/>
    <cellStyle name="Millares 6 2 2 2 5 5" xfId="17765" xr:uid="{00000000-0005-0000-0000-0000BA3A0000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3" xfId="22604" xr:uid="{00000000-0005-0000-0000-0000BF3A0000}"/>
    <cellStyle name="Millares 6 2 2 2 6 2 3" xfId="12689" xr:uid="{00000000-0005-0000-0000-0000C03A0000}"/>
    <cellStyle name="Millares 6 2 2 2 6 2 4" xfId="19376" xr:uid="{00000000-0005-0000-0000-0000C13A0000}"/>
    <cellStyle name="Millares 6 2 2 2 6 3" xfId="8108" xr:uid="{00000000-0005-0000-0000-0000C23A0000}"/>
    <cellStyle name="Millares 6 2 2 2 6 3 2" xfId="14686" xr:uid="{00000000-0005-0000-0000-0000C33A0000}"/>
    <cellStyle name="Millares 6 2 2 2 6 3 3" xfId="21373" xr:uid="{00000000-0005-0000-0000-0000C43A0000}"/>
    <cellStyle name="Millares 6 2 2 2 6 4" xfId="11418" xr:uid="{00000000-0005-0000-0000-0000C53A0000}"/>
    <cellStyle name="Millares 6 2 2 2 6 5" xfId="18145" xr:uid="{00000000-0005-0000-0000-0000C63A0000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3" xfId="20597" xr:uid="{00000000-0005-0000-0000-0000CA3A0000}"/>
    <cellStyle name="Millares 6 2 2 2 7 3" xfId="10594" xr:uid="{00000000-0005-0000-0000-0000CB3A0000}"/>
    <cellStyle name="Millares 6 2 2 2 7 4" xfId="17369" xr:uid="{00000000-0005-0000-0000-0000CC3A0000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3" xfId="21828" xr:uid="{00000000-0005-0000-0000-0000D03A0000}"/>
    <cellStyle name="Millares 6 2 2 2 8 3" xfId="11913" xr:uid="{00000000-0005-0000-0000-0000D13A0000}"/>
    <cellStyle name="Millares 6 2 2 2 8 4" xfId="18600" xr:uid="{00000000-0005-0000-0000-0000D23A0000}"/>
    <cellStyle name="Millares 6 2 2 2 9" xfId="6554" xr:uid="{00000000-0005-0000-0000-0000D33A0000}"/>
    <cellStyle name="Millares 6 2 2 2 9 2" xfId="13132" xr:uid="{00000000-0005-0000-0000-0000D43A0000}"/>
    <cellStyle name="Millares 6 2 2 2 9 3" xfId="19819" xr:uid="{00000000-0005-0000-0000-0000D53A000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3" xfId="21664" xr:uid="{00000000-0005-0000-0000-0000DC3A0000}"/>
    <cellStyle name="Millares 6 2 2 3 2 2 2 3" xfId="11743" xr:uid="{00000000-0005-0000-0000-0000DD3A0000}"/>
    <cellStyle name="Millares 6 2 2 3 2 2 2 4" xfId="18436" xr:uid="{00000000-0005-0000-0000-0000DE3A0000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3" xfId="22895" xr:uid="{00000000-0005-0000-0000-0000E23A0000}"/>
    <cellStyle name="Millares 6 2 2 3 2 2 3 3" xfId="12980" xr:uid="{00000000-0005-0000-0000-0000E33A0000}"/>
    <cellStyle name="Millares 6 2 2 3 2 2 3 4" xfId="19667" xr:uid="{00000000-0005-0000-0000-0000E43A0000}"/>
    <cellStyle name="Millares 6 2 2 3 2 2 4" xfId="7182" xr:uid="{00000000-0005-0000-0000-0000E53A0000}"/>
    <cellStyle name="Millares 6 2 2 3 2 2 4 2" xfId="13760" xr:uid="{00000000-0005-0000-0000-0000E63A0000}"/>
    <cellStyle name="Millares 6 2 2 3 2 2 4 3" xfId="20447" xr:uid="{00000000-0005-0000-0000-0000E73A0000}"/>
    <cellStyle name="Millares 6 2 2 3 2 2 5" xfId="10443" xr:uid="{00000000-0005-0000-0000-0000E83A0000}"/>
    <cellStyle name="Millares 6 2 2 3 2 2 6" xfId="17219" xr:uid="{00000000-0005-0000-0000-0000E93A0000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3" xfId="21054" xr:uid="{00000000-0005-0000-0000-0000ED3A0000}"/>
    <cellStyle name="Millares 6 2 2 3 2 3 3" xfId="11070" xr:uid="{00000000-0005-0000-0000-0000EE3A0000}"/>
    <cellStyle name="Millares 6 2 2 3 2 3 4" xfId="17826" xr:uid="{00000000-0005-0000-0000-0000EF3A0000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3" xfId="22285" xr:uid="{00000000-0005-0000-0000-0000F33A0000}"/>
    <cellStyle name="Millares 6 2 2 3 2 4 3" xfId="12370" xr:uid="{00000000-0005-0000-0000-0000F43A0000}"/>
    <cellStyle name="Millares 6 2 2 3 2 4 4" xfId="19057" xr:uid="{00000000-0005-0000-0000-0000F53A0000}"/>
    <cellStyle name="Millares 6 2 2 3 2 5" xfId="6794" xr:uid="{00000000-0005-0000-0000-0000F63A0000}"/>
    <cellStyle name="Millares 6 2 2 3 2 5 2" xfId="13372" xr:uid="{00000000-0005-0000-0000-0000F73A0000}"/>
    <cellStyle name="Millares 6 2 2 3 2 5 3" xfId="20059" xr:uid="{00000000-0005-0000-0000-0000F83A0000}"/>
    <cellStyle name="Millares 6 2 2 3 2 6" xfId="10050" xr:uid="{00000000-0005-0000-0000-0000F93A0000}"/>
    <cellStyle name="Millares 6 2 2 3 2 7" xfId="16831" xr:uid="{00000000-0005-0000-0000-0000FA3A0000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3" xfId="21420" xr:uid="{00000000-0005-0000-0000-0000FF3A0000}"/>
    <cellStyle name="Millares 6 2 2 3 3 2 3" xfId="11473" xr:uid="{00000000-0005-0000-0000-0000003B0000}"/>
    <cellStyle name="Millares 6 2 2 3 3 2 4" xfId="18192" xr:uid="{00000000-0005-0000-0000-0000013B0000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3" xfId="22651" xr:uid="{00000000-0005-0000-0000-0000053B0000}"/>
    <cellStyle name="Millares 6 2 2 3 3 3 3" xfId="12736" xr:uid="{00000000-0005-0000-0000-0000063B0000}"/>
    <cellStyle name="Millares 6 2 2 3 3 3 4" xfId="19423" xr:uid="{00000000-0005-0000-0000-0000073B0000}"/>
    <cellStyle name="Millares 6 2 2 3 3 4" xfId="6989" xr:uid="{00000000-0005-0000-0000-0000083B0000}"/>
    <cellStyle name="Millares 6 2 2 3 3 4 2" xfId="13567" xr:uid="{00000000-0005-0000-0000-0000093B0000}"/>
    <cellStyle name="Millares 6 2 2 3 3 4 3" xfId="20254" xr:uid="{00000000-0005-0000-0000-00000A3B0000}"/>
    <cellStyle name="Millares 6 2 2 3 3 5" xfId="10250" xr:uid="{00000000-0005-0000-0000-00000B3B0000}"/>
    <cellStyle name="Millares 6 2 2 3 3 6" xfId="17026" xr:uid="{00000000-0005-0000-0000-00000C3B0000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3" xfId="20658" xr:uid="{00000000-0005-0000-0000-0000103B0000}"/>
    <cellStyle name="Millares 6 2 2 3 4 3" xfId="10655" xr:uid="{00000000-0005-0000-0000-0000113B0000}"/>
    <cellStyle name="Millares 6 2 2 3 4 4" xfId="17430" xr:uid="{00000000-0005-0000-0000-0000123B0000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3" xfId="21889" xr:uid="{00000000-0005-0000-0000-0000163B0000}"/>
    <cellStyle name="Millares 6 2 2 3 5 3" xfId="11974" xr:uid="{00000000-0005-0000-0000-0000173B0000}"/>
    <cellStyle name="Millares 6 2 2 3 5 4" xfId="18661" xr:uid="{00000000-0005-0000-0000-0000183B0000}"/>
    <cellStyle name="Millares 6 2 2 3 6" xfId="6601" xr:uid="{00000000-0005-0000-0000-0000193B0000}"/>
    <cellStyle name="Millares 6 2 2 3 6 2" xfId="13179" xr:uid="{00000000-0005-0000-0000-00001A3B0000}"/>
    <cellStyle name="Millares 6 2 2 3 6 3" xfId="19866" xr:uid="{00000000-0005-0000-0000-00001B3B0000}"/>
    <cellStyle name="Millares 6 2 2 3 7" xfId="9841" xr:uid="{00000000-0005-0000-0000-00001C3B0000}"/>
    <cellStyle name="Millares 6 2 2 3 8" xfId="16638" xr:uid="{00000000-0005-0000-0000-00001D3B0000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3" xfId="21171" xr:uid="{00000000-0005-0000-0000-0000233B0000}"/>
    <cellStyle name="Millares 6 2 2 4 2 2 3" xfId="11193" xr:uid="{00000000-0005-0000-0000-0000243B0000}"/>
    <cellStyle name="Millares 6 2 2 4 2 2 4" xfId="17943" xr:uid="{00000000-0005-0000-0000-0000253B0000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3" xfId="22402" xr:uid="{00000000-0005-0000-0000-0000293B0000}"/>
    <cellStyle name="Millares 6 2 2 4 2 3 3" xfId="12487" xr:uid="{00000000-0005-0000-0000-00002A3B0000}"/>
    <cellStyle name="Millares 6 2 2 4 2 3 4" xfId="19174" xr:uid="{00000000-0005-0000-0000-00002B3B0000}"/>
    <cellStyle name="Millares 6 2 2 4 2 4" xfId="7089" xr:uid="{00000000-0005-0000-0000-00002C3B0000}"/>
    <cellStyle name="Millares 6 2 2 4 2 4 2" xfId="13667" xr:uid="{00000000-0005-0000-0000-00002D3B0000}"/>
    <cellStyle name="Millares 6 2 2 4 2 4 3" xfId="20354" xr:uid="{00000000-0005-0000-0000-00002E3B0000}"/>
    <cellStyle name="Millares 6 2 2 4 2 5" xfId="10350" xr:uid="{00000000-0005-0000-0000-00002F3B0000}"/>
    <cellStyle name="Millares 6 2 2 4 2 6" xfId="17126" xr:uid="{00000000-0005-0000-0000-0000303B0000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3" xfId="22802" xr:uid="{00000000-0005-0000-0000-0000353B0000}"/>
    <cellStyle name="Millares 6 2 2 4 3 2 3" xfId="12887" xr:uid="{00000000-0005-0000-0000-0000363B0000}"/>
    <cellStyle name="Millares 6 2 2 4 3 2 4" xfId="19574" xr:uid="{00000000-0005-0000-0000-0000373B0000}"/>
    <cellStyle name="Millares 6 2 2 4 3 3" xfId="8306" xr:uid="{00000000-0005-0000-0000-0000383B0000}"/>
    <cellStyle name="Millares 6 2 2 4 3 3 2" xfId="14884" xr:uid="{00000000-0005-0000-0000-0000393B0000}"/>
    <cellStyle name="Millares 6 2 2 4 3 3 3" xfId="21571" xr:uid="{00000000-0005-0000-0000-00003A3B0000}"/>
    <cellStyle name="Millares 6 2 2 4 3 4" xfId="11640" xr:uid="{00000000-0005-0000-0000-00003B3B0000}"/>
    <cellStyle name="Millares 6 2 2 4 3 5" xfId="18343" xr:uid="{00000000-0005-0000-0000-00003C3B0000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3" xfId="20775" xr:uid="{00000000-0005-0000-0000-0000403B0000}"/>
    <cellStyle name="Millares 6 2 2 4 4 3" xfId="10772" xr:uid="{00000000-0005-0000-0000-0000413B0000}"/>
    <cellStyle name="Millares 6 2 2 4 4 4" xfId="17547" xr:uid="{00000000-0005-0000-0000-0000423B0000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3" xfId="22006" xr:uid="{00000000-0005-0000-0000-0000463B0000}"/>
    <cellStyle name="Millares 6 2 2 4 5 3" xfId="12091" xr:uid="{00000000-0005-0000-0000-0000473B0000}"/>
    <cellStyle name="Millares 6 2 2 4 5 4" xfId="18778" xr:uid="{00000000-0005-0000-0000-0000483B0000}"/>
    <cellStyle name="Millares 6 2 2 4 6" xfId="6701" xr:uid="{00000000-0005-0000-0000-0000493B0000}"/>
    <cellStyle name="Millares 6 2 2 4 6 2" xfId="13279" xr:uid="{00000000-0005-0000-0000-00004A3B0000}"/>
    <cellStyle name="Millares 6 2 2 4 6 3" xfId="19966" xr:uid="{00000000-0005-0000-0000-00004B3B0000}"/>
    <cellStyle name="Millares 6 2 2 4 7" xfId="9949" xr:uid="{00000000-0005-0000-0000-00004C3B0000}"/>
    <cellStyle name="Millares 6 2 2 4 8" xfId="16738" xr:uid="{00000000-0005-0000-0000-00004D3B0000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3" xfId="22467" xr:uid="{00000000-0005-0000-0000-0000533B0000}"/>
    <cellStyle name="Millares 6 2 2 5 2 2 3" xfId="12552" xr:uid="{00000000-0005-0000-0000-0000543B0000}"/>
    <cellStyle name="Millares 6 2 2 5 2 2 4" xfId="19239" xr:uid="{00000000-0005-0000-0000-0000553B0000}"/>
    <cellStyle name="Millares 6 2 2 5 2 3" xfId="7971" xr:uid="{00000000-0005-0000-0000-0000563B0000}"/>
    <cellStyle name="Millares 6 2 2 5 2 3 2" xfId="14549" xr:uid="{00000000-0005-0000-0000-0000573B0000}"/>
    <cellStyle name="Millares 6 2 2 5 2 3 3" xfId="21236" xr:uid="{00000000-0005-0000-0000-0000583B0000}"/>
    <cellStyle name="Millares 6 2 2 5 2 4" xfId="11267" xr:uid="{00000000-0005-0000-0000-0000593B0000}"/>
    <cellStyle name="Millares 6 2 2 5 2 5" xfId="18008" xr:uid="{00000000-0005-0000-0000-00005A3B0000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3" xfId="20840" xr:uid="{00000000-0005-0000-0000-00005E3B0000}"/>
    <cellStyle name="Millares 6 2 2 5 3 3" xfId="10838" xr:uid="{00000000-0005-0000-0000-00005F3B0000}"/>
    <cellStyle name="Millares 6 2 2 5 3 4" xfId="17612" xr:uid="{00000000-0005-0000-0000-0000603B0000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3" xfId="22071" xr:uid="{00000000-0005-0000-0000-0000643B0000}"/>
    <cellStyle name="Millares 6 2 2 5 4 3" xfId="12156" xr:uid="{00000000-0005-0000-0000-0000653B0000}"/>
    <cellStyle name="Millares 6 2 2 5 4 4" xfId="18843" xr:uid="{00000000-0005-0000-0000-0000663B0000}"/>
    <cellStyle name="Millares 6 2 2 5 5" xfId="6896" xr:uid="{00000000-0005-0000-0000-0000673B0000}"/>
    <cellStyle name="Millares 6 2 2 5 5 2" xfId="13474" xr:uid="{00000000-0005-0000-0000-0000683B0000}"/>
    <cellStyle name="Millares 6 2 2 5 5 3" xfId="20161" xr:uid="{00000000-0005-0000-0000-0000693B0000}"/>
    <cellStyle name="Millares 6 2 2 5 6" xfId="10157" xr:uid="{00000000-0005-0000-0000-00006A3B0000}"/>
    <cellStyle name="Millares 6 2 2 5 7" xfId="16933" xr:uid="{00000000-0005-0000-0000-00006B3B0000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3" xfId="22179" xr:uid="{00000000-0005-0000-0000-0000703B0000}"/>
    <cellStyle name="Millares 6 2 2 6 2 3" xfId="12264" xr:uid="{00000000-0005-0000-0000-0000713B0000}"/>
    <cellStyle name="Millares 6 2 2 6 2 4" xfId="18951" xr:uid="{00000000-0005-0000-0000-0000723B0000}"/>
    <cellStyle name="Millares 6 2 2 6 3" xfId="7683" xr:uid="{00000000-0005-0000-0000-0000733B0000}"/>
    <cellStyle name="Millares 6 2 2 6 3 2" xfId="14261" xr:uid="{00000000-0005-0000-0000-0000743B0000}"/>
    <cellStyle name="Millares 6 2 2 6 3 3" xfId="20948" xr:uid="{00000000-0005-0000-0000-0000753B0000}"/>
    <cellStyle name="Millares 6 2 2 6 4" xfId="10956" xr:uid="{00000000-0005-0000-0000-0000763B0000}"/>
    <cellStyle name="Millares 6 2 2 6 5" xfId="17720" xr:uid="{00000000-0005-0000-0000-0000773B000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3" xfId="22559" xr:uid="{00000000-0005-0000-0000-00007C3B0000}"/>
    <cellStyle name="Millares 6 2 2 7 2 3" xfId="12644" xr:uid="{00000000-0005-0000-0000-00007D3B0000}"/>
    <cellStyle name="Millares 6 2 2 7 2 4" xfId="19331" xr:uid="{00000000-0005-0000-0000-00007E3B0000}"/>
    <cellStyle name="Millares 6 2 2 7 3" xfId="8063" xr:uid="{00000000-0005-0000-0000-00007F3B0000}"/>
    <cellStyle name="Millares 6 2 2 7 3 2" xfId="14641" xr:uid="{00000000-0005-0000-0000-0000803B0000}"/>
    <cellStyle name="Millares 6 2 2 7 3 3" xfId="21328" xr:uid="{00000000-0005-0000-0000-0000813B0000}"/>
    <cellStyle name="Millares 6 2 2 7 4" xfId="11365" xr:uid="{00000000-0005-0000-0000-0000823B0000}"/>
    <cellStyle name="Millares 6 2 2 7 5" xfId="18100" xr:uid="{00000000-0005-0000-0000-0000833B000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3" xfId="20552" xr:uid="{00000000-0005-0000-0000-0000873B0000}"/>
    <cellStyle name="Millares 6 2 2 8 3" xfId="10549" xr:uid="{00000000-0005-0000-0000-0000883B0000}"/>
    <cellStyle name="Millares 6 2 2 8 4" xfId="17324" xr:uid="{00000000-0005-0000-0000-0000893B0000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3" xfId="21783" xr:uid="{00000000-0005-0000-0000-00008D3B0000}"/>
    <cellStyle name="Millares 6 2 2 9 3" xfId="11868" xr:uid="{00000000-0005-0000-0000-00008E3B0000}"/>
    <cellStyle name="Millares 6 2 2 9 4" xfId="18555" xr:uid="{00000000-0005-0000-0000-00008F3B0000}"/>
    <cellStyle name="Millares 6 2 3" xfId="293" xr:uid="{00000000-0005-0000-0000-0000903B0000}"/>
    <cellStyle name="Millares 6 2 3 10" xfId="9768" xr:uid="{00000000-0005-0000-0000-0000913B0000}"/>
    <cellStyle name="Millares 6 2 3 11" xfId="16569" xr:uid="{00000000-0005-0000-0000-0000923B0000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3" xfId="21687" xr:uid="{00000000-0005-0000-0000-0000993B0000}"/>
    <cellStyle name="Millares 6 2 3 2 2 2 2 3" xfId="11770" xr:uid="{00000000-0005-0000-0000-00009A3B0000}"/>
    <cellStyle name="Millares 6 2 3 2 2 2 2 4" xfId="18459" xr:uid="{00000000-0005-0000-0000-00009B3B0000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3" xfId="22918" xr:uid="{00000000-0005-0000-0000-00009F3B0000}"/>
    <cellStyle name="Millares 6 2 3 2 2 2 3 3" xfId="13003" xr:uid="{00000000-0005-0000-0000-0000A03B0000}"/>
    <cellStyle name="Millares 6 2 3 2 2 2 3 4" xfId="19690" xr:uid="{00000000-0005-0000-0000-0000A13B0000}"/>
    <cellStyle name="Millares 6 2 3 2 2 2 4" xfId="7205" xr:uid="{00000000-0005-0000-0000-0000A23B0000}"/>
    <cellStyle name="Millares 6 2 3 2 2 2 4 2" xfId="13783" xr:uid="{00000000-0005-0000-0000-0000A33B0000}"/>
    <cellStyle name="Millares 6 2 3 2 2 2 4 3" xfId="20470" xr:uid="{00000000-0005-0000-0000-0000A43B0000}"/>
    <cellStyle name="Millares 6 2 3 2 2 2 5" xfId="10466" xr:uid="{00000000-0005-0000-0000-0000A53B0000}"/>
    <cellStyle name="Millares 6 2 3 2 2 2 6" xfId="17242" xr:uid="{00000000-0005-0000-0000-0000A63B0000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3" xfId="21077" xr:uid="{00000000-0005-0000-0000-0000AA3B0000}"/>
    <cellStyle name="Millares 6 2 3 2 2 3 3" xfId="11094" xr:uid="{00000000-0005-0000-0000-0000AB3B0000}"/>
    <cellStyle name="Millares 6 2 3 2 2 3 4" xfId="17849" xr:uid="{00000000-0005-0000-0000-0000AC3B0000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3" xfId="22308" xr:uid="{00000000-0005-0000-0000-0000B03B0000}"/>
    <cellStyle name="Millares 6 2 3 2 2 4 3" xfId="12393" xr:uid="{00000000-0005-0000-0000-0000B13B0000}"/>
    <cellStyle name="Millares 6 2 3 2 2 4 4" xfId="19080" xr:uid="{00000000-0005-0000-0000-0000B23B0000}"/>
    <cellStyle name="Millares 6 2 3 2 2 5" xfId="6817" xr:uid="{00000000-0005-0000-0000-0000B33B0000}"/>
    <cellStyle name="Millares 6 2 3 2 2 5 2" xfId="13395" xr:uid="{00000000-0005-0000-0000-0000B43B0000}"/>
    <cellStyle name="Millares 6 2 3 2 2 5 3" xfId="20082" xr:uid="{00000000-0005-0000-0000-0000B53B0000}"/>
    <cellStyle name="Millares 6 2 3 2 2 6" xfId="10075" xr:uid="{00000000-0005-0000-0000-0000B63B0000}"/>
    <cellStyle name="Millares 6 2 3 2 2 7" xfId="16854" xr:uid="{00000000-0005-0000-0000-0000B73B0000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3" xfId="21443" xr:uid="{00000000-0005-0000-0000-0000BC3B0000}"/>
    <cellStyle name="Millares 6 2 3 2 3 2 3" xfId="11503" xr:uid="{00000000-0005-0000-0000-0000BD3B0000}"/>
    <cellStyle name="Millares 6 2 3 2 3 2 4" xfId="18215" xr:uid="{00000000-0005-0000-0000-0000BE3B0000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3" xfId="22674" xr:uid="{00000000-0005-0000-0000-0000C23B0000}"/>
    <cellStyle name="Millares 6 2 3 2 3 3 3" xfId="12759" xr:uid="{00000000-0005-0000-0000-0000C33B0000}"/>
    <cellStyle name="Millares 6 2 3 2 3 3 4" xfId="19446" xr:uid="{00000000-0005-0000-0000-0000C43B0000}"/>
    <cellStyle name="Millares 6 2 3 2 3 4" xfId="7012" xr:uid="{00000000-0005-0000-0000-0000C53B0000}"/>
    <cellStyle name="Millares 6 2 3 2 3 4 2" xfId="13590" xr:uid="{00000000-0005-0000-0000-0000C63B0000}"/>
    <cellStyle name="Millares 6 2 3 2 3 4 3" xfId="20277" xr:uid="{00000000-0005-0000-0000-0000C73B0000}"/>
    <cellStyle name="Millares 6 2 3 2 3 5" xfId="10273" xr:uid="{00000000-0005-0000-0000-0000C83B0000}"/>
    <cellStyle name="Millares 6 2 3 2 3 6" xfId="17049" xr:uid="{00000000-0005-0000-0000-0000C93B0000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3" xfId="20681" xr:uid="{00000000-0005-0000-0000-0000CD3B0000}"/>
    <cellStyle name="Millares 6 2 3 2 4 3" xfId="10678" xr:uid="{00000000-0005-0000-0000-0000CE3B0000}"/>
    <cellStyle name="Millares 6 2 3 2 4 4" xfId="17453" xr:uid="{00000000-0005-0000-0000-0000CF3B0000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3" xfId="21912" xr:uid="{00000000-0005-0000-0000-0000D33B0000}"/>
    <cellStyle name="Millares 6 2 3 2 5 3" xfId="11997" xr:uid="{00000000-0005-0000-0000-0000D43B0000}"/>
    <cellStyle name="Millares 6 2 3 2 5 4" xfId="18684" xr:uid="{00000000-0005-0000-0000-0000D53B0000}"/>
    <cellStyle name="Millares 6 2 3 2 6" xfId="6624" xr:uid="{00000000-0005-0000-0000-0000D63B0000}"/>
    <cellStyle name="Millares 6 2 3 2 6 2" xfId="13202" xr:uid="{00000000-0005-0000-0000-0000D73B0000}"/>
    <cellStyle name="Millares 6 2 3 2 6 3" xfId="19889" xr:uid="{00000000-0005-0000-0000-0000D83B0000}"/>
    <cellStyle name="Millares 6 2 3 2 7" xfId="9866" xr:uid="{00000000-0005-0000-0000-0000D93B0000}"/>
    <cellStyle name="Millares 6 2 3 2 8" xfId="16661" xr:uid="{00000000-0005-0000-0000-0000DA3B0000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3" xfId="21173" xr:uid="{00000000-0005-0000-0000-0000E03B0000}"/>
    <cellStyle name="Millares 6 2 3 3 2 2 3" xfId="11195" xr:uid="{00000000-0005-0000-0000-0000E13B0000}"/>
    <cellStyle name="Millares 6 2 3 3 2 2 4" xfId="17945" xr:uid="{00000000-0005-0000-0000-0000E23B0000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3" xfId="22404" xr:uid="{00000000-0005-0000-0000-0000E63B0000}"/>
    <cellStyle name="Millares 6 2 3 3 2 3 3" xfId="12489" xr:uid="{00000000-0005-0000-0000-0000E73B0000}"/>
    <cellStyle name="Millares 6 2 3 3 2 3 4" xfId="19176" xr:uid="{00000000-0005-0000-0000-0000E83B0000}"/>
    <cellStyle name="Millares 6 2 3 3 2 4" xfId="7113" xr:uid="{00000000-0005-0000-0000-0000E93B0000}"/>
    <cellStyle name="Millares 6 2 3 3 2 4 2" xfId="13691" xr:uid="{00000000-0005-0000-0000-0000EA3B0000}"/>
    <cellStyle name="Millares 6 2 3 3 2 4 3" xfId="20378" xr:uid="{00000000-0005-0000-0000-0000EB3B0000}"/>
    <cellStyle name="Millares 6 2 3 3 2 5" xfId="10374" xr:uid="{00000000-0005-0000-0000-0000EC3B0000}"/>
    <cellStyle name="Millares 6 2 3 3 2 6" xfId="17150" xr:uid="{00000000-0005-0000-0000-0000ED3B0000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3" xfId="22826" xr:uid="{00000000-0005-0000-0000-0000F23B0000}"/>
    <cellStyle name="Millares 6 2 3 3 3 2 3" xfId="12911" xr:uid="{00000000-0005-0000-0000-0000F33B0000}"/>
    <cellStyle name="Millares 6 2 3 3 3 2 4" xfId="19598" xr:uid="{00000000-0005-0000-0000-0000F43B0000}"/>
    <cellStyle name="Millares 6 2 3 3 3 3" xfId="8330" xr:uid="{00000000-0005-0000-0000-0000F53B0000}"/>
    <cellStyle name="Millares 6 2 3 3 3 3 2" xfId="14908" xr:uid="{00000000-0005-0000-0000-0000F63B0000}"/>
    <cellStyle name="Millares 6 2 3 3 3 3 3" xfId="21595" xr:uid="{00000000-0005-0000-0000-0000F73B0000}"/>
    <cellStyle name="Millares 6 2 3 3 3 4" xfId="11665" xr:uid="{00000000-0005-0000-0000-0000F83B0000}"/>
    <cellStyle name="Millares 6 2 3 3 3 5" xfId="18367" xr:uid="{00000000-0005-0000-0000-0000F93B0000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3" xfId="20777" xr:uid="{00000000-0005-0000-0000-0000FD3B0000}"/>
    <cellStyle name="Millares 6 2 3 3 4 3" xfId="10774" xr:uid="{00000000-0005-0000-0000-0000FE3B0000}"/>
    <cellStyle name="Millares 6 2 3 3 4 4" xfId="17549" xr:uid="{00000000-0005-0000-0000-0000FF3B0000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3" xfId="22008" xr:uid="{00000000-0005-0000-0000-0000033C0000}"/>
    <cellStyle name="Millares 6 2 3 3 5 3" xfId="12093" xr:uid="{00000000-0005-0000-0000-0000043C0000}"/>
    <cellStyle name="Millares 6 2 3 3 5 4" xfId="18780" xr:uid="{00000000-0005-0000-0000-0000053C0000}"/>
    <cellStyle name="Millares 6 2 3 3 6" xfId="6725" xr:uid="{00000000-0005-0000-0000-0000063C0000}"/>
    <cellStyle name="Millares 6 2 3 3 6 2" xfId="13303" xr:uid="{00000000-0005-0000-0000-0000073C0000}"/>
    <cellStyle name="Millares 6 2 3 3 6 3" xfId="19990" xr:uid="{00000000-0005-0000-0000-0000083C0000}"/>
    <cellStyle name="Millares 6 2 3 3 7" xfId="9974" xr:uid="{00000000-0005-0000-0000-0000093C0000}"/>
    <cellStyle name="Millares 6 2 3 3 8" xfId="16762" xr:uid="{00000000-0005-0000-0000-00000A3C0000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3" xfId="22490" xr:uid="{00000000-0005-0000-0000-0000103C0000}"/>
    <cellStyle name="Millares 6 2 3 4 2 2 3" xfId="12575" xr:uid="{00000000-0005-0000-0000-0000113C0000}"/>
    <cellStyle name="Millares 6 2 3 4 2 2 4" xfId="19262" xr:uid="{00000000-0005-0000-0000-0000123C0000}"/>
    <cellStyle name="Millares 6 2 3 4 2 3" xfId="7994" xr:uid="{00000000-0005-0000-0000-0000133C0000}"/>
    <cellStyle name="Millares 6 2 3 4 2 3 2" xfId="14572" xr:uid="{00000000-0005-0000-0000-0000143C0000}"/>
    <cellStyle name="Millares 6 2 3 4 2 3 3" xfId="21259" xr:uid="{00000000-0005-0000-0000-0000153C0000}"/>
    <cellStyle name="Millares 6 2 3 4 2 4" xfId="11291" xr:uid="{00000000-0005-0000-0000-0000163C0000}"/>
    <cellStyle name="Millares 6 2 3 4 2 5" xfId="18031" xr:uid="{00000000-0005-0000-0000-0000173C0000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3" xfId="20863" xr:uid="{00000000-0005-0000-0000-00001B3C0000}"/>
    <cellStyle name="Millares 6 2 3 4 3 3" xfId="10865" xr:uid="{00000000-0005-0000-0000-00001C3C0000}"/>
    <cellStyle name="Millares 6 2 3 4 3 4" xfId="17635" xr:uid="{00000000-0005-0000-0000-00001D3C0000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3" xfId="22094" xr:uid="{00000000-0005-0000-0000-0000213C0000}"/>
    <cellStyle name="Millares 6 2 3 4 4 3" xfId="12179" xr:uid="{00000000-0005-0000-0000-0000223C0000}"/>
    <cellStyle name="Millares 6 2 3 4 4 4" xfId="18866" xr:uid="{00000000-0005-0000-0000-0000233C0000}"/>
    <cellStyle name="Millares 6 2 3 4 5" xfId="6920" xr:uid="{00000000-0005-0000-0000-0000243C0000}"/>
    <cellStyle name="Millares 6 2 3 4 5 2" xfId="13498" xr:uid="{00000000-0005-0000-0000-0000253C0000}"/>
    <cellStyle name="Millares 6 2 3 4 5 3" xfId="20185" xr:uid="{00000000-0005-0000-0000-0000263C0000}"/>
    <cellStyle name="Millares 6 2 3 4 6" xfId="10181" xr:uid="{00000000-0005-0000-0000-0000273C0000}"/>
    <cellStyle name="Millares 6 2 3 4 7" xfId="16957" xr:uid="{00000000-0005-0000-0000-0000283C0000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3" xfId="22202" xr:uid="{00000000-0005-0000-0000-00002D3C0000}"/>
    <cellStyle name="Millares 6 2 3 5 2 3" xfId="12287" xr:uid="{00000000-0005-0000-0000-00002E3C0000}"/>
    <cellStyle name="Millares 6 2 3 5 2 4" xfId="18974" xr:uid="{00000000-0005-0000-0000-00002F3C0000}"/>
    <cellStyle name="Millares 6 2 3 5 3" xfId="7706" xr:uid="{00000000-0005-0000-0000-0000303C0000}"/>
    <cellStyle name="Millares 6 2 3 5 3 2" xfId="14284" xr:uid="{00000000-0005-0000-0000-0000313C0000}"/>
    <cellStyle name="Millares 6 2 3 5 3 3" xfId="20971" xr:uid="{00000000-0005-0000-0000-0000323C0000}"/>
    <cellStyle name="Millares 6 2 3 5 4" xfId="10982" xr:uid="{00000000-0005-0000-0000-0000333C0000}"/>
    <cellStyle name="Millares 6 2 3 5 5" xfId="17743" xr:uid="{00000000-0005-0000-0000-0000343C0000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3" xfId="22582" xr:uid="{00000000-0005-0000-0000-0000393C0000}"/>
    <cellStyle name="Millares 6 2 3 6 2 3" xfId="12667" xr:uid="{00000000-0005-0000-0000-00003A3C0000}"/>
    <cellStyle name="Millares 6 2 3 6 2 4" xfId="19354" xr:uid="{00000000-0005-0000-0000-00003B3C0000}"/>
    <cellStyle name="Millares 6 2 3 6 3" xfId="8086" xr:uid="{00000000-0005-0000-0000-00003C3C0000}"/>
    <cellStyle name="Millares 6 2 3 6 3 2" xfId="14664" xr:uid="{00000000-0005-0000-0000-00003D3C0000}"/>
    <cellStyle name="Millares 6 2 3 6 3 3" xfId="21351" xr:uid="{00000000-0005-0000-0000-00003E3C0000}"/>
    <cellStyle name="Millares 6 2 3 6 4" xfId="11392" xr:uid="{00000000-0005-0000-0000-00003F3C0000}"/>
    <cellStyle name="Millares 6 2 3 6 5" xfId="18123" xr:uid="{00000000-0005-0000-0000-0000403C0000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3" xfId="20575" xr:uid="{00000000-0005-0000-0000-0000443C0000}"/>
    <cellStyle name="Millares 6 2 3 7 3" xfId="10572" xr:uid="{00000000-0005-0000-0000-0000453C0000}"/>
    <cellStyle name="Millares 6 2 3 7 4" xfId="17347" xr:uid="{00000000-0005-0000-0000-0000463C0000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3" xfId="21806" xr:uid="{00000000-0005-0000-0000-00004A3C0000}"/>
    <cellStyle name="Millares 6 2 3 8 3" xfId="11891" xr:uid="{00000000-0005-0000-0000-00004B3C0000}"/>
    <cellStyle name="Millares 6 2 3 8 4" xfId="18578" xr:uid="{00000000-0005-0000-0000-00004C3C0000}"/>
    <cellStyle name="Millares 6 2 3 9" xfId="6532" xr:uid="{00000000-0005-0000-0000-00004D3C0000}"/>
    <cellStyle name="Millares 6 2 3 9 2" xfId="13110" xr:uid="{00000000-0005-0000-0000-00004E3C0000}"/>
    <cellStyle name="Millares 6 2 3 9 3" xfId="19797" xr:uid="{00000000-0005-0000-0000-00004F3C0000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3" xfId="21642" xr:uid="{00000000-0005-0000-0000-0000563C0000}"/>
    <cellStyle name="Millares 6 2 4 2 2 2 3" xfId="11719" xr:uid="{00000000-0005-0000-0000-0000573C0000}"/>
    <cellStyle name="Millares 6 2 4 2 2 2 4" xfId="18414" xr:uid="{00000000-0005-0000-0000-0000583C0000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3" xfId="22873" xr:uid="{00000000-0005-0000-0000-00005C3C0000}"/>
    <cellStyle name="Millares 6 2 4 2 2 3 3" xfId="12958" xr:uid="{00000000-0005-0000-0000-00005D3C0000}"/>
    <cellStyle name="Millares 6 2 4 2 2 3 4" xfId="19645" xr:uid="{00000000-0005-0000-0000-00005E3C0000}"/>
    <cellStyle name="Millares 6 2 4 2 2 4" xfId="7160" xr:uid="{00000000-0005-0000-0000-00005F3C0000}"/>
    <cellStyle name="Millares 6 2 4 2 2 4 2" xfId="13738" xr:uid="{00000000-0005-0000-0000-0000603C0000}"/>
    <cellStyle name="Millares 6 2 4 2 2 4 3" xfId="20425" xr:uid="{00000000-0005-0000-0000-0000613C0000}"/>
    <cellStyle name="Millares 6 2 4 2 2 5" xfId="10421" xr:uid="{00000000-0005-0000-0000-0000623C0000}"/>
    <cellStyle name="Millares 6 2 4 2 2 6" xfId="17197" xr:uid="{00000000-0005-0000-0000-0000633C0000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3" xfId="21031" xr:uid="{00000000-0005-0000-0000-0000673C0000}"/>
    <cellStyle name="Millares 6 2 4 2 3 3" xfId="11047" xr:uid="{00000000-0005-0000-0000-0000683C0000}"/>
    <cellStyle name="Millares 6 2 4 2 3 4" xfId="17803" xr:uid="{00000000-0005-0000-0000-0000693C000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3" xfId="22262" xr:uid="{00000000-0005-0000-0000-00006D3C0000}"/>
    <cellStyle name="Millares 6 2 4 2 4 3" xfId="12347" xr:uid="{00000000-0005-0000-0000-00006E3C0000}"/>
    <cellStyle name="Millares 6 2 4 2 4 4" xfId="19034" xr:uid="{00000000-0005-0000-0000-00006F3C0000}"/>
    <cellStyle name="Millares 6 2 4 2 5" xfId="6772" xr:uid="{00000000-0005-0000-0000-0000703C0000}"/>
    <cellStyle name="Millares 6 2 4 2 5 2" xfId="13350" xr:uid="{00000000-0005-0000-0000-0000713C0000}"/>
    <cellStyle name="Millares 6 2 4 2 5 3" xfId="20037" xr:uid="{00000000-0005-0000-0000-0000723C0000}"/>
    <cellStyle name="Millares 6 2 4 2 6" xfId="10027" xr:uid="{00000000-0005-0000-0000-0000733C0000}"/>
    <cellStyle name="Millares 6 2 4 2 7" xfId="16809" xr:uid="{00000000-0005-0000-0000-0000743C0000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3" xfId="21398" xr:uid="{00000000-0005-0000-0000-0000793C0000}"/>
    <cellStyle name="Millares 6 2 4 3 2 3" xfId="11446" xr:uid="{00000000-0005-0000-0000-00007A3C0000}"/>
    <cellStyle name="Millares 6 2 4 3 2 4" xfId="18170" xr:uid="{00000000-0005-0000-0000-00007B3C0000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3" xfId="22629" xr:uid="{00000000-0005-0000-0000-00007F3C0000}"/>
    <cellStyle name="Millares 6 2 4 3 3 3" xfId="12714" xr:uid="{00000000-0005-0000-0000-0000803C0000}"/>
    <cellStyle name="Millares 6 2 4 3 3 4" xfId="19401" xr:uid="{00000000-0005-0000-0000-0000813C0000}"/>
    <cellStyle name="Millares 6 2 4 3 4" xfId="6967" xr:uid="{00000000-0005-0000-0000-0000823C0000}"/>
    <cellStyle name="Millares 6 2 4 3 4 2" xfId="13545" xr:uid="{00000000-0005-0000-0000-0000833C0000}"/>
    <cellStyle name="Millares 6 2 4 3 4 3" xfId="20232" xr:uid="{00000000-0005-0000-0000-0000843C0000}"/>
    <cellStyle name="Millares 6 2 4 3 5" xfId="10228" xr:uid="{00000000-0005-0000-0000-0000853C0000}"/>
    <cellStyle name="Millares 6 2 4 3 6" xfId="17004" xr:uid="{00000000-0005-0000-0000-0000863C0000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3" xfId="20635" xr:uid="{00000000-0005-0000-0000-00008A3C0000}"/>
    <cellStyle name="Millares 6 2 4 4 3" xfId="10632" xr:uid="{00000000-0005-0000-0000-00008B3C0000}"/>
    <cellStyle name="Millares 6 2 4 4 4" xfId="17407" xr:uid="{00000000-0005-0000-0000-00008C3C0000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3" xfId="21866" xr:uid="{00000000-0005-0000-0000-0000903C0000}"/>
    <cellStyle name="Millares 6 2 4 5 3" xfId="11951" xr:uid="{00000000-0005-0000-0000-0000913C0000}"/>
    <cellStyle name="Millares 6 2 4 5 4" xfId="18638" xr:uid="{00000000-0005-0000-0000-0000923C0000}"/>
    <cellStyle name="Millares 6 2 4 6" xfId="6579" xr:uid="{00000000-0005-0000-0000-0000933C0000}"/>
    <cellStyle name="Millares 6 2 4 6 2" xfId="13157" xr:uid="{00000000-0005-0000-0000-0000943C0000}"/>
    <cellStyle name="Millares 6 2 4 6 3" xfId="19844" xr:uid="{00000000-0005-0000-0000-0000953C0000}"/>
    <cellStyle name="Millares 6 2 4 7" xfId="9817" xr:uid="{00000000-0005-0000-0000-0000963C0000}"/>
    <cellStyle name="Millares 6 2 4 8" xfId="16616" xr:uid="{00000000-0005-0000-0000-0000973C0000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3" xfId="21170" xr:uid="{00000000-0005-0000-0000-00009D3C0000}"/>
    <cellStyle name="Millares 6 2 5 2 2 3" xfId="11192" xr:uid="{00000000-0005-0000-0000-00009E3C0000}"/>
    <cellStyle name="Millares 6 2 5 2 2 4" xfId="17942" xr:uid="{00000000-0005-0000-0000-00009F3C0000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3" xfId="22401" xr:uid="{00000000-0005-0000-0000-0000A33C0000}"/>
    <cellStyle name="Millares 6 2 5 2 3 3" xfId="12486" xr:uid="{00000000-0005-0000-0000-0000A43C0000}"/>
    <cellStyle name="Millares 6 2 5 2 3 4" xfId="19173" xr:uid="{00000000-0005-0000-0000-0000A53C0000}"/>
    <cellStyle name="Millares 6 2 5 2 4" xfId="7066" xr:uid="{00000000-0005-0000-0000-0000A63C0000}"/>
    <cellStyle name="Millares 6 2 5 2 4 2" xfId="13644" xr:uid="{00000000-0005-0000-0000-0000A73C0000}"/>
    <cellStyle name="Millares 6 2 5 2 4 3" xfId="20331" xr:uid="{00000000-0005-0000-0000-0000A83C0000}"/>
    <cellStyle name="Millares 6 2 5 2 5" xfId="10327" xr:uid="{00000000-0005-0000-0000-0000A93C0000}"/>
    <cellStyle name="Millares 6 2 5 2 6" xfId="17103" xr:uid="{00000000-0005-0000-0000-0000AA3C0000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3" xfId="22779" xr:uid="{00000000-0005-0000-0000-0000AF3C0000}"/>
    <cellStyle name="Millares 6 2 5 3 2 3" xfId="12864" xr:uid="{00000000-0005-0000-0000-0000B03C0000}"/>
    <cellStyle name="Millares 6 2 5 3 2 4" xfId="19551" xr:uid="{00000000-0005-0000-0000-0000B13C0000}"/>
    <cellStyle name="Millares 6 2 5 3 3" xfId="8283" xr:uid="{00000000-0005-0000-0000-0000B23C0000}"/>
    <cellStyle name="Millares 6 2 5 3 3 2" xfId="14861" xr:uid="{00000000-0005-0000-0000-0000B33C0000}"/>
    <cellStyle name="Millares 6 2 5 3 3 3" xfId="21548" xr:uid="{00000000-0005-0000-0000-0000B43C0000}"/>
    <cellStyle name="Millares 6 2 5 3 4" xfId="11614" xr:uid="{00000000-0005-0000-0000-0000B53C0000}"/>
    <cellStyle name="Millares 6 2 5 3 5" xfId="18320" xr:uid="{00000000-0005-0000-0000-0000B63C0000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3" xfId="20774" xr:uid="{00000000-0005-0000-0000-0000BA3C0000}"/>
    <cellStyle name="Millares 6 2 5 4 3" xfId="10771" xr:uid="{00000000-0005-0000-0000-0000BB3C0000}"/>
    <cellStyle name="Millares 6 2 5 4 4" xfId="17546" xr:uid="{00000000-0005-0000-0000-0000BC3C000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3" xfId="22005" xr:uid="{00000000-0005-0000-0000-0000C03C0000}"/>
    <cellStyle name="Millares 6 2 5 5 3" xfId="12090" xr:uid="{00000000-0005-0000-0000-0000C13C0000}"/>
    <cellStyle name="Millares 6 2 5 5 4" xfId="18777" xr:uid="{00000000-0005-0000-0000-0000C23C0000}"/>
    <cellStyle name="Millares 6 2 5 6" xfId="6678" xr:uid="{00000000-0005-0000-0000-0000C33C0000}"/>
    <cellStyle name="Millares 6 2 5 6 2" xfId="13256" xr:uid="{00000000-0005-0000-0000-0000C43C0000}"/>
    <cellStyle name="Millares 6 2 5 6 3" xfId="19943" xr:uid="{00000000-0005-0000-0000-0000C53C0000}"/>
    <cellStyle name="Millares 6 2 5 7" xfId="9924" xr:uid="{00000000-0005-0000-0000-0000C63C0000}"/>
    <cellStyle name="Millares 6 2 5 8" xfId="16715" xr:uid="{00000000-0005-0000-0000-0000C73C000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3" xfId="22445" xr:uid="{00000000-0005-0000-0000-0000CD3C0000}"/>
    <cellStyle name="Millares 6 2 6 2 2 3" xfId="12530" xr:uid="{00000000-0005-0000-0000-0000CE3C0000}"/>
    <cellStyle name="Millares 6 2 6 2 2 4" xfId="19217" xr:uid="{00000000-0005-0000-0000-0000CF3C0000}"/>
    <cellStyle name="Millares 6 2 6 2 3" xfId="7949" xr:uid="{00000000-0005-0000-0000-0000D03C0000}"/>
    <cellStyle name="Millares 6 2 6 2 3 2" xfId="14527" xr:uid="{00000000-0005-0000-0000-0000D13C0000}"/>
    <cellStyle name="Millares 6 2 6 2 3 3" xfId="21214" xr:uid="{00000000-0005-0000-0000-0000D23C0000}"/>
    <cellStyle name="Millares 6 2 6 2 4" xfId="11242" xr:uid="{00000000-0005-0000-0000-0000D33C0000}"/>
    <cellStyle name="Millares 6 2 6 2 5" xfId="17986" xr:uid="{00000000-0005-0000-0000-0000D43C0000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3" xfId="20818" xr:uid="{00000000-0005-0000-0000-0000D83C0000}"/>
    <cellStyle name="Millares 6 2 6 3 3" xfId="10816" xr:uid="{00000000-0005-0000-0000-0000D93C0000}"/>
    <cellStyle name="Millares 6 2 6 3 4" xfId="17590" xr:uid="{00000000-0005-0000-0000-0000DA3C000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3" xfId="22049" xr:uid="{00000000-0005-0000-0000-0000DE3C0000}"/>
    <cellStyle name="Millares 6 2 6 4 3" xfId="12134" xr:uid="{00000000-0005-0000-0000-0000DF3C0000}"/>
    <cellStyle name="Millares 6 2 6 4 4" xfId="18821" xr:uid="{00000000-0005-0000-0000-0000E03C0000}"/>
    <cellStyle name="Millares 6 2 6 5" xfId="6873" xr:uid="{00000000-0005-0000-0000-0000E13C0000}"/>
    <cellStyle name="Millares 6 2 6 5 2" xfId="13451" xr:uid="{00000000-0005-0000-0000-0000E23C0000}"/>
    <cellStyle name="Millares 6 2 6 5 3" xfId="20138" xr:uid="{00000000-0005-0000-0000-0000E33C0000}"/>
    <cellStyle name="Millares 6 2 6 6" xfId="10134" xr:uid="{00000000-0005-0000-0000-0000E43C0000}"/>
    <cellStyle name="Millares 6 2 6 7" xfId="16910" xr:uid="{00000000-0005-0000-0000-0000E53C000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3" xfId="22156" xr:uid="{00000000-0005-0000-0000-0000EA3C0000}"/>
    <cellStyle name="Millares 6 2 7 2 3" xfId="12241" xr:uid="{00000000-0005-0000-0000-0000EB3C0000}"/>
    <cellStyle name="Millares 6 2 7 2 4" xfId="18928" xr:uid="{00000000-0005-0000-0000-0000EC3C0000}"/>
    <cellStyle name="Millares 6 2 7 3" xfId="7660" xr:uid="{00000000-0005-0000-0000-0000ED3C0000}"/>
    <cellStyle name="Millares 6 2 7 3 2" xfId="14238" xr:uid="{00000000-0005-0000-0000-0000EE3C0000}"/>
    <cellStyle name="Millares 6 2 7 3 3" xfId="20925" xr:uid="{00000000-0005-0000-0000-0000EF3C0000}"/>
    <cellStyle name="Millares 6 2 7 4" xfId="10932" xr:uid="{00000000-0005-0000-0000-0000F03C0000}"/>
    <cellStyle name="Millares 6 2 7 5" xfId="17697" xr:uid="{00000000-0005-0000-0000-0000F13C0000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3" xfId="22537" xr:uid="{00000000-0005-0000-0000-0000F63C0000}"/>
    <cellStyle name="Millares 6 2 8 2 3" xfId="12622" xr:uid="{00000000-0005-0000-0000-0000F73C0000}"/>
    <cellStyle name="Millares 6 2 8 2 4" xfId="19309" xr:uid="{00000000-0005-0000-0000-0000F83C0000}"/>
    <cellStyle name="Millares 6 2 8 3" xfId="8041" xr:uid="{00000000-0005-0000-0000-0000F93C0000}"/>
    <cellStyle name="Millares 6 2 8 3 2" xfId="14619" xr:uid="{00000000-0005-0000-0000-0000FA3C0000}"/>
    <cellStyle name="Millares 6 2 8 3 3" xfId="21306" xr:uid="{00000000-0005-0000-0000-0000FB3C0000}"/>
    <cellStyle name="Millares 6 2 8 4" xfId="11342" xr:uid="{00000000-0005-0000-0000-0000FC3C0000}"/>
    <cellStyle name="Millares 6 2 8 5" xfId="18078" xr:uid="{00000000-0005-0000-0000-0000FD3C0000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3" xfId="20529" xr:uid="{00000000-0005-0000-0000-0000013D0000}"/>
    <cellStyle name="Millares 6 2 9 3" xfId="10526" xr:uid="{00000000-0005-0000-0000-0000023D0000}"/>
    <cellStyle name="Millares 6 2 9 4" xfId="17301" xr:uid="{00000000-0005-0000-0000-0000033D0000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3" xfId="19763" xr:uid="{00000000-0005-0000-0000-0000073D0000}"/>
    <cellStyle name="Millares 6 3 11" xfId="9732" xr:uid="{00000000-0005-0000-0000-0000083D0000}"/>
    <cellStyle name="Millares 6 3 12" xfId="16535" xr:uid="{00000000-0005-0000-0000-0000093D0000}"/>
    <cellStyle name="Millares 6 3 2" xfId="339" xr:uid="{00000000-0005-0000-0000-00000A3D0000}"/>
    <cellStyle name="Millares 6 3 2 10" xfId="9781" xr:uid="{00000000-0005-0000-0000-00000B3D0000}"/>
    <cellStyle name="Millares 6 3 2 11" xfId="16581" xr:uid="{00000000-0005-0000-0000-00000C3D0000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3" xfId="21699" xr:uid="{00000000-0005-0000-0000-0000133D0000}"/>
    <cellStyle name="Millares 6 3 2 2 2 2 2 3" xfId="11783" xr:uid="{00000000-0005-0000-0000-0000143D0000}"/>
    <cellStyle name="Millares 6 3 2 2 2 2 2 4" xfId="18471" xr:uid="{00000000-0005-0000-0000-0000153D000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3" xfId="22930" xr:uid="{00000000-0005-0000-0000-0000193D0000}"/>
    <cellStyle name="Millares 6 3 2 2 2 2 3 3" xfId="13015" xr:uid="{00000000-0005-0000-0000-00001A3D0000}"/>
    <cellStyle name="Millares 6 3 2 2 2 2 3 4" xfId="19702" xr:uid="{00000000-0005-0000-0000-00001B3D0000}"/>
    <cellStyle name="Millares 6 3 2 2 2 2 4" xfId="7217" xr:uid="{00000000-0005-0000-0000-00001C3D0000}"/>
    <cellStyle name="Millares 6 3 2 2 2 2 4 2" xfId="13795" xr:uid="{00000000-0005-0000-0000-00001D3D0000}"/>
    <cellStyle name="Millares 6 3 2 2 2 2 4 3" xfId="20482" xr:uid="{00000000-0005-0000-0000-00001E3D0000}"/>
    <cellStyle name="Millares 6 3 2 2 2 2 5" xfId="10478" xr:uid="{00000000-0005-0000-0000-00001F3D0000}"/>
    <cellStyle name="Millares 6 3 2 2 2 2 6" xfId="17254" xr:uid="{00000000-0005-0000-0000-0000203D0000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3" xfId="21089" xr:uid="{00000000-0005-0000-0000-0000243D0000}"/>
    <cellStyle name="Millares 6 3 2 2 2 3 3" xfId="11106" xr:uid="{00000000-0005-0000-0000-0000253D0000}"/>
    <cellStyle name="Millares 6 3 2 2 2 3 4" xfId="17861" xr:uid="{00000000-0005-0000-0000-0000263D0000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3" xfId="22320" xr:uid="{00000000-0005-0000-0000-00002A3D0000}"/>
    <cellStyle name="Millares 6 3 2 2 2 4 3" xfId="12405" xr:uid="{00000000-0005-0000-0000-00002B3D0000}"/>
    <cellStyle name="Millares 6 3 2 2 2 4 4" xfId="19092" xr:uid="{00000000-0005-0000-0000-00002C3D0000}"/>
    <cellStyle name="Millares 6 3 2 2 2 5" xfId="6829" xr:uid="{00000000-0005-0000-0000-00002D3D0000}"/>
    <cellStyle name="Millares 6 3 2 2 2 5 2" xfId="13407" xr:uid="{00000000-0005-0000-0000-00002E3D0000}"/>
    <cellStyle name="Millares 6 3 2 2 2 5 3" xfId="20094" xr:uid="{00000000-0005-0000-0000-00002F3D0000}"/>
    <cellStyle name="Millares 6 3 2 2 2 6" xfId="10089" xr:uid="{00000000-0005-0000-0000-0000303D0000}"/>
    <cellStyle name="Millares 6 3 2 2 2 7" xfId="16866" xr:uid="{00000000-0005-0000-0000-0000313D0000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3" xfId="21455" xr:uid="{00000000-0005-0000-0000-0000363D0000}"/>
    <cellStyle name="Millares 6 3 2 2 3 2 3" xfId="11518" xr:uid="{00000000-0005-0000-0000-0000373D0000}"/>
    <cellStyle name="Millares 6 3 2 2 3 2 4" xfId="18227" xr:uid="{00000000-0005-0000-0000-0000383D0000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3" xfId="22686" xr:uid="{00000000-0005-0000-0000-00003C3D0000}"/>
    <cellStyle name="Millares 6 3 2 2 3 3 3" xfId="12771" xr:uid="{00000000-0005-0000-0000-00003D3D0000}"/>
    <cellStyle name="Millares 6 3 2 2 3 3 4" xfId="19458" xr:uid="{00000000-0005-0000-0000-00003E3D0000}"/>
    <cellStyle name="Millares 6 3 2 2 3 4" xfId="7024" xr:uid="{00000000-0005-0000-0000-00003F3D0000}"/>
    <cellStyle name="Millares 6 3 2 2 3 4 2" xfId="13602" xr:uid="{00000000-0005-0000-0000-0000403D0000}"/>
    <cellStyle name="Millares 6 3 2 2 3 4 3" xfId="20289" xr:uid="{00000000-0005-0000-0000-0000413D0000}"/>
    <cellStyle name="Millares 6 3 2 2 3 5" xfId="10285" xr:uid="{00000000-0005-0000-0000-0000423D0000}"/>
    <cellStyle name="Millares 6 3 2 2 3 6" xfId="17061" xr:uid="{00000000-0005-0000-0000-0000433D0000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3" xfId="20693" xr:uid="{00000000-0005-0000-0000-0000473D0000}"/>
    <cellStyle name="Millares 6 3 2 2 4 3" xfId="10690" xr:uid="{00000000-0005-0000-0000-0000483D0000}"/>
    <cellStyle name="Millares 6 3 2 2 4 4" xfId="17465" xr:uid="{00000000-0005-0000-0000-0000493D0000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3" xfId="21924" xr:uid="{00000000-0005-0000-0000-00004D3D0000}"/>
    <cellStyle name="Millares 6 3 2 2 5 3" xfId="12009" xr:uid="{00000000-0005-0000-0000-00004E3D0000}"/>
    <cellStyle name="Millares 6 3 2 2 5 4" xfId="18696" xr:uid="{00000000-0005-0000-0000-00004F3D0000}"/>
    <cellStyle name="Millares 6 3 2 2 6" xfId="6636" xr:uid="{00000000-0005-0000-0000-0000503D0000}"/>
    <cellStyle name="Millares 6 3 2 2 6 2" xfId="13214" xr:uid="{00000000-0005-0000-0000-0000513D0000}"/>
    <cellStyle name="Millares 6 3 2 2 6 3" xfId="19901" xr:uid="{00000000-0005-0000-0000-0000523D0000}"/>
    <cellStyle name="Millares 6 3 2 2 7" xfId="9880" xr:uid="{00000000-0005-0000-0000-0000533D0000}"/>
    <cellStyle name="Millares 6 3 2 2 8" xfId="16673" xr:uid="{00000000-0005-0000-0000-0000543D0000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3" xfId="21175" xr:uid="{00000000-0005-0000-0000-00005A3D0000}"/>
    <cellStyle name="Millares 6 3 2 3 2 2 3" xfId="11197" xr:uid="{00000000-0005-0000-0000-00005B3D0000}"/>
    <cellStyle name="Millares 6 3 2 3 2 2 4" xfId="17947" xr:uid="{00000000-0005-0000-0000-00005C3D0000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3" xfId="22406" xr:uid="{00000000-0005-0000-0000-0000603D0000}"/>
    <cellStyle name="Millares 6 3 2 3 2 3 3" xfId="12491" xr:uid="{00000000-0005-0000-0000-0000613D0000}"/>
    <cellStyle name="Millares 6 3 2 3 2 3 4" xfId="19178" xr:uid="{00000000-0005-0000-0000-0000623D0000}"/>
    <cellStyle name="Millares 6 3 2 3 2 4" xfId="7125" xr:uid="{00000000-0005-0000-0000-0000633D0000}"/>
    <cellStyle name="Millares 6 3 2 3 2 4 2" xfId="13703" xr:uid="{00000000-0005-0000-0000-0000643D0000}"/>
    <cellStyle name="Millares 6 3 2 3 2 4 3" xfId="20390" xr:uid="{00000000-0005-0000-0000-0000653D0000}"/>
    <cellStyle name="Millares 6 3 2 3 2 5" xfId="10386" xr:uid="{00000000-0005-0000-0000-0000663D0000}"/>
    <cellStyle name="Millares 6 3 2 3 2 6" xfId="17162" xr:uid="{00000000-0005-0000-0000-0000673D0000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3" xfId="22838" xr:uid="{00000000-0005-0000-0000-00006C3D0000}"/>
    <cellStyle name="Millares 6 3 2 3 3 2 3" xfId="12923" xr:uid="{00000000-0005-0000-0000-00006D3D0000}"/>
    <cellStyle name="Millares 6 3 2 3 3 2 4" xfId="19610" xr:uid="{00000000-0005-0000-0000-00006E3D0000}"/>
    <cellStyle name="Millares 6 3 2 3 3 3" xfId="8342" xr:uid="{00000000-0005-0000-0000-00006F3D0000}"/>
    <cellStyle name="Millares 6 3 2 3 3 3 2" xfId="14920" xr:uid="{00000000-0005-0000-0000-0000703D0000}"/>
    <cellStyle name="Millares 6 3 2 3 3 3 3" xfId="21607" xr:uid="{00000000-0005-0000-0000-0000713D0000}"/>
    <cellStyle name="Millares 6 3 2 3 3 4" xfId="11680" xr:uid="{00000000-0005-0000-0000-0000723D0000}"/>
    <cellStyle name="Millares 6 3 2 3 3 5" xfId="18379" xr:uid="{00000000-0005-0000-0000-0000733D0000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3" xfId="20779" xr:uid="{00000000-0005-0000-0000-0000773D0000}"/>
    <cellStyle name="Millares 6 3 2 3 4 3" xfId="10776" xr:uid="{00000000-0005-0000-0000-0000783D0000}"/>
    <cellStyle name="Millares 6 3 2 3 4 4" xfId="17551" xr:uid="{00000000-0005-0000-0000-0000793D0000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3" xfId="22010" xr:uid="{00000000-0005-0000-0000-00007D3D0000}"/>
    <cellStyle name="Millares 6 3 2 3 5 3" xfId="12095" xr:uid="{00000000-0005-0000-0000-00007E3D0000}"/>
    <cellStyle name="Millares 6 3 2 3 5 4" xfId="18782" xr:uid="{00000000-0005-0000-0000-00007F3D0000}"/>
    <cellStyle name="Millares 6 3 2 3 6" xfId="6737" xr:uid="{00000000-0005-0000-0000-0000803D0000}"/>
    <cellStyle name="Millares 6 3 2 3 6 2" xfId="13315" xr:uid="{00000000-0005-0000-0000-0000813D0000}"/>
    <cellStyle name="Millares 6 3 2 3 6 3" xfId="20002" xr:uid="{00000000-0005-0000-0000-0000823D0000}"/>
    <cellStyle name="Millares 6 3 2 3 7" xfId="9987" xr:uid="{00000000-0005-0000-0000-0000833D0000}"/>
    <cellStyle name="Millares 6 3 2 3 8" xfId="16774" xr:uid="{00000000-0005-0000-0000-0000843D0000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3" xfId="22502" xr:uid="{00000000-0005-0000-0000-00008A3D0000}"/>
    <cellStyle name="Millares 6 3 2 4 2 2 3" xfId="12587" xr:uid="{00000000-0005-0000-0000-00008B3D0000}"/>
    <cellStyle name="Millares 6 3 2 4 2 2 4" xfId="19274" xr:uid="{00000000-0005-0000-0000-00008C3D0000}"/>
    <cellStyle name="Millares 6 3 2 4 2 3" xfId="8006" xr:uid="{00000000-0005-0000-0000-00008D3D0000}"/>
    <cellStyle name="Millares 6 3 2 4 2 3 2" xfId="14584" xr:uid="{00000000-0005-0000-0000-00008E3D0000}"/>
    <cellStyle name="Millares 6 3 2 4 2 3 3" xfId="21271" xr:uid="{00000000-0005-0000-0000-00008F3D0000}"/>
    <cellStyle name="Millares 6 3 2 4 2 4" xfId="11304" xr:uid="{00000000-0005-0000-0000-0000903D0000}"/>
    <cellStyle name="Millares 6 3 2 4 2 5" xfId="18043" xr:uid="{00000000-0005-0000-0000-0000913D000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3" xfId="20875" xr:uid="{00000000-0005-0000-0000-0000953D0000}"/>
    <cellStyle name="Millares 6 3 2 4 3 3" xfId="10879" xr:uid="{00000000-0005-0000-0000-0000963D0000}"/>
    <cellStyle name="Millares 6 3 2 4 3 4" xfId="17647" xr:uid="{00000000-0005-0000-0000-0000973D0000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3" xfId="22106" xr:uid="{00000000-0005-0000-0000-00009B3D0000}"/>
    <cellStyle name="Millares 6 3 2 4 4 3" xfId="12191" xr:uid="{00000000-0005-0000-0000-00009C3D0000}"/>
    <cellStyle name="Millares 6 3 2 4 4 4" xfId="18878" xr:uid="{00000000-0005-0000-0000-00009D3D0000}"/>
    <cellStyle name="Millares 6 3 2 4 5" xfId="6932" xr:uid="{00000000-0005-0000-0000-00009E3D0000}"/>
    <cellStyle name="Millares 6 3 2 4 5 2" xfId="13510" xr:uid="{00000000-0005-0000-0000-00009F3D0000}"/>
    <cellStyle name="Millares 6 3 2 4 5 3" xfId="20197" xr:uid="{00000000-0005-0000-0000-0000A03D0000}"/>
    <cellStyle name="Millares 6 3 2 4 6" xfId="10193" xr:uid="{00000000-0005-0000-0000-0000A13D0000}"/>
    <cellStyle name="Millares 6 3 2 4 7" xfId="16969" xr:uid="{00000000-0005-0000-0000-0000A23D0000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3" xfId="22214" xr:uid="{00000000-0005-0000-0000-0000A73D0000}"/>
    <cellStyle name="Millares 6 3 2 5 2 3" xfId="12299" xr:uid="{00000000-0005-0000-0000-0000A83D0000}"/>
    <cellStyle name="Millares 6 3 2 5 2 4" xfId="18986" xr:uid="{00000000-0005-0000-0000-0000A93D0000}"/>
    <cellStyle name="Millares 6 3 2 5 3" xfId="7718" xr:uid="{00000000-0005-0000-0000-0000AA3D0000}"/>
    <cellStyle name="Millares 6 3 2 5 3 2" xfId="14296" xr:uid="{00000000-0005-0000-0000-0000AB3D0000}"/>
    <cellStyle name="Millares 6 3 2 5 3 3" xfId="20983" xr:uid="{00000000-0005-0000-0000-0000AC3D0000}"/>
    <cellStyle name="Millares 6 3 2 5 4" xfId="10996" xr:uid="{00000000-0005-0000-0000-0000AD3D0000}"/>
    <cellStyle name="Millares 6 3 2 5 5" xfId="17755" xr:uid="{00000000-0005-0000-0000-0000AE3D0000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3" xfId="22594" xr:uid="{00000000-0005-0000-0000-0000B33D0000}"/>
    <cellStyle name="Millares 6 3 2 6 2 3" xfId="12679" xr:uid="{00000000-0005-0000-0000-0000B43D0000}"/>
    <cellStyle name="Millares 6 3 2 6 2 4" xfId="19366" xr:uid="{00000000-0005-0000-0000-0000B53D0000}"/>
    <cellStyle name="Millares 6 3 2 6 3" xfId="8098" xr:uid="{00000000-0005-0000-0000-0000B63D0000}"/>
    <cellStyle name="Millares 6 3 2 6 3 2" xfId="14676" xr:uid="{00000000-0005-0000-0000-0000B73D0000}"/>
    <cellStyle name="Millares 6 3 2 6 3 3" xfId="21363" xr:uid="{00000000-0005-0000-0000-0000B83D0000}"/>
    <cellStyle name="Millares 6 3 2 6 4" xfId="11405" xr:uid="{00000000-0005-0000-0000-0000B93D0000}"/>
    <cellStyle name="Millares 6 3 2 6 5" xfId="18135" xr:uid="{00000000-0005-0000-0000-0000BA3D0000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3" xfId="20587" xr:uid="{00000000-0005-0000-0000-0000BE3D0000}"/>
    <cellStyle name="Millares 6 3 2 7 3" xfId="10584" xr:uid="{00000000-0005-0000-0000-0000BF3D0000}"/>
    <cellStyle name="Millares 6 3 2 7 4" xfId="17359" xr:uid="{00000000-0005-0000-0000-0000C03D0000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3" xfId="21818" xr:uid="{00000000-0005-0000-0000-0000C43D0000}"/>
    <cellStyle name="Millares 6 3 2 8 3" xfId="11903" xr:uid="{00000000-0005-0000-0000-0000C53D0000}"/>
    <cellStyle name="Millares 6 3 2 8 4" xfId="18590" xr:uid="{00000000-0005-0000-0000-0000C63D0000}"/>
    <cellStyle name="Millares 6 3 2 9" xfId="6544" xr:uid="{00000000-0005-0000-0000-0000C73D0000}"/>
    <cellStyle name="Millares 6 3 2 9 2" xfId="13122" xr:uid="{00000000-0005-0000-0000-0000C83D0000}"/>
    <cellStyle name="Millares 6 3 2 9 3" xfId="19809" xr:uid="{00000000-0005-0000-0000-0000C93D0000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3" xfId="21654" xr:uid="{00000000-0005-0000-0000-0000D03D0000}"/>
    <cellStyle name="Millares 6 3 3 2 2 2 3" xfId="11732" xr:uid="{00000000-0005-0000-0000-0000D13D0000}"/>
    <cellStyle name="Millares 6 3 3 2 2 2 4" xfId="18426" xr:uid="{00000000-0005-0000-0000-0000D23D0000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3" xfId="22885" xr:uid="{00000000-0005-0000-0000-0000D63D0000}"/>
    <cellStyle name="Millares 6 3 3 2 2 3 3" xfId="12970" xr:uid="{00000000-0005-0000-0000-0000D73D0000}"/>
    <cellStyle name="Millares 6 3 3 2 2 3 4" xfId="19657" xr:uid="{00000000-0005-0000-0000-0000D83D0000}"/>
    <cellStyle name="Millares 6 3 3 2 2 4" xfId="7172" xr:uid="{00000000-0005-0000-0000-0000D93D0000}"/>
    <cellStyle name="Millares 6 3 3 2 2 4 2" xfId="13750" xr:uid="{00000000-0005-0000-0000-0000DA3D0000}"/>
    <cellStyle name="Millares 6 3 3 2 2 4 3" xfId="20437" xr:uid="{00000000-0005-0000-0000-0000DB3D0000}"/>
    <cellStyle name="Millares 6 3 3 2 2 5" xfId="10433" xr:uid="{00000000-0005-0000-0000-0000DC3D0000}"/>
    <cellStyle name="Millares 6 3 3 2 2 6" xfId="17209" xr:uid="{00000000-0005-0000-0000-0000DD3D0000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3" xfId="21044" xr:uid="{00000000-0005-0000-0000-0000E13D0000}"/>
    <cellStyle name="Millares 6 3 3 2 3 3" xfId="11060" xr:uid="{00000000-0005-0000-0000-0000E23D0000}"/>
    <cellStyle name="Millares 6 3 3 2 3 4" xfId="17816" xr:uid="{00000000-0005-0000-0000-0000E33D0000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3" xfId="22275" xr:uid="{00000000-0005-0000-0000-0000E73D0000}"/>
    <cellStyle name="Millares 6 3 3 2 4 3" xfId="12360" xr:uid="{00000000-0005-0000-0000-0000E83D0000}"/>
    <cellStyle name="Millares 6 3 3 2 4 4" xfId="19047" xr:uid="{00000000-0005-0000-0000-0000E93D0000}"/>
    <cellStyle name="Millares 6 3 3 2 5" xfId="6784" xr:uid="{00000000-0005-0000-0000-0000EA3D0000}"/>
    <cellStyle name="Millares 6 3 3 2 5 2" xfId="13362" xr:uid="{00000000-0005-0000-0000-0000EB3D0000}"/>
    <cellStyle name="Millares 6 3 3 2 5 3" xfId="20049" xr:uid="{00000000-0005-0000-0000-0000EC3D0000}"/>
    <cellStyle name="Millares 6 3 3 2 6" xfId="10039" xr:uid="{00000000-0005-0000-0000-0000ED3D0000}"/>
    <cellStyle name="Millares 6 3 3 2 7" xfId="16821" xr:uid="{00000000-0005-0000-0000-0000EE3D0000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3" xfId="21410" xr:uid="{00000000-0005-0000-0000-0000F33D0000}"/>
    <cellStyle name="Millares 6 3 3 3 2 3" xfId="11461" xr:uid="{00000000-0005-0000-0000-0000F43D0000}"/>
    <cellStyle name="Millares 6 3 3 3 2 4" xfId="18182" xr:uid="{00000000-0005-0000-0000-0000F53D0000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3" xfId="22641" xr:uid="{00000000-0005-0000-0000-0000F93D0000}"/>
    <cellStyle name="Millares 6 3 3 3 3 3" xfId="12726" xr:uid="{00000000-0005-0000-0000-0000FA3D0000}"/>
    <cellStyle name="Millares 6 3 3 3 3 4" xfId="19413" xr:uid="{00000000-0005-0000-0000-0000FB3D0000}"/>
    <cellStyle name="Millares 6 3 3 3 4" xfId="6979" xr:uid="{00000000-0005-0000-0000-0000FC3D0000}"/>
    <cellStyle name="Millares 6 3 3 3 4 2" xfId="13557" xr:uid="{00000000-0005-0000-0000-0000FD3D0000}"/>
    <cellStyle name="Millares 6 3 3 3 4 3" xfId="20244" xr:uid="{00000000-0005-0000-0000-0000FE3D0000}"/>
    <cellStyle name="Millares 6 3 3 3 5" xfId="10240" xr:uid="{00000000-0005-0000-0000-0000FF3D0000}"/>
    <cellStyle name="Millares 6 3 3 3 6" xfId="17016" xr:uid="{00000000-0005-0000-0000-0000003E0000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3" xfId="20648" xr:uid="{00000000-0005-0000-0000-0000043E0000}"/>
    <cellStyle name="Millares 6 3 3 4 3" xfId="10645" xr:uid="{00000000-0005-0000-0000-0000053E0000}"/>
    <cellStyle name="Millares 6 3 3 4 4" xfId="17420" xr:uid="{00000000-0005-0000-0000-0000063E0000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3" xfId="21879" xr:uid="{00000000-0005-0000-0000-00000A3E0000}"/>
    <cellStyle name="Millares 6 3 3 5 3" xfId="11964" xr:uid="{00000000-0005-0000-0000-00000B3E0000}"/>
    <cellStyle name="Millares 6 3 3 5 4" xfId="18651" xr:uid="{00000000-0005-0000-0000-00000C3E0000}"/>
    <cellStyle name="Millares 6 3 3 6" xfId="6591" xr:uid="{00000000-0005-0000-0000-00000D3E0000}"/>
    <cellStyle name="Millares 6 3 3 6 2" xfId="13169" xr:uid="{00000000-0005-0000-0000-00000E3E0000}"/>
    <cellStyle name="Millares 6 3 3 6 3" xfId="19856" xr:uid="{00000000-0005-0000-0000-00000F3E0000}"/>
    <cellStyle name="Millares 6 3 3 7" xfId="9830" xr:uid="{00000000-0005-0000-0000-0000103E0000}"/>
    <cellStyle name="Millares 6 3 3 8" xfId="16628" xr:uid="{00000000-0005-0000-0000-0000113E0000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3" xfId="21174" xr:uid="{00000000-0005-0000-0000-0000173E0000}"/>
    <cellStyle name="Millares 6 3 4 2 2 3" xfId="11196" xr:uid="{00000000-0005-0000-0000-0000183E0000}"/>
    <cellStyle name="Millares 6 3 4 2 2 4" xfId="17946" xr:uid="{00000000-0005-0000-0000-0000193E0000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3" xfId="22405" xr:uid="{00000000-0005-0000-0000-00001D3E0000}"/>
    <cellStyle name="Millares 6 3 4 2 3 3" xfId="12490" xr:uid="{00000000-0005-0000-0000-00001E3E0000}"/>
    <cellStyle name="Millares 6 3 4 2 3 4" xfId="19177" xr:uid="{00000000-0005-0000-0000-00001F3E0000}"/>
    <cellStyle name="Millares 6 3 4 2 4" xfId="7079" xr:uid="{00000000-0005-0000-0000-0000203E0000}"/>
    <cellStyle name="Millares 6 3 4 2 4 2" xfId="13657" xr:uid="{00000000-0005-0000-0000-0000213E0000}"/>
    <cellStyle name="Millares 6 3 4 2 4 3" xfId="20344" xr:uid="{00000000-0005-0000-0000-0000223E0000}"/>
    <cellStyle name="Millares 6 3 4 2 5" xfId="10340" xr:uid="{00000000-0005-0000-0000-0000233E0000}"/>
    <cellStyle name="Millares 6 3 4 2 6" xfId="17116" xr:uid="{00000000-0005-0000-0000-0000243E0000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3" xfId="22792" xr:uid="{00000000-0005-0000-0000-0000293E0000}"/>
    <cellStyle name="Millares 6 3 4 3 2 3" xfId="12877" xr:uid="{00000000-0005-0000-0000-00002A3E0000}"/>
    <cellStyle name="Millares 6 3 4 3 2 4" xfId="19564" xr:uid="{00000000-0005-0000-0000-00002B3E0000}"/>
    <cellStyle name="Millares 6 3 4 3 3" xfId="8296" xr:uid="{00000000-0005-0000-0000-00002C3E0000}"/>
    <cellStyle name="Millares 6 3 4 3 3 2" xfId="14874" xr:uid="{00000000-0005-0000-0000-00002D3E0000}"/>
    <cellStyle name="Millares 6 3 4 3 3 3" xfId="21561" xr:uid="{00000000-0005-0000-0000-00002E3E0000}"/>
    <cellStyle name="Millares 6 3 4 3 4" xfId="11628" xr:uid="{00000000-0005-0000-0000-00002F3E0000}"/>
    <cellStyle name="Millares 6 3 4 3 5" xfId="18333" xr:uid="{00000000-0005-0000-0000-0000303E0000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3" xfId="20778" xr:uid="{00000000-0005-0000-0000-0000343E0000}"/>
    <cellStyle name="Millares 6 3 4 4 3" xfId="10775" xr:uid="{00000000-0005-0000-0000-0000353E0000}"/>
    <cellStyle name="Millares 6 3 4 4 4" xfId="17550" xr:uid="{00000000-0005-0000-0000-0000363E0000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3" xfId="22009" xr:uid="{00000000-0005-0000-0000-00003A3E0000}"/>
    <cellStyle name="Millares 6 3 4 5 3" xfId="12094" xr:uid="{00000000-0005-0000-0000-00003B3E0000}"/>
    <cellStyle name="Millares 6 3 4 5 4" xfId="18781" xr:uid="{00000000-0005-0000-0000-00003C3E0000}"/>
    <cellStyle name="Millares 6 3 4 6" xfId="6691" xr:uid="{00000000-0005-0000-0000-00003D3E0000}"/>
    <cellStyle name="Millares 6 3 4 6 2" xfId="13269" xr:uid="{00000000-0005-0000-0000-00003E3E0000}"/>
    <cellStyle name="Millares 6 3 4 6 3" xfId="19956" xr:uid="{00000000-0005-0000-0000-00003F3E0000}"/>
    <cellStyle name="Millares 6 3 4 7" xfId="9939" xr:uid="{00000000-0005-0000-0000-0000403E0000}"/>
    <cellStyle name="Millares 6 3 4 8" xfId="16728" xr:uid="{00000000-0005-0000-0000-0000413E0000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3" xfId="22457" xr:uid="{00000000-0005-0000-0000-0000473E0000}"/>
    <cellStyle name="Millares 6 3 5 2 2 3" xfId="12542" xr:uid="{00000000-0005-0000-0000-0000483E0000}"/>
    <cellStyle name="Millares 6 3 5 2 2 4" xfId="19229" xr:uid="{00000000-0005-0000-0000-0000493E0000}"/>
    <cellStyle name="Millares 6 3 5 2 3" xfId="7961" xr:uid="{00000000-0005-0000-0000-00004A3E0000}"/>
    <cellStyle name="Millares 6 3 5 2 3 2" xfId="14539" xr:uid="{00000000-0005-0000-0000-00004B3E0000}"/>
    <cellStyle name="Millares 6 3 5 2 3 3" xfId="21226" xr:uid="{00000000-0005-0000-0000-00004C3E0000}"/>
    <cellStyle name="Millares 6 3 5 2 4" xfId="11255" xr:uid="{00000000-0005-0000-0000-00004D3E0000}"/>
    <cellStyle name="Millares 6 3 5 2 5" xfId="17998" xr:uid="{00000000-0005-0000-0000-00004E3E0000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3" xfId="20830" xr:uid="{00000000-0005-0000-0000-0000523E0000}"/>
    <cellStyle name="Millares 6 3 5 3 3" xfId="10828" xr:uid="{00000000-0005-0000-0000-0000533E0000}"/>
    <cellStyle name="Millares 6 3 5 3 4" xfId="17602" xr:uid="{00000000-0005-0000-0000-0000543E0000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3" xfId="22061" xr:uid="{00000000-0005-0000-0000-0000583E0000}"/>
    <cellStyle name="Millares 6 3 5 4 3" xfId="12146" xr:uid="{00000000-0005-0000-0000-0000593E0000}"/>
    <cellStyle name="Millares 6 3 5 4 4" xfId="18833" xr:uid="{00000000-0005-0000-0000-00005A3E0000}"/>
    <cellStyle name="Millares 6 3 5 5" xfId="6886" xr:uid="{00000000-0005-0000-0000-00005B3E0000}"/>
    <cellStyle name="Millares 6 3 5 5 2" xfId="13464" xr:uid="{00000000-0005-0000-0000-00005C3E0000}"/>
    <cellStyle name="Millares 6 3 5 5 3" xfId="20151" xr:uid="{00000000-0005-0000-0000-00005D3E0000}"/>
    <cellStyle name="Millares 6 3 5 6" xfId="10147" xr:uid="{00000000-0005-0000-0000-00005E3E0000}"/>
    <cellStyle name="Millares 6 3 5 7" xfId="16923" xr:uid="{00000000-0005-0000-0000-00005F3E0000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3" xfId="22169" xr:uid="{00000000-0005-0000-0000-0000643E0000}"/>
    <cellStyle name="Millares 6 3 6 2 3" xfId="12254" xr:uid="{00000000-0005-0000-0000-0000653E0000}"/>
    <cellStyle name="Millares 6 3 6 2 4" xfId="18941" xr:uid="{00000000-0005-0000-0000-0000663E0000}"/>
    <cellStyle name="Millares 6 3 6 3" xfId="7673" xr:uid="{00000000-0005-0000-0000-0000673E0000}"/>
    <cellStyle name="Millares 6 3 6 3 2" xfId="14251" xr:uid="{00000000-0005-0000-0000-0000683E0000}"/>
    <cellStyle name="Millares 6 3 6 3 3" xfId="20938" xr:uid="{00000000-0005-0000-0000-0000693E0000}"/>
    <cellStyle name="Millares 6 3 6 4" xfId="10945" xr:uid="{00000000-0005-0000-0000-00006A3E0000}"/>
    <cellStyle name="Millares 6 3 6 5" xfId="17710" xr:uid="{00000000-0005-0000-0000-00006B3E0000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3" xfId="22549" xr:uid="{00000000-0005-0000-0000-0000703E0000}"/>
    <cellStyle name="Millares 6 3 7 2 3" xfId="12634" xr:uid="{00000000-0005-0000-0000-0000713E0000}"/>
    <cellStyle name="Millares 6 3 7 2 4" xfId="19321" xr:uid="{00000000-0005-0000-0000-0000723E0000}"/>
    <cellStyle name="Millares 6 3 7 3" xfId="8053" xr:uid="{00000000-0005-0000-0000-0000733E0000}"/>
    <cellStyle name="Millares 6 3 7 3 2" xfId="14631" xr:uid="{00000000-0005-0000-0000-0000743E0000}"/>
    <cellStyle name="Millares 6 3 7 3 3" xfId="21318" xr:uid="{00000000-0005-0000-0000-0000753E0000}"/>
    <cellStyle name="Millares 6 3 7 4" xfId="11355" xr:uid="{00000000-0005-0000-0000-0000763E0000}"/>
    <cellStyle name="Millares 6 3 7 5" xfId="18090" xr:uid="{00000000-0005-0000-0000-0000773E000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3" xfId="20542" xr:uid="{00000000-0005-0000-0000-00007B3E0000}"/>
    <cellStyle name="Millares 6 3 8 3" xfId="10539" xr:uid="{00000000-0005-0000-0000-00007C3E0000}"/>
    <cellStyle name="Millares 6 3 8 4" xfId="17314" xr:uid="{00000000-0005-0000-0000-00007D3E0000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3" xfId="21773" xr:uid="{00000000-0005-0000-0000-0000813E0000}"/>
    <cellStyle name="Millares 6 3 9 3" xfId="11858" xr:uid="{00000000-0005-0000-0000-0000823E0000}"/>
    <cellStyle name="Millares 6 3 9 4" xfId="18545" xr:uid="{00000000-0005-0000-0000-0000833E0000}"/>
    <cellStyle name="Millares 6 4" xfId="253" xr:uid="{00000000-0005-0000-0000-0000843E0000}"/>
    <cellStyle name="Millares 6 4 10" xfId="9757" xr:uid="{00000000-0005-0000-0000-0000853E0000}"/>
    <cellStyle name="Millares 6 4 11" xfId="16559" xr:uid="{00000000-0005-0000-0000-0000863E0000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3" xfId="21677" xr:uid="{00000000-0005-0000-0000-00008D3E0000}"/>
    <cellStyle name="Millares 6 4 2 2 2 2 3" xfId="11760" xr:uid="{00000000-0005-0000-0000-00008E3E0000}"/>
    <cellStyle name="Millares 6 4 2 2 2 2 4" xfId="18449" xr:uid="{00000000-0005-0000-0000-00008F3E0000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3" xfId="22908" xr:uid="{00000000-0005-0000-0000-0000933E0000}"/>
    <cellStyle name="Millares 6 4 2 2 2 3 3" xfId="12993" xr:uid="{00000000-0005-0000-0000-0000943E0000}"/>
    <cellStyle name="Millares 6 4 2 2 2 3 4" xfId="19680" xr:uid="{00000000-0005-0000-0000-0000953E0000}"/>
    <cellStyle name="Millares 6 4 2 2 2 4" xfId="7195" xr:uid="{00000000-0005-0000-0000-0000963E0000}"/>
    <cellStyle name="Millares 6 4 2 2 2 4 2" xfId="13773" xr:uid="{00000000-0005-0000-0000-0000973E0000}"/>
    <cellStyle name="Millares 6 4 2 2 2 4 3" xfId="20460" xr:uid="{00000000-0005-0000-0000-0000983E0000}"/>
    <cellStyle name="Millares 6 4 2 2 2 5" xfId="10456" xr:uid="{00000000-0005-0000-0000-0000993E0000}"/>
    <cellStyle name="Millares 6 4 2 2 2 6" xfId="17232" xr:uid="{00000000-0005-0000-0000-00009A3E000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3" xfId="21021" xr:uid="{00000000-0005-0000-0000-00009E3E0000}"/>
    <cellStyle name="Millares 6 4 2 2 3 3" xfId="11037" xr:uid="{00000000-0005-0000-0000-00009F3E0000}"/>
    <cellStyle name="Millares 6 4 2 2 3 4" xfId="17793" xr:uid="{00000000-0005-0000-0000-0000A03E0000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3" xfId="22252" xr:uid="{00000000-0005-0000-0000-0000A43E0000}"/>
    <cellStyle name="Millares 6 4 2 2 4 3" xfId="12337" xr:uid="{00000000-0005-0000-0000-0000A53E0000}"/>
    <cellStyle name="Millares 6 4 2 2 4 4" xfId="19024" xr:uid="{00000000-0005-0000-0000-0000A63E0000}"/>
    <cellStyle name="Millares 6 4 2 2 5" xfId="6807" xr:uid="{00000000-0005-0000-0000-0000A73E0000}"/>
    <cellStyle name="Millares 6 4 2 2 5 2" xfId="13385" xr:uid="{00000000-0005-0000-0000-0000A83E0000}"/>
    <cellStyle name="Millares 6 4 2 2 5 3" xfId="20072" xr:uid="{00000000-0005-0000-0000-0000A93E0000}"/>
    <cellStyle name="Millares 6 4 2 2 6" xfId="10063" xr:uid="{00000000-0005-0000-0000-0000AA3E0000}"/>
    <cellStyle name="Millares 6 4 2 2 7" xfId="16844" xr:uid="{00000000-0005-0000-0000-0000AB3E0000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3" xfId="21433" xr:uid="{00000000-0005-0000-0000-0000B03E0000}"/>
    <cellStyle name="Millares 6 4 2 3 2 3" xfId="11490" xr:uid="{00000000-0005-0000-0000-0000B13E0000}"/>
    <cellStyle name="Millares 6 4 2 3 2 4" xfId="18205" xr:uid="{00000000-0005-0000-0000-0000B23E0000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3" xfId="22664" xr:uid="{00000000-0005-0000-0000-0000B63E0000}"/>
    <cellStyle name="Millares 6 4 2 3 3 3" xfId="12749" xr:uid="{00000000-0005-0000-0000-0000B73E0000}"/>
    <cellStyle name="Millares 6 4 2 3 3 4" xfId="19436" xr:uid="{00000000-0005-0000-0000-0000B83E0000}"/>
    <cellStyle name="Millares 6 4 2 3 4" xfId="7002" xr:uid="{00000000-0005-0000-0000-0000B93E0000}"/>
    <cellStyle name="Millares 6 4 2 3 4 2" xfId="13580" xr:uid="{00000000-0005-0000-0000-0000BA3E0000}"/>
    <cellStyle name="Millares 6 4 2 3 4 3" xfId="20267" xr:uid="{00000000-0005-0000-0000-0000BB3E0000}"/>
    <cellStyle name="Millares 6 4 2 3 5" xfId="10263" xr:uid="{00000000-0005-0000-0000-0000BC3E0000}"/>
    <cellStyle name="Millares 6 4 2 3 6" xfId="17039" xr:uid="{00000000-0005-0000-0000-0000BD3E0000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3" xfId="20625" xr:uid="{00000000-0005-0000-0000-0000C13E0000}"/>
    <cellStyle name="Millares 6 4 2 4 3" xfId="10622" xr:uid="{00000000-0005-0000-0000-0000C23E0000}"/>
    <cellStyle name="Millares 6 4 2 4 4" xfId="17397" xr:uid="{00000000-0005-0000-0000-0000C33E0000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3" xfId="21856" xr:uid="{00000000-0005-0000-0000-0000C73E0000}"/>
    <cellStyle name="Millares 6 4 2 5 3" xfId="11941" xr:uid="{00000000-0005-0000-0000-0000C83E0000}"/>
    <cellStyle name="Millares 6 4 2 5 4" xfId="18628" xr:uid="{00000000-0005-0000-0000-0000C93E0000}"/>
    <cellStyle name="Millares 6 4 2 6" xfId="6614" xr:uid="{00000000-0005-0000-0000-0000CA3E0000}"/>
    <cellStyle name="Millares 6 4 2 6 2" xfId="13192" xr:uid="{00000000-0005-0000-0000-0000CB3E0000}"/>
    <cellStyle name="Millares 6 4 2 6 3" xfId="19879" xr:uid="{00000000-0005-0000-0000-0000CC3E0000}"/>
    <cellStyle name="Millares 6 4 2 7" xfId="9854" xr:uid="{00000000-0005-0000-0000-0000CD3E0000}"/>
    <cellStyle name="Millares 6 4 2 8" xfId="16651" xr:uid="{00000000-0005-0000-0000-0000CE3E0000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3" xfId="21176" xr:uid="{00000000-0005-0000-0000-0000D43E0000}"/>
    <cellStyle name="Millares 6 4 3 2 2 3" xfId="11198" xr:uid="{00000000-0005-0000-0000-0000D53E0000}"/>
    <cellStyle name="Millares 6 4 3 2 2 4" xfId="17948" xr:uid="{00000000-0005-0000-0000-0000D63E0000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3" xfId="22407" xr:uid="{00000000-0005-0000-0000-0000DA3E0000}"/>
    <cellStyle name="Millares 6 4 3 2 3 3" xfId="12492" xr:uid="{00000000-0005-0000-0000-0000DB3E0000}"/>
    <cellStyle name="Millares 6 4 3 2 3 4" xfId="19179" xr:uid="{00000000-0005-0000-0000-0000DC3E0000}"/>
    <cellStyle name="Millares 6 4 3 2 4" xfId="7103" xr:uid="{00000000-0005-0000-0000-0000DD3E0000}"/>
    <cellStyle name="Millares 6 4 3 2 4 2" xfId="13681" xr:uid="{00000000-0005-0000-0000-0000DE3E0000}"/>
    <cellStyle name="Millares 6 4 3 2 4 3" xfId="20368" xr:uid="{00000000-0005-0000-0000-0000DF3E0000}"/>
    <cellStyle name="Millares 6 4 3 2 5" xfId="10364" xr:uid="{00000000-0005-0000-0000-0000E03E0000}"/>
    <cellStyle name="Millares 6 4 3 2 6" xfId="17140" xr:uid="{00000000-0005-0000-0000-0000E13E0000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3" xfId="22816" xr:uid="{00000000-0005-0000-0000-0000E63E0000}"/>
    <cellStyle name="Millares 6 4 3 3 2 3" xfId="12901" xr:uid="{00000000-0005-0000-0000-0000E73E0000}"/>
    <cellStyle name="Millares 6 4 3 3 2 4" xfId="19588" xr:uid="{00000000-0005-0000-0000-0000E83E0000}"/>
    <cellStyle name="Millares 6 4 3 3 3" xfId="8320" xr:uid="{00000000-0005-0000-0000-0000E93E0000}"/>
    <cellStyle name="Millares 6 4 3 3 3 2" xfId="14898" xr:uid="{00000000-0005-0000-0000-0000EA3E0000}"/>
    <cellStyle name="Millares 6 4 3 3 3 3" xfId="21585" xr:uid="{00000000-0005-0000-0000-0000EB3E0000}"/>
    <cellStyle name="Millares 6 4 3 3 4" xfId="11655" xr:uid="{00000000-0005-0000-0000-0000EC3E0000}"/>
    <cellStyle name="Millares 6 4 3 3 5" xfId="18357" xr:uid="{00000000-0005-0000-0000-0000ED3E0000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3" xfId="20780" xr:uid="{00000000-0005-0000-0000-0000F13E0000}"/>
    <cellStyle name="Millares 6 4 3 4 3" xfId="10777" xr:uid="{00000000-0005-0000-0000-0000F23E0000}"/>
    <cellStyle name="Millares 6 4 3 4 4" xfId="17552" xr:uid="{00000000-0005-0000-0000-0000F33E0000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3" xfId="22011" xr:uid="{00000000-0005-0000-0000-0000F73E0000}"/>
    <cellStyle name="Millares 6 4 3 5 3" xfId="12096" xr:uid="{00000000-0005-0000-0000-0000F83E0000}"/>
    <cellStyle name="Millares 6 4 3 5 4" xfId="18783" xr:uid="{00000000-0005-0000-0000-0000F93E0000}"/>
    <cellStyle name="Millares 6 4 3 6" xfId="6715" xr:uid="{00000000-0005-0000-0000-0000FA3E0000}"/>
    <cellStyle name="Millares 6 4 3 6 2" xfId="13293" xr:uid="{00000000-0005-0000-0000-0000FB3E0000}"/>
    <cellStyle name="Millares 6 4 3 6 3" xfId="19980" xr:uid="{00000000-0005-0000-0000-0000FC3E0000}"/>
    <cellStyle name="Millares 6 4 3 7" xfId="9963" xr:uid="{00000000-0005-0000-0000-0000FD3E0000}"/>
    <cellStyle name="Millares 6 4 3 8" xfId="16752" xr:uid="{00000000-0005-0000-0000-0000FE3E0000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3" xfId="22480" xr:uid="{00000000-0005-0000-0000-0000043F0000}"/>
    <cellStyle name="Millares 6 4 4 2 2 3" xfId="12565" xr:uid="{00000000-0005-0000-0000-0000053F0000}"/>
    <cellStyle name="Millares 6 4 4 2 2 4" xfId="19252" xr:uid="{00000000-0005-0000-0000-0000063F0000}"/>
    <cellStyle name="Millares 6 4 4 2 3" xfId="7984" xr:uid="{00000000-0005-0000-0000-0000073F0000}"/>
    <cellStyle name="Millares 6 4 4 2 3 2" xfId="14562" xr:uid="{00000000-0005-0000-0000-0000083F0000}"/>
    <cellStyle name="Millares 6 4 4 2 3 3" xfId="21249" xr:uid="{00000000-0005-0000-0000-0000093F0000}"/>
    <cellStyle name="Millares 6 4 4 2 4" xfId="11280" xr:uid="{00000000-0005-0000-0000-00000A3F0000}"/>
    <cellStyle name="Millares 6 4 4 2 5" xfId="18021" xr:uid="{00000000-0005-0000-0000-00000B3F0000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3" xfId="20853" xr:uid="{00000000-0005-0000-0000-00000F3F0000}"/>
    <cellStyle name="Millares 6 4 4 3 3" xfId="10853" xr:uid="{00000000-0005-0000-0000-0000103F0000}"/>
    <cellStyle name="Millares 6 4 4 3 4" xfId="17625" xr:uid="{00000000-0005-0000-0000-0000113F0000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3" xfId="22084" xr:uid="{00000000-0005-0000-0000-0000153F0000}"/>
    <cellStyle name="Millares 6 4 4 4 3" xfId="12169" xr:uid="{00000000-0005-0000-0000-0000163F0000}"/>
    <cellStyle name="Millares 6 4 4 4 4" xfId="18856" xr:uid="{00000000-0005-0000-0000-0000173F0000}"/>
    <cellStyle name="Millares 6 4 4 5" xfId="6910" xr:uid="{00000000-0005-0000-0000-0000183F0000}"/>
    <cellStyle name="Millares 6 4 4 5 2" xfId="13488" xr:uid="{00000000-0005-0000-0000-0000193F0000}"/>
    <cellStyle name="Millares 6 4 4 5 3" xfId="20175" xr:uid="{00000000-0005-0000-0000-00001A3F0000}"/>
    <cellStyle name="Millares 6 4 4 6" xfId="10171" xr:uid="{00000000-0005-0000-0000-00001B3F0000}"/>
    <cellStyle name="Millares 6 4 4 7" xfId="16947" xr:uid="{00000000-0005-0000-0000-00001C3F0000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3" xfId="22146" xr:uid="{00000000-0005-0000-0000-0000213F0000}"/>
    <cellStyle name="Millares 6 4 5 2 3" xfId="12231" xr:uid="{00000000-0005-0000-0000-0000223F0000}"/>
    <cellStyle name="Millares 6 4 5 2 4" xfId="18918" xr:uid="{00000000-0005-0000-0000-0000233F0000}"/>
    <cellStyle name="Millares 6 4 5 3" xfId="7650" xr:uid="{00000000-0005-0000-0000-0000243F0000}"/>
    <cellStyle name="Millares 6 4 5 3 2" xfId="14228" xr:uid="{00000000-0005-0000-0000-0000253F0000}"/>
    <cellStyle name="Millares 6 4 5 3 3" xfId="20915" xr:uid="{00000000-0005-0000-0000-0000263F0000}"/>
    <cellStyle name="Millares 6 4 5 4" xfId="10921" xr:uid="{00000000-0005-0000-0000-0000273F0000}"/>
    <cellStyle name="Millares 6 4 5 5" xfId="17687" xr:uid="{00000000-0005-0000-0000-0000283F0000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3" xfId="22572" xr:uid="{00000000-0005-0000-0000-00002D3F0000}"/>
    <cellStyle name="Millares 6 4 6 2 3" xfId="12657" xr:uid="{00000000-0005-0000-0000-00002E3F0000}"/>
    <cellStyle name="Millares 6 4 6 2 4" xfId="19344" xr:uid="{00000000-0005-0000-0000-00002F3F0000}"/>
    <cellStyle name="Millares 6 4 6 3" xfId="8076" xr:uid="{00000000-0005-0000-0000-0000303F0000}"/>
    <cellStyle name="Millares 6 4 6 3 2" xfId="14654" xr:uid="{00000000-0005-0000-0000-0000313F0000}"/>
    <cellStyle name="Millares 6 4 6 3 3" xfId="21341" xr:uid="{00000000-0005-0000-0000-0000323F0000}"/>
    <cellStyle name="Millares 6 4 6 4" xfId="11379" xr:uid="{00000000-0005-0000-0000-0000333F0000}"/>
    <cellStyle name="Millares 6 4 6 5" xfId="18113" xr:uid="{00000000-0005-0000-0000-0000343F0000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3" xfId="20519" xr:uid="{00000000-0005-0000-0000-0000383F0000}"/>
    <cellStyle name="Millares 6 4 7 3" xfId="10516" xr:uid="{00000000-0005-0000-0000-0000393F0000}"/>
    <cellStyle name="Millares 6 4 7 4" xfId="17291" xr:uid="{00000000-0005-0000-0000-00003A3F0000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3" xfId="21750" xr:uid="{00000000-0005-0000-0000-00003E3F0000}"/>
    <cellStyle name="Millares 6 4 8 3" xfId="11835" xr:uid="{00000000-0005-0000-0000-00003F3F0000}"/>
    <cellStyle name="Millares 6 4 8 4" xfId="18522" xr:uid="{00000000-0005-0000-0000-0000403F0000}"/>
    <cellStyle name="Millares 6 4 9" xfId="6522" xr:uid="{00000000-0005-0000-0000-0000413F0000}"/>
    <cellStyle name="Millares 6 4 9 2" xfId="13100" xr:uid="{00000000-0005-0000-0000-0000423F0000}"/>
    <cellStyle name="Millares 6 4 9 3" xfId="19787" xr:uid="{00000000-0005-0000-0000-0000433F0000}"/>
    <cellStyle name="Millares 6 5" xfId="434" xr:uid="{00000000-0005-0000-0000-0000443F0000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3" xfId="21067" xr:uid="{00000000-0005-0000-0000-00004A3F0000}"/>
    <cellStyle name="Millares 6 5 2 2 2 3" xfId="11084" xr:uid="{00000000-0005-0000-0000-00004B3F0000}"/>
    <cellStyle name="Millares 6 5 2 2 2 4" xfId="17839" xr:uid="{00000000-0005-0000-0000-00004C3F0000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3" xfId="22298" xr:uid="{00000000-0005-0000-0000-0000503F0000}"/>
    <cellStyle name="Millares 6 5 2 2 3 3" xfId="12383" xr:uid="{00000000-0005-0000-0000-0000513F0000}"/>
    <cellStyle name="Millares 6 5 2 2 3 4" xfId="19070" xr:uid="{00000000-0005-0000-0000-0000523F0000}"/>
    <cellStyle name="Millares 6 5 2 2 4" xfId="7150" xr:uid="{00000000-0005-0000-0000-0000533F0000}"/>
    <cellStyle name="Millares 6 5 2 2 4 2" xfId="13728" xr:uid="{00000000-0005-0000-0000-0000543F0000}"/>
    <cellStyle name="Millares 6 5 2 2 4 3" xfId="20415" xr:uid="{00000000-0005-0000-0000-0000553F0000}"/>
    <cellStyle name="Millares 6 5 2 2 5" xfId="10411" xr:uid="{00000000-0005-0000-0000-0000563F0000}"/>
    <cellStyle name="Millares 6 5 2 2 6" xfId="17187" xr:uid="{00000000-0005-0000-0000-0000573F0000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3" xfId="22863" xr:uid="{00000000-0005-0000-0000-00005C3F0000}"/>
    <cellStyle name="Millares 6 5 2 3 2 3" xfId="12948" xr:uid="{00000000-0005-0000-0000-00005D3F0000}"/>
    <cellStyle name="Millares 6 5 2 3 2 4" xfId="19635" xr:uid="{00000000-0005-0000-0000-00005E3F0000}"/>
    <cellStyle name="Millares 6 5 2 3 3" xfId="8367" xr:uid="{00000000-0005-0000-0000-00005F3F0000}"/>
    <cellStyle name="Millares 6 5 2 3 3 2" xfId="14945" xr:uid="{00000000-0005-0000-0000-0000603F0000}"/>
    <cellStyle name="Millares 6 5 2 3 3 3" xfId="21632" xr:uid="{00000000-0005-0000-0000-0000613F0000}"/>
    <cellStyle name="Millares 6 5 2 3 4" xfId="11709" xr:uid="{00000000-0005-0000-0000-0000623F0000}"/>
    <cellStyle name="Millares 6 5 2 3 5" xfId="18404" xr:uid="{00000000-0005-0000-0000-0000633F0000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3" xfId="20671" xr:uid="{00000000-0005-0000-0000-0000673F0000}"/>
    <cellStyle name="Millares 6 5 2 4 3" xfId="10668" xr:uid="{00000000-0005-0000-0000-0000683F0000}"/>
    <cellStyle name="Millares 6 5 2 4 4" xfId="17443" xr:uid="{00000000-0005-0000-0000-0000693F0000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3" xfId="21902" xr:uid="{00000000-0005-0000-0000-00006D3F0000}"/>
    <cellStyle name="Millares 6 5 2 5 3" xfId="11987" xr:uid="{00000000-0005-0000-0000-00006E3F0000}"/>
    <cellStyle name="Millares 6 5 2 5 4" xfId="18674" xr:uid="{00000000-0005-0000-0000-00006F3F0000}"/>
    <cellStyle name="Millares 6 5 2 6" xfId="6762" xr:uid="{00000000-0005-0000-0000-0000703F0000}"/>
    <cellStyle name="Millares 6 5 2 6 2" xfId="13340" xr:uid="{00000000-0005-0000-0000-0000713F0000}"/>
    <cellStyle name="Millares 6 5 2 6 3" xfId="20027" xr:uid="{00000000-0005-0000-0000-0000723F0000}"/>
    <cellStyle name="Millares 6 5 2 7" xfId="10016" xr:uid="{00000000-0005-0000-0000-0000733F0000}"/>
    <cellStyle name="Millares 6 5 2 8" xfId="16799" xr:uid="{00000000-0005-0000-0000-0000743F0000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3" xfId="20961" xr:uid="{00000000-0005-0000-0000-0000793F0000}"/>
    <cellStyle name="Millares 6 5 3 2 3" xfId="10970" xr:uid="{00000000-0005-0000-0000-00007A3F0000}"/>
    <cellStyle name="Millares 6 5 3 2 4" xfId="17733" xr:uid="{00000000-0005-0000-0000-00007B3F0000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3" xfId="22192" xr:uid="{00000000-0005-0000-0000-00007F3F0000}"/>
    <cellStyle name="Millares 6 5 3 3 3" xfId="12277" xr:uid="{00000000-0005-0000-0000-0000803F0000}"/>
    <cellStyle name="Millares 6 5 3 3 4" xfId="18964" xr:uid="{00000000-0005-0000-0000-0000813F0000}"/>
    <cellStyle name="Millares 6 5 3 4" xfId="6957" xr:uid="{00000000-0005-0000-0000-0000823F0000}"/>
    <cellStyle name="Millares 6 5 3 4 2" xfId="13535" xr:uid="{00000000-0005-0000-0000-0000833F0000}"/>
    <cellStyle name="Millares 6 5 3 4 3" xfId="20222" xr:uid="{00000000-0005-0000-0000-0000843F0000}"/>
    <cellStyle name="Millares 6 5 3 5" xfId="10218" xr:uid="{00000000-0005-0000-0000-0000853F0000}"/>
    <cellStyle name="Millares 6 5 3 6" xfId="16994" xr:uid="{00000000-0005-0000-0000-0000863F0000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3" xfId="22619" xr:uid="{00000000-0005-0000-0000-00008B3F0000}"/>
    <cellStyle name="Millares 6 5 4 2 3" xfId="12704" xr:uid="{00000000-0005-0000-0000-00008C3F0000}"/>
    <cellStyle name="Millares 6 5 4 2 4" xfId="19391" xr:uid="{00000000-0005-0000-0000-00008D3F0000}"/>
    <cellStyle name="Millares 6 5 4 3" xfId="8123" xr:uid="{00000000-0005-0000-0000-00008E3F0000}"/>
    <cellStyle name="Millares 6 5 4 3 2" xfId="14701" xr:uid="{00000000-0005-0000-0000-00008F3F0000}"/>
    <cellStyle name="Millares 6 5 4 3 3" xfId="21388" xr:uid="{00000000-0005-0000-0000-0000903F0000}"/>
    <cellStyle name="Millares 6 5 4 4" xfId="11435" xr:uid="{00000000-0005-0000-0000-0000913F0000}"/>
    <cellStyle name="Millares 6 5 4 5" xfId="18160" xr:uid="{00000000-0005-0000-0000-0000923F0000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3" xfId="20565" xr:uid="{00000000-0005-0000-0000-0000963F0000}"/>
    <cellStyle name="Millares 6 5 5 3" xfId="10562" xr:uid="{00000000-0005-0000-0000-0000973F0000}"/>
    <cellStyle name="Millares 6 5 5 4" xfId="17337" xr:uid="{00000000-0005-0000-0000-0000983F0000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3" xfId="21796" xr:uid="{00000000-0005-0000-0000-00009C3F0000}"/>
    <cellStyle name="Millares 6 5 6 3" xfId="11881" xr:uid="{00000000-0005-0000-0000-00009D3F0000}"/>
    <cellStyle name="Millares 6 5 6 4" xfId="18568" xr:uid="{00000000-0005-0000-0000-00009E3F0000}"/>
    <cellStyle name="Millares 6 5 7" xfId="6569" xr:uid="{00000000-0005-0000-0000-00009F3F0000}"/>
    <cellStyle name="Millares 6 5 7 2" xfId="13147" xr:uid="{00000000-0005-0000-0000-0000A03F0000}"/>
    <cellStyle name="Millares 6 5 7 3" xfId="19834" xr:uid="{00000000-0005-0000-0000-0000A13F0000}"/>
    <cellStyle name="Millares 6 5 8" xfId="9806" xr:uid="{00000000-0005-0000-0000-0000A23F0000}"/>
    <cellStyle name="Millares 6 5 9" xfId="16606" xr:uid="{00000000-0005-0000-0000-0000A33F0000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3" xfId="21009" xr:uid="{00000000-0005-0000-0000-0000A93F0000}"/>
    <cellStyle name="Millares 6 6 2 2 3" xfId="11025" xr:uid="{00000000-0005-0000-0000-0000AA3F0000}"/>
    <cellStyle name="Millares 6 6 2 2 4" xfId="17781" xr:uid="{00000000-0005-0000-0000-0000AB3F0000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3" xfId="22240" xr:uid="{00000000-0005-0000-0000-0000AF3F0000}"/>
    <cellStyle name="Millares 6 6 2 3 3" xfId="12325" xr:uid="{00000000-0005-0000-0000-0000B03F0000}"/>
    <cellStyle name="Millares 6 6 2 3 4" xfId="19012" xr:uid="{00000000-0005-0000-0000-0000B13F0000}"/>
    <cellStyle name="Millares 6 6 2 4" xfId="7056" xr:uid="{00000000-0005-0000-0000-0000B23F0000}"/>
    <cellStyle name="Millares 6 6 2 4 2" xfId="13634" xr:uid="{00000000-0005-0000-0000-0000B33F0000}"/>
    <cellStyle name="Millares 6 6 2 4 3" xfId="20321" xr:uid="{00000000-0005-0000-0000-0000B43F0000}"/>
    <cellStyle name="Millares 6 6 2 5" xfId="10317" xr:uid="{00000000-0005-0000-0000-0000B53F0000}"/>
    <cellStyle name="Millares 6 6 2 6" xfId="17093" xr:uid="{00000000-0005-0000-0000-0000B63F0000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3" xfId="22769" xr:uid="{00000000-0005-0000-0000-0000BB3F0000}"/>
    <cellStyle name="Millares 6 6 3 2 3" xfId="12854" xr:uid="{00000000-0005-0000-0000-0000BC3F0000}"/>
    <cellStyle name="Millares 6 6 3 2 4" xfId="19541" xr:uid="{00000000-0005-0000-0000-0000BD3F0000}"/>
    <cellStyle name="Millares 6 6 3 3" xfId="8273" xr:uid="{00000000-0005-0000-0000-0000BE3F0000}"/>
    <cellStyle name="Millares 6 6 3 3 2" xfId="14851" xr:uid="{00000000-0005-0000-0000-0000BF3F0000}"/>
    <cellStyle name="Millares 6 6 3 3 3" xfId="21538" xr:uid="{00000000-0005-0000-0000-0000C03F0000}"/>
    <cellStyle name="Millares 6 6 3 4" xfId="11603" xr:uid="{00000000-0005-0000-0000-0000C13F0000}"/>
    <cellStyle name="Millares 6 6 3 5" xfId="18310" xr:uid="{00000000-0005-0000-0000-0000C23F0000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3" xfId="20613" xr:uid="{00000000-0005-0000-0000-0000C63F0000}"/>
    <cellStyle name="Millares 6 6 4 3" xfId="10610" xr:uid="{00000000-0005-0000-0000-0000C73F0000}"/>
    <cellStyle name="Millares 6 6 4 4" xfId="17385" xr:uid="{00000000-0005-0000-0000-0000C83F0000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3" xfId="21844" xr:uid="{00000000-0005-0000-0000-0000CC3F0000}"/>
    <cellStyle name="Millares 6 6 5 3" xfId="11929" xr:uid="{00000000-0005-0000-0000-0000CD3F0000}"/>
    <cellStyle name="Millares 6 6 5 4" xfId="18616" xr:uid="{00000000-0005-0000-0000-0000CE3F0000}"/>
    <cellStyle name="Millares 6 6 6" xfId="6668" xr:uid="{00000000-0005-0000-0000-0000CF3F0000}"/>
    <cellStyle name="Millares 6 6 6 2" xfId="13246" xr:uid="{00000000-0005-0000-0000-0000D03F0000}"/>
    <cellStyle name="Millares 6 6 6 3" xfId="19933" xr:uid="{00000000-0005-0000-0000-0000D13F0000}"/>
    <cellStyle name="Millares 6 6 7" xfId="9914" xr:uid="{00000000-0005-0000-0000-0000D23F0000}"/>
    <cellStyle name="Millares 6 6 8" xfId="16705" xr:uid="{00000000-0005-0000-0000-0000D33F0000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3" xfId="22400" xr:uid="{00000000-0005-0000-0000-0000D93F0000}"/>
    <cellStyle name="Millares 6 7 2 2 3" xfId="12485" xr:uid="{00000000-0005-0000-0000-0000DA3F0000}"/>
    <cellStyle name="Millares 6 7 2 2 4" xfId="19172" xr:uid="{00000000-0005-0000-0000-0000DB3F0000}"/>
    <cellStyle name="Millares 6 7 2 3" xfId="7904" xr:uid="{00000000-0005-0000-0000-0000DC3F0000}"/>
    <cellStyle name="Millares 6 7 2 3 2" xfId="14482" xr:uid="{00000000-0005-0000-0000-0000DD3F0000}"/>
    <cellStyle name="Millares 6 7 2 3 3" xfId="21169" xr:uid="{00000000-0005-0000-0000-0000DE3F0000}"/>
    <cellStyle name="Millares 6 7 2 4" xfId="11191" xr:uid="{00000000-0005-0000-0000-0000DF3F0000}"/>
    <cellStyle name="Millares 6 7 2 5" xfId="17941" xr:uid="{00000000-0005-0000-0000-0000E03F0000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3" xfId="20773" xr:uid="{00000000-0005-0000-0000-0000E43F0000}"/>
    <cellStyle name="Millares 6 7 3 3" xfId="10770" xr:uid="{00000000-0005-0000-0000-0000E53F0000}"/>
    <cellStyle name="Millares 6 7 3 4" xfId="17545" xr:uid="{00000000-0005-0000-0000-0000E63F0000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3" xfId="22004" xr:uid="{00000000-0005-0000-0000-0000EA3F0000}"/>
    <cellStyle name="Millares 6 7 4 3" xfId="12089" xr:uid="{00000000-0005-0000-0000-0000EB3F0000}"/>
    <cellStyle name="Millares 6 7 4 4" xfId="18776" xr:uid="{00000000-0005-0000-0000-0000EC3F0000}"/>
    <cellStyle name="Millares 6 7 5" xfId="6863" xr:uid="{00000000-0005-0000-0000-0000ED3F0000}"/>
    <cellStyle name="Millares 6 7 5 2" xfId="13441" xr:uid="{00000000-0005-0000-0000-0000EE3F0000}"/>
    <cellStyle name="Millares 6 7 5 3" xfId="20128" xr:uid="{00000000-0005-0000-0000-0000EF3F0000}"/>
    <cellStyle name="Millares 6 7 6" xfId="10124" xr:uid="{00000000-0005-0000-0000-0000F03F0000}"/>
    <cellStyle name="Millares 6 7 7" xfId="11486" xr:uid="{00000000-0005-0000-0000-0000F13F0000}"/>
    <cellStyle name="Millares 6 7 8" xfId="16900" xr:uid="{00000000-0005-0000-0000-0000F23F0000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3" xfId="22435" xr:uid="{00000000-0005-0000-0000-0000F83F0000}"/>
    <cellStyle name="Millares 6 8 2 2 3" xfId="12520" xr:uid="{00000000-0005-0000-0000-0000F93F0000}"/>
    <cellStyle name="Millares 6 8 2 2 4" xfId="19207" xr:uid="{00000000-0005-0000-0000-0000FA3F0000}"/>
    <cellStyle name="Millares 6 8 2 3" xfId="7939" xr:uid="{00000000-0005-0000-0000-0000FB3F0000}"/>
    <cellStyle name="Millares 6 8 2 3 2" xfId="14517" xr:uid="{00000000-0005-0000-0000-0000FC3F0000}"/>
    <cellStyle name="Millares 6 8 2 3 3" xfId="21204" xr:uid="{00000000-0005-0000-0000-0000FD3F0000}"/>
    <cellStyle name="Millares 6 8 2 4" xfId="11232" xr:uid="{00000000-0005-0000-0000-0000FE3F0000}"/>
    <cellStyle name="Millares 6 8 2 5" xfId="17976" xr:uid="{00000000-0005-0000-0000-0000FF3F0000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3" xfId="22039" xr:uid="{00000000-0005-0000-0000-000003400000}"/>
    <cellStyle name="Millares 6 8 3 3" xfId="12124" xr:uid="{00000000-0005-0000-0000-000004400000}"/>
    <cellStyle name="Millares 6 8 3 4" xfId="18811" xr:uid="{00000000-0005-0000-0000-000005400000}"/>
    <cellStyle name="Millares 6 8 4" xfId="7543" xr:uid="{00000000-0005-0000-0000-000006400000}"/>
    <cellStyle name="Millares 6 8 4 2" xfId="14121" xr:uid="{00000000-0005-0000-0000-000007400000}"/>
    <cellStyle name="Millares 6 8 4 3" xfId="20808" xr:uid="{00000000-0005-0000-0000-000008400000}"/>
    <cellStyle name="Millares 6 8 5" xfId="10805" xr:uid="{00000000-0005-0000-0000-000009400000}"/>
    <cellStyle name="Millares 6 8 6" xfId="16357" xr:uid="{00000000-0005-0000-0000-00000A400000}"/>
    <cellStyle name="Millares 6 8 7" xfId="17580" xr:uid="{00000000-0005-0000-0000-00000B400000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3" xfId="22134" xr:uid="{00000000-0005-0000-0000-000010400000}"/>
    <cellStyle name="Millares 6 9 2 3" xfId="12219" xr:uid="{00000000-0005-0000-0000-000011400000}"/>
    <cellStyle name="Millares 6 9 2 4" xfId="18906" xr:uid="{00000000-0005-0000-0000-000012400000}"/>
    <cellStyle name="Millares 6 9 3" xfId="7638" xr:uid="{00000000-0005-0000-0000-000013400000}"/>
    <cellStyle name="Millares 6 9 3 2" xfId="14216" xr:uid="{00000000-0005-0000-0000-000014400000}"/>
    <cellStyle name="Millares 6 9 3 3" xfId="20903" xr:uid="{00000000-0005-0000-0000-000015400000}"/>
    <cellStyle name="Millares 6 9 4" xfId="10909" xr:uid="{00000000-0005-0000-0000-000016400000}"/>
    <cellStyle name="Millares 6 9 5" xfId="17675" xr:uid="{00000000-0005-0000-0000-000017400000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3" xfId="22528" xr:uid="{00000000-0005-0000-0000-000029400000}"/>
    <cellStyle name="Millares 7 10 2 3" xfId="12613" xr:uid="{00000000-0005-0000-0000-00002A400000}"/>
    <cellStyle name="Millares 7 10 2 4" xfId="19300" xr:uid="{00000000-0005-0000-0000-00002B400000}"/>
    <cellStyle name="Millares 7 10 3" xfId="8032" xr:uid="{00000000-0005-0000-0000-00002C400000}"/>
    <cellStyle name="Millares 7 10 3 2" xfId="14610" xr:uid="{00000000-0005-0000-0000-00002D400000}"/>
    <cellStyle name="Millares 7 10 3 3" xfId="21297" xr:uid="{00000000-0005-0000-0000-00002E400000}"/>
    <cellStyle name="Millares 7 10 4" xfId="11332" xr:uid="{00000000-0005-0000-0000-00002F400000}"/>
    <cellStyle name="Millares 7 10 5" xfId="18069" xr:uid="{00000000-0005-0000-0000-000030400000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3" xfId="21739" xr:uid="{00000000-0005-0000-0000-000034400000}"/>
    <cellStyle name="Millares 7 11 3" xfId="11824" xr:uid="{00000000-0005-0000-0000-000035400000}"/>
    <cellStyle name="Millares 7 11 4" xfId="18511" xr:uid="{00000000-0005-0000-0000-000036400000}"/>
    <cellStyle name="Millares 7 12" xfId="6476" xr:uid="{00000000-0005-0000-0000-000037400000}"/>
    <cellStyle name="Millares 7 12 2" xfId="13054" xr:uid="{00000000-0005-0000-0000-000038400000}"/>
    <cellStyle name="Millares 7 12 3" xfId="19741" xr:uid="{00000000-0005-0000-0000-000039400000}"/>
    <cellStyle name="Millares 7 13" xfId="9708" xr:uid="{00000000-0005-0000-0000-00003A400000}"/>
    <cellStyle name="Millares 7 14" xfId="16446" xr:uid="{00000000-0005-0000-0000-00003B400000}"/>
    <cellStyle name="Millares 7 15" xfId="16513" xr:uid="{00000000-0005-0000-0000-00003C400000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3" xfId="21761" xr:uid="{00000000-0005-0000-0000-000041400000}"/>
    <cellStyle name="Millares 7 2 10 3" xfId="11846" xr:uid="{00000000-0005-0000-0000-000042400000}"/>
    <cellStyle name="Millares 7 2 10 4" xfId="18533" xr:uid="{00000000-0005-0000-0000-000043400000}"/>
    <cellStyle name="Millares 7 2 11" xfId="6486" xr:uid="{00000000-0005-0000-0000-000044400000}"/>
    <cellStyle name="Millares 7 2 11 2" xfId="13064" xr:uid="{00000000-0005-0000-0000-000045400000}"/>
    <cellStyle name="Millares 7 2 11 3" xfId="19751" xr:uid="{00000000-0005-0000-0000-000046400000}"/>
    <cellStyle name="Millares 7 2 12" xfId="9719" xr:uid="{00000000-0005-0000-0000-000047400000}"/>
    <cellStyle name="Millares 7 2 13" xfId="16405" xr:uid="{00000000-0005-0000-0000-000048400000}"/>
    <cellStyle name="Millares 7 2 14" xfId="16523" xr:uid="{00000000-0005-0000-0000-000049400000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3" xfId="19774" xr:uid="{00000000-0005-0000-0000-00004D400000}"/>
    <cellStyle name="Millares 7 2 2 11" xfId="9744" xr:uid="{00000000-0005-0000-0000-00004E400000}"/>
    <cellStyle name="Millares 7 2 2 12" xfId="16386" xr:uid="{00000000-0005-0000-0000-00004F400000}"/>
    <cellStyle name="Millares 7 2 2 13" xfId="16546" xr:uid="{00000000-0005-0000-0000-000050400000}"/>
    <cellStyle name="Millares 7 2 2 2" xfId="382" xr:uid="{00000000-0005-0000-0000-000051400000}"/>
    <cellStyle name="Millares 7 2 2 2 10" xfId="9792" xr:uid="{00000000-0005-0000-0000-000052400000}"/>
    <cellStyle name="Millares 7 2 2 2 11" xfId="16592" xr:uid="{00000000-0005-0000-0000-000053400000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3" xfId="21710" xr:uid="{00000000-0005-0000-0000-00005A400000}"/>
    <cellStyle name="Millares 7 2 2 2 2 2 2 2 3" xfId="11795" xr:uid="{00000000-0005-0000-0000-00005B400000}"/>
    <cellStyle name="Millares 7 2 2 2 2 2 2 2 4" xfId="18482" xr:uid="{00000000-0005-0000-0000-00005C400000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3" xfId="22941" xr:uid="{00000000-0005-0000-0000-000060400000}"/>
    <cellStyle name="Millares 7 2 2 2 2 2 2 3 3" xfId="13026" xr:uid="{00000000-0005-0000-0000-000061400000}"/>
    <cellStyle name="Millares 7 2 2 2 2 2 2 3 4" xfId="19713" xr:uid="{00000000-0005-0000-0000-000062400000}"/>
    <cellStyle name="Millares 7 2 2 2 2 2 2 4" xfId="7228" xr:uid="{00000000-0005-0000-0000-000063400000}"/>
    <cellStyle name="Millares 7 2 2 2 2 2 2 4 2" xfId="13806" xr:uid="{00000000-0005-0000-0000-000064400000}"/>
    <cellStyle name="Millares 7 2 2 2 2 2 2 4 3" xfId="20493" xr:uid="{00000000-0005-0000-0000-000065400000}"/>
    <cellStyle name="Millares 7 2 2 2 2 2 2 5" xfId="10489" xr:uid="{00000000-0005-0000-0000-000066400000}"/>
    <cellStyle name="Millares 7 2 2 2 2 2 2 6" xfId="17265" xr:uid="{00000000-0005-0000-0000-000067400000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3" xfId="21100" xr:uid="{00000000-0005-0000-0000-00006B400000}"/>
    <cellStyle name="Millares 7 2 2 2 2 2 3 3" xfId="11117" xr:uid="{00000000-0005-0000-0000-00006C400000}"/>
    <cellStyle name="Millares 7 2 2 2 2 2 3 4" xfId="17872" xr:uid="{00000000-0005-0000-0000-00006D400000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3" xfId="22331" xr:uid="{00000000-0005-0000-0000-000071400000}"/>
    <cellStyle name="Millares 7 2 2 2 2 2 4 3" xfId="12416" xr:uid="{00000000-0005-0000-0000-000072400000}"/>
    <cellStyle name="Millares 7 2 2 2 2 2 4 4" xfId="19103" xr:uid="{00000000-0005-0000-0000-000073400000}"/>
    <cellStyle name="Millares 7 2 2 2 2 2 5" xfId="6840" xr:uid="{00000000-0005-0000-0000-000074400000}"/>
    <cellStyle name="Millares 7 2 2 2 2 2 5 2" xfId="13418" xr:uid="{00000000-0005-0000-0000-000075400000}"/>
    <cellStyle name="Millares 7 2 2 2 2 2 5 3" xfId="20105" xr:uid="{00000000-0005-0000-0000-000076400000}"/>
    <cellStyle name="Millares 7 2 2 2 2 2 6" xfId="10100" xr:uid="{00000000-0005-0000-0000-000077400000}"/>
    <cellStyle name="Millares 7 2 2 2 2 2 7" xfId="16877" xr:uid="{00000000-0005-0000-0000-000078400000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3" xfId="21466" xr:uid="{00000000-0005-0000-0000-00007D400000}"/>
    <cellStyle name="Millares 7 2 2 2 2 3 2 3" xfId="11530" xr:uid="{00000000-0005-0000-0000-00007E400000}"/>
    <cellStyle name="Millares 7 2 2 2 2 3 2 4" xfId="18238" xr:uid="{00000000-0005-0000-0000-00007F400000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3" xfId="22697" xr:uid="{00000000-0005-0000-0000-000083400000}"/>
    <cellStyle name="Millares 7 2 2 2 2 3 3 3" xfId="12782" xr:uid="{00000000-0005-0000-0000-000084400000}"/>
    <cellStyle name="Millares 7 2 2 2 2 3 3 4" xfId="19469" xr:uid="{00000000-0005-0000-0000-000085400000}"/>
    <cellStyle name="Millares 7 2 2 2 2 3 4" xfId="7035" xr:uid="{00000000-0005-0000-0000-000086400000}"/>
    <cellStyle name="Millares 7 2 2 2 2 3 4 2" xfId="13613" xr:uid="{00000000-0005-0000-0000-000087400000}"/>
    <cellStyle name="Millares 7 2 2 2 2 3 4 3" xfId="20300" xr:uid="{00000000-0005-0000-0000-000088400000}"/>
    <cellStyle name="Millares 7 2 2 2 2 3 5" xfId="10296" xr:uid="{00000000-0005-0000-0000-000089400000}"/>
    <cellStyle name="Millares 7 2 2 2 2 3 6" xfId="17072" xr:uid="{00000000-0005-0000-0000-00008A400000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3" xfId="20704" xr:uid="{00000000-0005-0000-0000-00008E400000}"/>
    <cellStyle name="Millares 7 2 2 2 2 4 3" xfId="10701" xr:uid="{00000000-0005-0000-0000-00008F400000}"/>
    <cellStyle name="Millares 7 2 2 2 2 4 4" xfId="17476" xr:uid="{00000000-0005-0000-0000-00009040000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3" xfId="21935" xr:uid="{00000000-0005-0000-0000-000094400000}"/>
    <cellStyle name="Millares 7 2 2 2 2 5 3" xfId="12020" xr:uid="{00000000-0005-0000-0000-000095400000}"/>
    <cellStyle name="Millares 7 2 2 2 2 5 4" xfId="18707" xr:uid="{00000000-0005-0000-0000-000096400000}"/>
    <cellStyle name="Millares 7 2 2 2 2 6" xfId="6647" xr:uid="{00000000-0005-0000-0000-000097400000}"/>
    <cellStyle name="Millares 7 2 2 2 2 6 2" xfId="13225" xr:uid="{00000000-0005-0000-0000-000098400000}"/>
    <cellStyle name="Millares 7 2 2 2 2 6 3" xfId="19912" xr:uid="{00000000-0005-0000-0000-000099400000}"/>
    <cellStyle name="Millares 7 2 2 2 2 7" xfId="9892" xr:uid="{00000000-0005-0000-0000-00009A400000}"/>
    <cellStyle name="Millares 7 2 2 2 2 8" xfId="16684" xr:uid="{00000000-0005-0000-0000-00009B400000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3" xfId="21180" xr:uid="{00000000-0005-0000-0000-0000A1400000}"/>
    <cellStyle name="Millares 7 2 2 2 3 2 2 3" xfId="11202" xr:uid="{00000000-0005-0000-0000-0000A2400000}"/>
    <cellStyle name="Millares 7 2 2 2 3 2 2 4" xfId="17952" xr:uid="{00000000-0005-0000-0000-0000A3400000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3" xfId="22411" xr:uid="{00000000-0005-0000-0000-0000A7400000}"/>
    <cellStyle name="Millares 7 2 2 2 3 2 3 3" xfId="12496" xr:uid="{00000000-0005-0000-0000-0000A8400000}"/>
    <cellStyle name="Millares 7 2 2 2 3 2 3 4" xfId="19183" xr:uid="{00000000-0005-0000-0000-0000A9400000}"/>
    <cellStyle name="Millares 7 2 2 2 3 2 4" xfId="7136" xr:uid="{00000000-0005-0000-0000-0000AA400000}"/>
    <cellStyle name="Millares 7 2 2 2 3 2 4 2" xfId="13714" xr:uid="{00000000-0005-0000-0000-0000AB400000}"/>
    <cellStyle name="Millares 7 2 2 2 3 2 4 3" xfId="20401" xr:uid="{00000000-0005-0000-0000-0000AC400000}"/>
    <cellStyle name="Millares 7 2 2 2 3 2 5" xfId="10397" xr:uid="{00000000-0005-0000-0000-0000AD400000}"/>
    <cellStyle name="Millares 7 2 2 2 3 2 6" xfId="17173" xr:uid="{00000000-0005-0000-0000-0000AE400000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3" xfId="22849" xr:uid="{00000000-0005-0000-0000-0000B3400000}"/>
    <cellStyle name="Millares 7 2 2 2 3 3 2 3" xfId="12934" xr:uid="{00000000-0005-0000-0000-0000B4400000}"/>
    <cellStyle name="Millares 7 2 2 2 3 3 2 4" xfId="19621" xr:uid="{00000000-0005-0000-0000-0000B5400000}"/>
    <cellStyle name="Millares 7 2 2 2 3 3 3" xfId="8353" xr:uid="{00000000-0005-0000-0000-0000B6400000}"/>
    <cellStyle name="Millares 7 2 2 2 3 3 3 2" xfId="14931" xr:uid="{00000000-0005-0000-0000-0000B7400000}"/>
    <cellStyle name="Millares 7 2 2 2 3 3 3 3" xfId="21618" xr:uid="{00000000-0005-0000-0000-0000B8400000}"/>
    <cellStyle name="Millares 7 2 2 2 3 3 4" xfId="11694" xr:uid="{00000000-0005-0000-0000-0000B9400000}"/>
    <cellStyle name="Millares 7 2 2 2 3 3 5" xfId="18390" xr:uid="{00000000-0005-0000-0000-0000BA400000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3" xfId="20784" xr:uid="{00000000-0005-0000-0000-0000BE400000}"/>
    <cellStyle name="Millares 7 2 2 2 3 4 3" xfId="10781" xr:uid="{00000000-0005-0000-0000-0000BF400000}"/>
    <cellStyle name="Millares 7 2 2 2 3 4 4" xfId="17556" xr:uid="{00000000-0005-0000-0000-0000C0400000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3" xfId="22015" xr:uid="{00000000-0005-0000-0000-0000C4400000}"/>
    <cellStyle name="Millares 7 2 2 2 3 5 3" xfId="12100" xr:uid="{00000000-0005-0000-0000-0000C5400000}"/>
    <cellStyle name="Millares 7 2 2 2 3 5 4" xfId="18787" xr:uid="{00000000-0005-0000-0000-0000C6400000}"/>
    <cellStyle name="Millares 7 2 2 2 3 6" xfId="6748" xr:uid="{00000000-0005-0000-0000-0000C7400000}"/>
    <cellStyle name="Millares 7 2 2 2 3 6 2" xfId="13326" xr:uid="{00000000-0005-0000-0000-0000C8400000}"/>
    <cellStyle name="Millares 7 2 2 2 3 6 3" xfId="20013" xr:uid="{00000000-0005-0000-0000-0000C9400000}"/>
    <cellStyle name="Millares 7 2 2 2 3 7" xfId="9999" xr:uid="{00000000-0005-0000-0000-0000CA400000}"/>
    <cellStyle name="Millares 7 2 2 2 3 8" xfId="16785" xr:uid="{00000000-0005-0000-0000-0000CB400000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3" xfId="22513" xr:uid="{00000000-0005-0000-0000-0000D1400000}"/>
    <cellStyle name="Millares 7 2 2 2 4 2 2 3" xfId="12598" xr:uid="{00000000-0005-0000-0000-0000D2400000}"/>
    <cellStyle name="Millares 7 2 2 2 4 2 2 4" xfId="19285" xr:uid="{00000000-0005-0000-0000-0000D3400000}"/>
    <cellStyle name="Millares 7 2 2 2 4 2 3" xfId="8017" xr:uid="{00000000-0005-0000-0000-0000D4400000}"/>
    <cellStyle name="Millares 7 2 2 2 4 2 3 2" xfId="14595" xr:uid="{00000000-0005-0000-0000-0000D5400000}"/>
    <cellStyle name="Millares 7 2 2 2 4 2 3 3" xfId="21282" xr:uid="{00000000-0005-0000-0000-0000D6400000}"/>
    <cellStyle name="Millares 7 2 2 2 4 2 4" xfId="11316" xr:uid="{00000000-0005-0000-0000-0000D7400000}"/>
    <cellStyle name="Millares 7 2 2 2 4 2 5" xfId="18054" xr:uid="{00000000-0005-0000-0000-0000D8400000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3" xfId="20886" xr:uid="{00000000-0005-0000-0000-0000DC400000}"/>
    <cellStyle name="Millares 7 2 2 2 4 3 3" xfId="10890" xr:uid="{00000000-0005-0000-0000-0000DD400000}"/>
    <cellStyle name="Millares 7 2 2 2 4 3 4" xfId="17658" xr:uid="{00000000-0005-0000-0000-0000DE40000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3" xfId="22117" xr:uid="{00000000-0005-0000-0000-0000E2400000}"/>
    <cellStyle name="Millares 7 2 2 2 4 4 3" xfId="12202" xr:uid="{00000000-0005-0000-0000-0000E3400000}"/>
    <cellStyle name="Millares 7 2 2 2 4 4 4" xfId="18889" xr:uid="{00000000-0005-0000-0000-0000E4400000}"/>
    <cellStyle name="Millares 7 2 2 2 4 5" xfId="6943" xr:uid="{00000000-0005-0000-0000-0000E5400000}"/>
    <cellStyle name="Millares 7 2 2 2 4 5 2" xfId="13521" xr:uid="{00000000-0005-0000-0000-0000E6400000}"/>
    <cellStyle name="Millares 7 2 2 2 4 5 3" xfId="20208" xr:uid="{00000000-0005-0000-0000-0000E7400000}"/>
    <cellStyle name="Millares 7 2 2 2 4 6" xfId="10204" xr:uid="{00000000-0005-0000-0000-0000E8400000}"/>
    <cellStyle name="Millares 7 2 2 2 4 7" xfId="16980" xr:uid="{00000000-0005-0000-0000-0000E9400000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3" xfId="22225" xr:uid="{00000000-0005-0000-0000-0000EE400000}"/>
    <cellStyle name="Millares 7 2 2 2 5 2 3" xfId="12310" xr:uid="{00000000-0005-0000-0000-0000EF400000}"/>
    <cellStyle name="Millares 7 2 2 2 5 2 4" xfId="18997" xr:uid="{00000000-0005-0000-0000-0000F0400000}"/>
    <cellStyle name="Millares 7 2 2 2 5 3" xfId="7729" xr:uid="{00000000-0005-0000-0000-0000F1400000}"/>
    <cellStyle name="Millares 7 2 2 2 5 3 2" xfId="14307" xr:uid="{00000000-0005-0000-0000-0000F2400000}"/>
    <cellStyle name="Millares 7 2 2 2 5 3 3" xfId="20994" xr:uid="{00000000-0005-0000-0000-0000F3400000}"/>
    <cellStyle name="Millares 7 2 2 2 5 4" xfId="11009" xr:uid="{00000000-0005-0000-0000-0000F4400000}"/>
    <cellStyle name="Millares 7 2 2 2 5 5" xfId="17766" xr:uid="{00000000-0005-0000-0000-0000F5400000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3" xfId="22605" xr:uid="{00000000-0005-0000-0000-0000FA400000}"/>
    <cellStyle name="Millares 7 2 2 2 6 2 3" xfId="12690" xr:uid="{00000000-0005-0000-0000-0000FB400000}"/>
    <cellStyle name="Millares 7 2 2 2 6 2 4" xfId="19377" xr:uid="{00000000-0005-0000-0000-0000FC400000}"/>
    <cellStyle name="Millares 7 2 2 2 6 3" xfId="8109" xr:uid="{00000000-0005-0000-0000-0000FD400000}"/>
    <cellStyle name="Millares 7 2 2 2 6 3 2" xfId="14687" xr:uid="{00000000-0005-0000-0000-0000FE400000}"/>
    <cellStyle name="Millares 7 2 2 2 6 3 3" xfId="21374" xr:uid="{00000000-0005-0000-0000-0000FF400000}"/>
    <cellStyle name="Millares 7 2 2 2 6 4" xfId="11420" xr:uid="{00000000-0005-0000-0000-000000410000}"/>
    <cellStyle name="Millares 7 2 2 2 6 5" xfId="18146" xr:uid="{00000000-0005-0000-0000-000001410000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3" xfId="20598" xr:uid="{00000000-0005-0000-0000-000005410000}"/>
    <cellStyle name="Millares 7 2 2 2 7 3" xfId="10595" xr:uid="{00000000-0005-0000-0000-000006410000}"/>
    <cellStyle name="Millares 7 2 2 2 7 4" xfId="17370" xr:uid="{00000000-0005-0000-0000-000007410000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3" xfId="21829" xr:uid="{00000000-0005-0000-0000-00000B410000}"/>
    <cellStyle name="Millares 7 2 2 2 8 3" xfId="11914" xr:uid="{00000000-0005-0000-0000-00000C410000}"/>
    <cellStyle name="Millares 7 2 2 2 8 4" xfId="18601" xr:uid="{00000000-0005-0000-0000-00000D410000}"/>
    <cellStyle name="Millares 7 2 2 2 9" xfId="6555" xr:uid="{00000000-0005-0000-0000-00000E410000}"/>
    <cellStyle name="Millares 7 2 2 2 9 2" xfId="13133" xr:uid="{00000000-0005-0000-0000-00000F410000}"/>
    <cellStyle name="Millares 7 2 2 2 9 3" xfId="19820" xr:uid="{00000000-0005-0000-0000-000010410000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3" xfId="21665" xr:uid="{00000000-0005-0000-0000-000017410000}"/>
    <cellStyle name="Millares 7 2 2 3 2 2 2 3" xfId="11744" xr:uid="{00000000-0005-0000-0000-000018410000}"/>
    <cellStyle name="Millares 7 2 2 3 2 2 2 4" xfId="18437" xr:uid="{00000000-0005-0000-0000-00001941000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3" xfId="22896" xr:uid="{00000000-0005-0000-0000-00001D410000}"/>
    <cellStyle name="Millares 7 2 2 3 2 2 3 3" xfId="12981" xr:uid="{00000000-0005-0000-0000-00001E410000}"/>
    <cellStyle name="Millares 7 2 2 3 2 2 3 4" xfId="19668" xr:uid="{00000000-0005-0000-0000-00001F410000}"/>
    <cellStyle name="Millares 7 2 2 3 2 2 4" xfId="7183" xr:uid="{00000000-0005-0000-0000-000020410000}"/>
    <cellStyle name="Millares 7 2 2 3 2 2 4 2" xfId="13761" xr:uid="{00000000-0005-0000-0000-000021410000}"/>
    <cellStyle name="Millares 7 2 2 3 2 2 4 3" xfId="20448" xr:uid="{00000000-0005-0000-0000-000022410000}"/>
    <cellStyle name="Millares 7 2 2 3 2 2 5" xfId="10444" xr:uid="{00000000-0005-0000-0000-000023410000}"/>
    <cellStyle name="Millares 7 2 2 3 2 2 6" xfId="17220" xr:uid="{00000000-0005-0000-0000-000024410000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3" xfId="21055" xr:uid="{00000000-0005-0000-0000-000028410000}"/>
    <cellStyle name="Millares 7 2 2 3 2 3 3" xfId="11071" xr:uid="{00000000-0005-0000-0000-000029410000}"/>
    <cellStyle name="Millares 7 2 2 3 2 3 4" xfId="17827" xr:uid="{00000000-0005-0000-0000-00002A410000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3" xfId="22286" xr:uid="{00000000-0005-0000-0000-00002E410000}"/>
    <cellStyle name="Millares 7 2 2 3 2 4 3" xfId="12371" xr:uid="{00000000-0005-0000-0000-00002F410000}"/>
    <cellStyle name="Millares 7 2 2 3 2 4 4" xfId="19058" xr:uid="{00000000-0005-0000-0000-000030410000}"/>
    <cellStyle name="Millares 7 2 2 3 2 5" xfId="6795" xr:uid="{00000000-0005-0000-0000-000031410000}"/>
    <cellStyle name="Millares 7 2 2 3 2 5 2" xfId="13373" xr:uid="{00000000-0005-0000-0000-000032410000}"/>
    <cellStyle name="Millares 7 2 2 3 2 5 3" xfId="20060" xr:uid="{00000000-0005-0000-0000-000033410000}"/>
    <cellStyle name="Millares 7 2 2 3 2 6" xfId="10051" xr:uid="{00000000-0005-0000-0000-000034410000}"/>
    <cellStyle name="Millares 7 2 2 3 2 7" xfId="16832" xr:uid="{00000000-0005-0000-0000-000035410000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3" xfId="21421" xr:uid="{00000000-0005-0000-0000-00003A410000}"/>
    <cellStyle name="Millares 7 2 2 3 3 2 3" xfId="11475" xr:uid="{00000000-0005-0000-0000-00003B410000}"/>
    <cellStyle name="Millares 7 2 2 3 3 2 4" xfId="18193" xr:uid="{00000000-0005-0000-0000-00003C410000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3" xfId="22652" xr:uid="{00000000-0005-0000-0000-000040410000}"/>
    <cellStyle name="Millares 7 2 2 3 3 3 3" xfId="12737" xr:uid="{00000000-0005-0000-0000-000041410000}"/>
    <cellStyle name="Millares 7 2 2 3 3 3 4" xfId="19424" xr:uid="{00000000-0005-0000-0000-000042410000}"/>
    <cellStyle name="Millares 7 2 2 3 3 4" xfId="6990" xr:uid="{00000000-0005-0000-0000-000043410000}"/>
    <cellStyle name="Millares 7 2 2 3 3 4 2" xfId="13568" xr:uid="{00000000-0005-0000-0000-000044410000}"/>
    <cellStyle name="Millares 7 2 2 3 3 4 3" xfId="20255" xr:uid="{00000000-0005-0000-0000-000045410000}"/>
    <cellStyle name="Millares 7 2 2 3 3 5" xfId="10251" xr:uid="{00000000-0005-0000-0000-000046410000}"/>
    <cellStyle name="Millares 7 2 2 3 3 6" xfId="17027" xr:uid="{00000000-0005-0000-0000-000047410000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3" xfId="20659" xr:uid="{00000000-0005-0000-0000-00004B410000}"/>
    <cellStyle name="Millares 7 2 2 3 4 3" xfId="10656" xr:uid="{00000000-0005-0000-0000-00004C410000}"/>
    <cellStyle name="Millares 7 2 2 3 4 4" xfId="17431" xr:uid="{00000000-0005-0000-0000-00004D410000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3" xfId="21890" xr:uid="{00000000-0005-0000-0000-000051410000}"/>
    <cellStyle name="Millares 7 2 2 3 5 3" xfId="11975" xr:uid="{00000000-0005-0000-0000-000052410000}"/>
    <cellStyle name="Millares 7 2 2 3 5 4" xfId="18662" xr:uid="{00000000-0005-0000-0000-000053410000}"/>
    <cellStyle name="Millares 7 2 2 3 6" xfId="6602" xr:uid="{00000000-0005-0000-0000-000054410000}"/>
    <cellStyle name="Millares 7 2 2 3 6 2" xfId="13180" xr:uid="{00000000-0005-0000-0000-000055410000}"/>
    <cellStyle name="Millares 7 2 2 3 6 3" xfId="19867" xr:uid="{00000000-0005-0000-0000-000056410000}"/>
    <cellStyle name="Millares 7 2 2 3 7" xfId="9842" xr:uid="{00000000-0005-0000-0000-000057410000}"/>
    <cellStyle name="Millares 7 2 2 3 8" xfId="16639" xr:uid="{00000000-0005-0000-0000-000058410000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3" xfId="21179" xr:uid="{00000000-0005-0000-0000-00005E410000}"/>
    <cellStyle name="Millares 7 2 2 4 2 2 3" xfId="11201" xr:uid="{00000000-0005-0000-0000-00005F410000}"/>
    <cellStyle name="Millares 7 2 2 4 2 2 4" xfId="17951" xr:uid="{00000000-0005-0000-0000-000060410000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3" xfId="22410" xr:uid="{00000000-0005-0000-0000-000064410000}"/>
    <cellStyle name="Millares 7 2 2 4 2 3 3" xfId="12495" xr:uid="{00000000-0005-0000-0000-000065410000}"/>
    <cellStyle name="Millares 7 2 2 4 2 3 4" xfId="19182" xr:uid="{00000000-0005-0000-0000-000066410000}"/>
    <cellStyle name="Millares 7 2 2 4 2 4" xfId="7090" xr:uid="{00000000-0005-0000-0000-000067410000}"/>
    <cellStyle name="Millares 7 2 2 4 2 4 2" xfId="13668" xr:uid="{00000000-0005-0000-0000-000068410000}"/>
    <cellStyle name="Millares 7 2 2 4 2 4 3" xfId="20355" xr:uid="{00000000-0005-0000-0000-000069410000}"/>
    <cellStyle name="Millares 7 2 2 4 2 5" xfId="10351" xr:uid="{00000000-0005-0000-0000-00006A410000}"/>
    <cellStyle name="Millares 7 2 2 4 2 6" xfId="17127" xr:uid="{00000000-0005-0000-0000-00006B410000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3" xfId="22803" xr:uid="{00000000-0005-0000-0000-000070410000}"/>
    <cellStyle name="Millares 7 2 2 4 3 2 3" xfId="12888" xr:uid="{00000000-0005-0000-0000-000071410000}"/>
    <cellStyle name="Millares 7 2 2 4 3 2 4" xfId="19575" xr:uid="{00000000-0005-0000-0000-000072410000}"/>
    <cellStyle name="Millares 7 2 2 4 3 3" xfId="8307" xr:uid="{00000000-0005-0000-0000-000073410000}"/>
    <cellStyle name="Millares 7 2 2 4 3 3 2" xfId="14885" xr:uid="{00000000-0005-0000-0000-000074410000}"/>
    <cellStyle name="Millares 7 2 2 4 3 3 3" xfId="21572" xr:uid="{00000000-0005-0000-0000-000075410000}"/>
    <cellStyle name="Millares 7 2 2 4 3 4" xfId="11641" xr:uid="{00000000-0005-0000-0000-000076410000}"/>
    <cellStyle name="Millares 7 2 2 4 3 5" xfId="18344" xr:uid="{00000000-0005-0000-0000-000077410000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3" xfId="20783" xr:uid="{00000000-0005-0000-0000-00007B410000}"/>
    <cellStyle name="Millares 7 2 2 4 4 3" xfId="10780" xr:uid="{00000000-0005-0000-0000-00007C410000}"/>
    <cellStyle name="Millares 7 2 2 4 4 4" xfId="17555" xr:uid="{00000000-0005-0000-0000-00007D410000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3" xfId="22014" xr:uid="{00000000-0005-0000-0000-000081410000}"/>
    <cellStyle name="Millares 7 2 2 4 5 3" xfId="12099" xr:uid="{00000000-0005-0000-0000-000082410000}"/>
    <cellStyle name="Millares 7 2 2 4 5 4" xfId="18786" xr:uid="{00000000-0005-0000-0000-000083410000}"/>
    <cellStyle name="Millares 7 2 2 4 6" xfId="6702" xr:uid="{00000000-0005-0000-0000-000084410000}"/>
    <cellStyle name="Millares 7 2 2 4 6 2" xfId="13280" xr:uid="{00000000-0005-0000-0000-000085410000}"/>
    <cellStyle name="Millares 7 2 2 4 6 3" xfId="19967" xr:uid="{00000000-0005-0000-0000-000086410000}"/>
    <cellStyle name="Millares 7 2 2 4 7" xfId="9950" xr:uid="{00000000-0005-0000-0000-000087410000}"/>
    <cellStyle name="Millares 7 2 2 4 8" xfId="16739" xr:uid="{00000000-0005-0000-0000-000088410000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3" xfId="22468" xr:uid="{00000000-0005-0000-0000-00008E410000}"/>
    <cellStyle name="Millares 7 2 2 5 2 2 3" xfId="12553" xr:uid="{00000000-0005-0000-0000-00008F410000}"/>
    <cellStyle name="Millares 7 2 2 5 2 2 4" xfId="19240" xr:uid="{00000000-0005-0000-0000-000090410000}"/>
    <cellStyle name="Millares 7 2 2 5 2 3" xfId="7972" xr:uid="{00000000-0005-0000-0000-000091410000}"/>
    <cellStyle name="Millares 7 2 2 5 2 3 2" xfId="14550" xr:uid="{00000000-0005-0000-0000-000092410000}"/>
    <cellStyle name="Millares 7 2 2 5 2 3 3" xfId="21237" xr:uid="{00000000-0005-0000-0000-000093410000}"/>
    <cellStyle name="Millares 7 2 2 5 2 4" xfId="11268" xr:uid="{00000000-0005-0000-0000-000094410000}"/>
    <cellStyle name="Millares 7 2 2 5 2 5" xfId="18009" xr:uid="{00000000-0005-0000-0000-000095410000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3" xfId="20841" xr:uid="{00000000-0005-0000-0000-000099410000}"/>
    <cellStyle name="Millares 7 2 2 5 3 3" xfId="10839" xr:uid="{00000000-0005-0000-0000-00009A410000}"/>
    <cellStyle name="Millares 7 2 2 5 3 4" xfId="17613" xr:uid="{00000000-0005-0000-0000-00009B410000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3" xfId="22072" xr:uid="{00000000-0005-0000-0000-00009F410000}"/>
    <cellStyle name="Millares 7 2 2 5 4 3" xfId="12157" xr:uid="{00000000-0005-0000-0000-0000A0410000}"/>
    <cellStyle name="Millares 7 2 2 5 4 4" xfId="18844" xr:uid="{00000000-0005-0000-0000-0000A1410000}"/>
    <cellStyle name="Millares 7 2 2 5 5" xfId="6897" xr:uid="{00000000-0005-0000-0000-0000A2410000}"/>
    <cellStyle name="Millares 7 2 2 5 5 2" xfId="13475" xr:uid="{00000000-0005-0000-0000-0000A3410000}"/>
    <cellStyle name="Millares 7 2 2 5 5 3" xfId="20162" xr:uid="{00000000-0005-0000-0000-0000A4410000}"/>
    <cellStyle name="Millares 7 2 2 5 6" xfId="10158" xr:uid="{00000000-0005-0000-0000-0000A5410000}"/>
    <cellStyle name="Millares 7 2 2 5 7" xfId="16934" xr:uid="{00000000-0005-0000-0000-0000A6410000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3" xfId="22180" xr:uid="{00000000-0005-0000-0000-0000AB410000}"/>
    <cellStyle name="Millares 7 2 2 6 2 3" xfId="12265" xr:uid="{00000000-0005-0000-0000-0000AC410000}"/>
    <cellStyle name="Millares 7 2 2 6 2 4" xfId="18952" xr:uid="{00000000-0005-0000-0000-0000AD410000}"/>
    <cellStyle name="Millares 7 2 2 6 3" xfId="7684" xr:uid="{00000000-0005-0000-0000-0000AE410000}"/>
    <cellStyle name="Millares 7 2 2 6 3 2" xfId="14262" xr:uid="{00000000-0005-0000-0000-0000AF410000}"/>
    <cellStyle name="Millares 7 2 2 6 3 3" xfId="20949" xr:uid="{00000000-0005-0000-0000-0000B0410000}"/>
    <cellStyle name="Millares 7 2 2 6 4" xfId="10957" xr:uid="{00000000-0005-0000-0000-0000B1410000}"/>
    <cellStyle name="Millares 7 2 2 6 5" xfId="17721" xr:uid="{00000000-0005-0000-0000-0000B241000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3" xfId="22560" xr:uid="{00000000-0005-0000-0000-0000B7410000}"/>
    <cellStyle name="Millares 7 2 2 7 2 3" xfId="12645" xr:uid="{00000000-0005-0000-0000-0000B8410000}"/>
    <cellStyle name="Millares 7 2 2 7 2 4" xfId="19332" xr:uid="{00000000-0005-0000-0000-0000B9410000}"/>
    <cellStyle name="Millares 7 2 2 7 3" xfId="8064" xr:uid="{00000000-0005-0000-0000-0000BA410000}"/>
    <cellStyle name="Millares 7 2 2 7 3 2" xfId="14642" xr:uid="{00000000-0005-0000-0000-0000BB410000}"/>
    <cellStyle name="Millares 7 2 2 7 3 3" xfId="21329" xr:uid="{00000000-0005-0000-0000-0000BC410000}"/>
    <cellStyle name="Millares 7 2 2 7 4" xfId="11366" xr:uid="{00000000-0005-0000-0000-0000BD410000}"/>
    <cellStyle name="Millares 7 2 2 7 5" xfId="18101" xr:uid="{00000000-0005-0000-0000-0000BE410000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3" xfId="20553" xr:uid="{00000000-0005-0000-0000-0000C2410000}"/>
    <cellStyle name="Millares 7 2 2 8 3" xfId="10550" xr:uid="{00000000-0005-0000-0000-0000C3410000}"/>
    <cellStyle name="Millares 7 2 2 8 4" xfId="17325" xr:uid="{00000000-0005-0000-0000-0000C4410000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3" xfId="21784" xr:uid="{00000000-0005-0000-0000-0000C8410000}"/>
    <cellStyle name="Millares 7 2 2 9 3" xfId="11869" xr:uid="{00000000-0005-0000-0000-0000C9410000}"/>
    <cellStyle name="Millares 7 2 2 9 4" xfId="18556" xr:uid="{00000000-0005-0000-0000-0000CA410000}"/>
    <cellStyle name="Millares 7 2 3" xfId="296" xr:uid="{00000000-0005-0000-0000-0000CB410000}"/>
    <cellStyle name="Millares 7 2 3 10" xfId="9769" xr:uid="{00000000-0005-0000-0000-0000CC410000}"/>
    <cellStyle name="Millares 7 2 3 11" xfId="16570" xr:uid="{00000000-0005-0000-0000-0000CD410000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3" xfId="21688" xr:uid="{00000000-0005-0000-0000-0000D4410000}"/>
    <cellStyle name="Millares 7 2 3 2 2 2 2 3" xfId="11771" xr:uid="{00000000-0005-0000-0000-0000D5410000}"/>
    <cellStyle name="Millares 7 2 3 2 2 2 2 4" xfId="18460" xr:uid="{00000000-0005-0000-0000-0000D6410000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3" xfId="22919" xr:uid="{00000000-0005-0000-0000-0000DA410000}"/>
    <cellStyle name="Millares 7 2 3 2 2 2 3 3" xfId="13004" xr:uid="{00000000-0005-0000-0000-0000DB410000}"/>
    <cellStyle name="Millares 7 2 3 2 2 2 3 4" xfId="19691" xr:uid="{00000000-0005-0000-0000-0000DC410000}"/>
    <cellStyle name="Millares 7 2 3 2 2 2 4" xfId="7206" xr:uid="{00000000-0005-0000-0000-0000DD410000}"/>
    <cellStyle name="Millares 7 2 3 2 2 2 4 2" xfId="13784" xr:uid="{00000000-0005-0000-0000-0000DE410000}"/>
    <cellStyle name="Millares 7 2 3 2 2 2 4 3" xfId="20471" xr:uid="{00000000-0005-0000-0000-0000DF410000}"/>
    <cellStyle name="Millares 7 2 3 2 2 2 5" xfId="10467" xr:uid="{00000000-0005-0000-0000-0000E0410000}"/>
    <cellStyle name="Millares 7 2 3 2 2 2 6" xfId="17243" xr:uid="{00000000-0005-0000-0000-0000E1410000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3" xfId="21078" xr:uid="{00000000-0005-0000-0000-0000E5410000}"/>
    <cellStyle name="Millares 7 2 3 2 2 3 3" xfId="11095" xr:uid="{00000000-0005-0000-0000-0000E6410000}"/>
    <cellStyle name="Millares 7 2 3 2 2 3 4" xfId="17850" xr:uid="{00000000-0005-0000-0000-0000E7410000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3" xfId="22309" xr:uid="{00000000-0005-0000-0000-0000EB410000}"/>
    <cellStyle name="Millares 7 2 3 2 2 4 3" xfId="12394" xr:uid="{00000000-0005-0000-0000-0000EC410000}"/>
    <cellStyle name="Millares 7 2 3 2 2 4 4" xfId="19081" xr:uid="{00000000-0005-0000-0000-0000ED410000}"/>
    <cellStyle name="Millares 7 2 3 2 2 5" xfId="6818" xr:uid="{00000000-0005-0000-0000-0000EE410000}"/>
    <cellStyle name="Millares 7 2 3 2 2 5 2" xfId="13396" xr:uid="{00000000-0005-0000-0000-0000EF410000}"/>
    <cellStyle name="Millares 7 2 3 2 2 5 3" xfId="20083" xr:uid="{00000000-0005-0000-0000-0000F0410000}"/>
    <cellStyle name="Millares 7 2 3 2 2 6" xfId="10076" xr:uid="{00000000-0005-0000-0000-0000F1410000}"/>
    <cellStyle name="Millares 7 2 3 2 2 7" xfId="16855" xr:uid="{00000000-0005-0000-0000-0000F2410000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3" xfId="21444" xr:uid="{00000000-0005-0000-0000-0000F7410000}"/>
    <cellStyle name="Millares 7 2 3 2 3 2 3" xfId="11504" xr:uid="{00000000-0005-0000-0000-0000F8410000}"/>
    <cellStyle name="Millares 7 2 3 2 3 2 4" xfId="18216" xr:uid="{00000000-0005-0000-0000-0000F9410000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3" xfId="22675" xr:uid="{00000000-0005-0000-0000-0000FD410000}"/>
    <cellStyle name="Millares 7 2 3 2 3 3 3" xfId="12760" xr:uid="{00000000-0005-0000-0000-0000FE410000}"/>
    <cellStyle name="Millares 7 2 3 2 3 3 4" xfId="19447" xr:uid="{00000000-0005-0000-0000-0000FF410000}"/>
    <cellStyle name="Millares 7 2 3 2 3 4" xfId="7013" xr:uid="{00000000-0005-0000-0000-000000420000}"/>
    <cellStyle name="Millares 7 2 3 2 3 4 2" xfId="13591" xr:uid="{00000000-0005-0000-0000-000001420000}"/>
    <cellStyle name="Millares 7 2 3 2 3 4 3" xfId="20278" xr:uid="{00000000-0005-0000-0000-000002420000}"/>
    <cellStyle name="Millares 7 2 3 2 3 5" xfId="10274" xr:uid="{00000000-0005-0000-0000-000003420000}"/>
    <cellStyle name="Millares 7 2 3 2 3 6" xfId="17050" xr:uid="{00000000-0005-0000-0000-000004420000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3" xfId="20682" xr:uid="{00000000-0005-0000-0000-000008420000}"/>
    <cellStyle name="Millares 7 2 3 2 4 3" xfId="10679" xr:uid="{00000000-0005-0000-0000-000009420000}"/>
    <cellStyle name="Millares 7 2 3 2 4 4" xfId="17454" xr:uid="{00000000-0005-0000-0000-00000A420000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3" xfId="21913" xr:uid="{00000000-0005-0000-0000-00000E420000}"/>
    <cellStyle name="Millares 7 2 3 2 5 3" xfId="11998" xr:uid="{00000000-0005-0000-0000-00000F420000}"/>
    <cellStyle name="Millares 7 2 3 2 5 4" xfId="18685" xr:uid="{00000000-0005-0000-0000-000010420000}"/>
    <cellStyle name="Millares 7 2 3 2 6" xfId="6625" xr:uid="{00000000-0005-0000-0000-000011420000}"/>
    <cellStyle name="Millares 7 2 3 2 6 2" xfId="13203" xr:uid="{00000000-0005-0000-0000-000012420000}"/>
    <cellStyle name="Millares 7 2 3 2 6 3" xfId="19890" xr:uid="{00000000-0005-0000-0000-000013420000}"/>
    <cellStyle name="Millares 7 2 3 2 7" xfId="9868" xr:uid="{00000000-0005-0000-0000-000014420000}"/>
    <cellStyle name="Millares 7 2 3 2 8" xfId="16662" xr:uid="{00000000-0005-0000-0000-000015420000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3" xfId="21181" xr:uid="{00000000-0005-0000-0000-00001B420000}"/>
    <cellStyle name="Millares 7 2 3 3 2 2 3" xfId="11203" xr:uid="{00000000-0005-0000-0000-00001C420000}"/>
    <cellStyle name="Millares 7 2 3 3 2 2 4" xfId="17953" xr:uid="{00000000-0005-0000-0000-00001D420000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3" xfId="22412" xr:uid="{00000000-0005-0000-0000-000021420000}"/>
    <cellStyle name="Millares 7 2 3 3 2 3 3" xfId="12497" xr:uid="{00000000-0005-0000-0000-000022420000}"/>
    <cellStyle name="Millares 7 2 3 3 2 3 4" xfId="19184" xr:uid="{00000000-0005-0000-0000-000023420000}"/>
    <cellStyle name="Millares 7 2 3 3 2 4" xfId="7114" xr:uid="{00000000-0005-0000-0000-000024420000}"/>
    <cellStyle name="Millares 7 2 3 3 2 4 2" xfId="13692" xr:uid="{00000000-0005-0000-0000-000025420000}"/>
    <cellStyle name="Millares 7 2 3 3 2 4 3" xfId="20379" xr:uid="{00000000-0005-0000-0000-000026420000}"/>
    <cellStyle name="Millares 7 2 3 3 2 5" xfId="10375" xr:uid="{00000000-0005-0000-0000-000027420000}"/>
    <cellStyle name="Millares 7 2 3 3 2 6" xfId="17151" xr:uid="{00000000-0005-0000-0000-000028420000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3" xfId="22827" xr:uid="{00000000-0005-0000-0000-00002D420000}"/>
    <cellStyle name="Millares 7 2 3 3 3 2 3" xfId="12912" xr:uid="{00000000-0005-0000-0000-00002E420000}"/>
    <cellStyle name="Millares 7 2 3 3 3 2 4" xfId="19599" xr:uid="{00000000-0005-0000-0000-00002F420000}"/>
    <cellStyle name="Millares 7 2 3 3 3 3" xfId="8331" xr:uid="{00000000-0005-0000-0000-000030420000}"/>
    <cellStyle name="Millares 7 2 3 3 3 3 2" xfId="14909" xr:uid="{00000000-0005-0000-0000-000031420000}"/>
    <cellStyle name="Millares 7 2 3 3 3 3 3" xfId="21596" xr:uid="{00000000-0005-0000-0000-000032420000}"/>
    <cellStyle name="Millares 7 2 3 3 3 4" xfId="11666" xr:uid="{00000000-0005-0000-0000-000033420000}"/>
    <cellStyle name="Millares 7 2 3 3 3 5" xfId="18368" xr:uid="{00000000-0005-0000-0000-000034420000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3" xfId="20785" xr:uid="{00000000-0005-0000-0000-000038420000}"/>
    <cellStyle name="Millares 7 2 3 3 4 3" xfId="10782" xr:uid="{00000000-0005-0000-0000-000039420000}"/>
    <cellStyle name="Millares 7 2 3 3 4 4" xfId="17557" xr:uid="{00000000-0005-0000-0000-00003A420000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3" xfId="22016" xr:uid="{00000000-0005-0000-0000-00003E420000}"/>
    <cellStyle name="Millares 7 2 3 3 5 3" xfId="12101" xr:uid="{00000000-0005-0000-0000-00003F420000}"/>
    <cellStyle name="Millares 7 2 3 3 5 4" xfId="18788" xr:uid="{00000000-0005-0000-0000-000040420000}"/>
    <cellStyle name="Millares 7 2 3 3 6" xfId="6726" xr:uid="{00000000-0005-0000-0000-000041420000}"/>
    <cellStyle name="Millares 7 2 3 3 6 2" xfId="13304" xr:uid="{00000000-0005-0000-0000-000042420000}"/>
    <cellStyle name="Millares 7 2 3 3 6 3" xfId="19991" xr:uid="{00000000-0005-0000-0000-000043420000}"/>
    <cellStyle name="Millares 7 2 3 3 7" xfId="9975" xr:uid="{00000000-0005-0000-0000-000044420000}"/>
    <cellStyle name="Millares 7 2 3 3 8" xfId="16763" xr:uid="{00000000-0005-0000-0000-000045420000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3" xfId="22491" xr:uid="{00000000-0005-0000-0000-00004B420000}"/>
    <cellStyle name="Millares 7 2 3 4 2 2 3" xfId="12576" xr:uid="{00000000-0005-0000-0000-00004C420000}"/>
    <cellStyle name="Millares 7 2 3 4 2 2 4" xfId="19263" xr:uid="{00000000-0005-0000-0000-00004D420000}"/>
    <cellStyle name="Millares 7 2 3 4 2 3" xfId="7995" xr:uid="{00000000-0005-0000-0000-00004E420000}"/>
    <cellStyle name="Millares 7 2 3 4 2 3 2" xfId="14573" xr:uid="{00000000-0005-0000-0000-00004F420000}"/>
    <cellStyle name="Millares 7 2 3 4 2 3 3" xfId="21260" xr:uid="{00000000-0005-0000-0000-000050420000}"/>
    <cellStyle name="Millares 7 2 3 4 2 4" xfId="11292" xr:uid="{00000000-0005-0000-0000-000051420000}"/>
    <cellStyle name="Millares 7 2 3 4 2 5" xfId="18032" xr:uid="{00000000-0005-0000-0000-000052420000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3" xfId="20864" xr:uid="{00000000-0005-0000-0000-000056420000}"/>
    <cellStyle name="Millares 7 2 3 4 3 3" xfId="10866" xr:uid="{00000000-0005-0000-0000-000057420000}"/>
    <cellStyle name="Millares 7 2 3 4 3 4" xfId="17636" xr:uid="{00000000-0005-0000-0000-000058420000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3" xfId="22095" xr:uid="{00000000-0005-0000-0000-00005C420000}"/>
    <cellStyle name="Millares 7 2 3 4 4 3" xfId="12180" xr:uid="{00000000-0005-0000-0000-00005D420000}"/>
    <cellStyle name="Millares 7 2 3 4 4 4" xfId="18867" xr:uid="{00000000-0005-0000-0000-00005E420000}"/>
    <cellStyle name="Millares 7 2 3 4 5" xfId="6921" xr:uid="{00000000-0005-0000-0000-00005F420000}"/>
    <cellStyle name="Millares 7 2 3 4 5 2" xfId="13499" xr:uid="{00000000-0005-0000-0000-000060420000}"/>
    <cellStyle name="Millares 7 2 3 4 5 3" xfId="20186" xr:uid="{00000000-0005-0000-0000-000061420000}"/>
    <cellStyle name="Millares 7 2 3 4 6" xfId="10182" xr:uid="{00000000-0005-0000-0000-000062420000}"/>
    <cellStyle name="Millares 7 2 3 4 7" xfId="16958" xr:uid="{00000000-0005-0000-0000-000063420000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3" xfId="22203" xr:uid="{00000000-0005-0000-0000-000068420000}"/>
    <cellStyle name="Millares 7 2 3 5 2 3" xfId="12288" xr:uid="{00000000-0005-0000-0000-000069420000}"/>
    <cellStyle name="Millares 7 2 3 5 2 4" xfId="18975" xr:uid="{00000000-0005-0000-0000-00006A420000}"/>
    <cellStyle name="Millares 7 2 3 5 3" xfId="7707" xr:uid="{00000000-0005-0000-0000-00006B420000}"/>
    <cellStyle name="Millares 7 2 3 5 3 2" xfId="14285" xr:uid="{00000000-0005-0000-0000-00006C420000}"/>
    <cellStyle name="Millares 7 2 3 5 3 3" xfId="20972" xr:uid="{00000000-0005-0000-0000-00006D420000}"/>
    <cellStyle name="Millares 7 2 3 5 4" xfId="10983" xr:uid="{00000000-0005-0000-0000-00006E420000}"/>
    <cellStyle name="Millares 7 2 3 5 5" xfId="17744" xr:uid="{00000000-0005-0000-0000-00006F420000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3" xfId="22583" xr:uid="{00000000-0005-0000-0000-000074420000}"/>
    <cellStyle name="Millares 7 2 3 6 2 3" xfId="12668" xr:uid="{00000000-0005-0000-0000-000075420000}"/>
    <cellStyle name="Millares 7 2 3 6 2 4" xfId="19355" xr:uid="{00000000-0005-0000-0000-000076420000}"/>
    <cellStyle name="Millares 7 2 3 6 3" xfId="8087" xr:uid="{00000000-0005-0000-0000-000077420000}"/>
    <cellStyle name="Millares 7 2 3 6 3 2" xfId="14665" xr:uid="{00000000-0005-0000-0000-000078420000}"/>
    <cellStyle name="Millares 7 2 3 6 3 3" xfId="21352" xr:uid="{00000000-0005-0000-0000-000079420000}"/>
    <cellStyle name="Millares 7 2 3 6 4" xfId="11393" xr:uid="{00000000-0005-0000-0000-00007A420000}"/>
    <cellStyle name="Millares 7 2 3 6 5" xfId="18124" xr:uid="{00000000-0005-0000-0000-00007B420000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3" xfId="20576" xr:uid="{00000000-0005-0000-0000-00007F420000}"/>
    <cellStyle name="Millares 7 2 3 7 3" xfId="10573" xr:uid="{00000000-0005-0000-0000-000080420000}"/>
    <cellStyle name="Millares 7 2 3 7 4" xfId="17348" xr:uid="{00000000-0005-0000-0000-000081420000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3" xfId="21807" xr:uid="{00000000-0005-0000-0000-000085420000}"/>
    <cellStyle name="Millares 7 2 3 8 3" xfId="11892" xr:uid="{00000000-0005-0000-0000-000086420000}"/>
    <cellStyle name="Millares 7 2 3 8 4" xfId="18579" xr:uid="{00000000-0005-0000-0000-000087420000}"/>
    <cellStyle name="Millares 7 2 3 9" xfId="6533" xr:uid="{00000000-0005-0000-0000-000088420000}"/>
    <cellStyle name="Millares 7 2 3 9 2" xfId="13111" xr:uid="{00000000-0005-0000-0000-000089420000}"/>
    <cellStyle name="Millares 7 2 3 9 3" xfId="19798" xr:uid="{00000000-0005-0000-0000-00008A420000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3" xfId="21643" xr:uid="{00000000-0005-0000-0000-000091420000}"/>
    <cellStyle name="Millares 7 2 4 2 2 2 3" xfId="11720" xr:uid="{00000000-0005-0000-0000-000092420000}"/>
    <cellStyle name="Millares 7 2 4 2 2 2 4" xfId="18415" xr:uid="{00000000-0005-0000-0000-000093420000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3" xfId="22874" xr:uid="{00000000-0005-0000-0000-000097420000}"/>
    <cellStyle name="Millares 7 2 4 2 2 3 3" xfId="12959" xr:uid="{00000000-0005-0000-0000-000098420000}"/>
    <cellStyle name="Millares 7 2 4 2 2 3 4" xfId="19646" xr:uid="{00000000-0005-0000-0000-000099420000}"/>
    <cellStyle name="Millares 7 2 4 2 2 4" xfId="7161" xr:uid="{00000000-0005-0000-0000-00009A420000}"/>
    <cellStyle name="Millares 7 2 4 2 2 4 2" xfId="13739" xr:uid="{00000000-0005-0000-0000-00009B420000}"/>
    <cellStyle name="Millares 7 2 4 2 2 4 3" xfId="20426" xr:uid="{00000000-0005-0000-0000-00009C420000}"/>
    <cellStyle name="Millares 7 2 4 2 2 5" xfId="10422" xr:uid="{00000000-0005-0000-0000-00009D420000}"/>
    <cellStyle name="Millares 7 2 4 2 2 6" xfId="17198" xr:uid="{00000000-0005-0000-0000-00009E420000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3" xfId="21032" xr:uid="{00000000-0005-0000-0000-0000A2420000}"/>
    <cellStyle name="Millares 7 2 4 2 3 3" xfId="11048" xr:uid="{00000000-0005-0000-0000-0000A3420000}"/>
    <cellStyle name="Millares 7 2 4 2 3 4" xfId="17804" xr:uid="{00000000-0005-0000-0000-0000A4420000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3" xfId="22263" xr:uid="{00000000-0005-0000-0000-0000A8420000}"/>
    <cellStyle name="Millares 7 2 4 2 4 3" xfId="12348" xr:uid="{00000000-0005-0000-0000-0000A9420000}"/>
    <cellStyle name="Millares 7 2 4 2 4 4" xfId="19035" xr:uid="{00000000-0005-0000-0000-0000AA420000}"/>
    <cellStyle name="Millares 7 2 4 2 5" xfId="6773" xr:uid="{00000000-0005-0000-0000-0000AB420000}"/>
    <cellStyle name="Millares 7 2 4 2 5 2" xfId="13351" xr:uid="{00000000-0005-0000-0000-0000AC420000}"/>
    <cellStyle name="Millares 7 2 4 2 5 3" xfId="20038" xr:uid="{00000000-0005-0000-0000-0000AD420000}"/>
    <cellStyle name="Millares 7 2 4 2 6" xfId="10028" xr:uid="{00000000-0005-0000-0000-0000AE420000}"/>
    <cellStyle name="Millares 7 2 4 2 7" xfId="16810" xr:uid="{00000000-0005-0000-0000-0000AF420000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3" xfId="21399" xr:uid="{00000000-0005-0000-0000-0000B4420000}"/>
    <cellStyle name="Millares 7 2 4 3 2 3" xfId="11447" xr:uid="{00000000-0005-0000-0000-0000B5420000}"/>
    <cellStyle name="Millares 7 2 4 3 2 4" xfId="18171" xr:uid="{00000000-0005-0000-0000-0000B6420000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3" xfId="22630" xr:uid="{00000000-0005-0000-0000-0000BA420000}"/>
    <cellStyle name="Millares 7 2 4 3 3 3" xfId="12715" xr:uid="{00000000-0005-0000-0000-0000BB420000}"/>
    <cellStyle name="Millares 7 2 4 3 3 4" xfId="19402" xr:uid="{00000000-0005-0000-0000-0000BC420000}"/>
    <cellStyle name="Millares 7 2 4 3 4" xfId="6968" xr:uid="{00000000-0005-0000-0000-0000BD420000}"/>
    <cellStyle name="Millares 7 2 4 3 4 2" xfId="13546" xr:uid="{00000000-0005-0000-0000-0000BE420000}"/>
    <cellStyle name="Millares 7 2 4 3 4 3" xfId="20233" xr:uid="{00000000-0005-0000-0000-0000BF420000}"/>
    <cellStyle name="Millares 7 2 4 3 5" xfId="10229" xr:uid="{00000000-0005-0000-0000-0000C0420000}"/>
    <cellStyle name="Millares 7 2 4 3 6" xfId="17005" xr:uid="{00000000-0005-0000-0000-0000C1420000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3" xfId="20636" xr:uid="{00000000-0005-0000-0000-0000C5420000}"/>
    <cellStyle name="Millares 7 2 4 4 3" xfId="10633" xr:uid="{00000000-0005-0000-0000-0000C6420000}"/>
    <cellStyle name="Millares 7 2 4 4 4" xfId="17408" xr:uid="{00000000-0005-0000-0000-0000C7420000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3" xfId="21867" xr:uid="{00000000-0005-0000-0000-0000CB420000}"/>
    <cellStyle name="Millares 7 2 4 5 3" xfId="11952" xr:uid="{00000000-0005-0000-0000-0000CC420000}"/>
    <cellStyle name="Millares 7 2 4 5 4" xfId="18639" xr:uid="{00000000-0005-0000-0000-0000CD420000}"/>
    <cellStyle name="Millares 7 2 4 6" xfId="6580" xr:uid="{00000000-0005-0000-0000-0000CE420000}"/>
    <cellStyle name="Millares 7 2 4 6 2" xfId="13158" xr:uid="{00000000-0005-0000-0000-0000CF420000}"/>
    <cellStyle name="Millares 7 2 4 6 3" xfId="19845" xr:uid="{00000000-0005-0000-0000-0000D0420000}"/>
    <cellStyle name="Millares 7 2 4 7" xfId="9818" xr:uid="{00000000-0005-0000-0000-0000D1420000}"/>
    <cellStyle name="Millares 7 2 4 8" xfId="16617" xr:uid="{00000000-0005-0000-0000-0000D2420000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3" xfId="21178" xr:uid="{00000000-0005-0000-0000-0000D8420000}"/>
    <cellStyle name="Millares 7 2 5 2 2 3" xfId="11200" xr:uid="{00000000-0005-0000-0000-0000D9420000}"/>
    <cellStyle name="Millares 7 2 5 2 2 4" xfId="17950" xr:uid="{00000000-0005-0000-0000-0000DA420000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3" xfId="22409" xr:uid="{00000000-0005-0000-0000-0000DE420000}"/>
    <cellStyle name="Millares 7 2 5 2 3 3" xfId="12494" xr:uid="{00000000-0005-0000-0000-0000DF420000}"/>
    <cellStyle name="Millares 7 2 5 2 3 4" xfId="19181" xr:uid="{00000000-0005-0000-0000-0000E0420000}"/>
    <cellStyle name="Millares 7 2 5 2 4" xfId="7067" xr:uid="{00000000-0005-0000-0000-0000E1420000}"/>
    <cellStyle name="Millares 7 2 5 2 4 2" xfId="13645" xr:uid="{00000000-0005-0000-0000-0000E2420000}"/>
    <cellStyle name="Millares 7 2 5 2 4 3" xfId="20332" xr:uid="{00000000-0005-0000-0000-0000E3420000}"/>
    <cellStyle name="Millares 7 2 5 2 5" xfId="10328" xr:uid="{00000000-0005-0000-0000-0000E4420000}"/>
    <cellStyle name="Millares 7 2 5 2 6" xfId="17104" xr:uid="{00000000-0005-0000-0000-0000E5420000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3" xfId="22780" xr:uid="{00000000-0005-0000-0000-0000EA420000}"/>
    <cellStyle name="Millares 7 2 5 3 2 3" xfId="12865" xr:uid="{00000000-0005-0000-0000-0000EB420000}"/>
    <cellStyle name="Millares 7 2 5 3 2 4" xfId="19552" xr:uid="{00000000-0005-0000-0000-0000EC420000}"/>
    <cellStyle name="Millares 7 2 5 3 3" xfId="8284" xr:uid="{00000000-0005-0000-0000-0000ED420000}"/>
    <cellStyle name="Millares 7 2 5 3 3 2" xfId="14862" xr:uid="{00000000-0005-0000-0000-0000EE420000}"/>
    <cellStyle name="Millares 7 2 5 3 3 3" xfId="21549" xr:uid="{00000000-0005-0000-0000-0000EF420000}"/>
    <cellStyle name="Millares 7 2 5 3 4" xfId="11615" xr:uid="{00000000-0005-0000-0000-0000F0420000}"/>
    <cellStyle name="Millares 7 2 5 3 5" xfId="18321" xr:uid="{00000000-0005-0000-0000-0000F1420000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3" xfId="20782" xr:uid="{00000000-0005-0000-0000-0000F5420000}"/>
    <cellStyle name="Millares 7 2 5 4 3" xfId="10779" xr:uid="{00000000-0005-0000-0000-0000F6420000}"/>
    <cellStyle name="Millares 7 2 5 4 4" xfId="17554" xr:uid="{00000000-0005-0000-0000-0000F7420000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3" xfId="22013" xr:uid="{00000000-0005-0000-0000-0000FB420000}"/>
    <cellStyle name="Millares 7 2 5 5 3" xfId="12098" xr:uid="{00000000-0005-0000-0000-0000FC420000}"/>
    <cellStyle name="Millares 7 2 5 5 4" xfId="18785" xr:uid="{00000000-0005-0000-0000-0000FD420000}"/>
    <cellStyle name="Millares 7 2 5 6" xfId="6679" xr:uid="{00000000-0005-0000-0000-0000FE420000}"/>
    <cellStyle name="Millares 7 2 5 6 2" xfId="13257" xr:uid="{00000000-0005-0000-0000-0000FF420000}"/>
    <cellStyle name="Millares 7 2 5 6 3" xfId="19944" xr:uid="{00000000-0005-0000-0000-000000430000}"/>
    <cellStyle name="Millares 7 2 5 7" xfId="9925" xr:uid="{00000000-0005-0000-0000-000001430000}"/>
    <cellStyle name="Millares 7 2 5 8" xfId="16716" xr:uid="{00000000-0005-0000-0000-000002430000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3" xfId="22446" xr:uid="{00000000-0005-0000-0000-000008430000}"/>
    <cellStyle name="Millares 7 2 6 2 2 3" xfId="12531" xr:uid="{00000000-0005-0000-0000-000009430000}"/>
    <cellStyle name="Millares 7 2 6 2 2 4" xfId="19218" xr:uid="{00000000-0005-0000-0000-00000A430000}"/>
    <cellStyle name="Millares 7 2 6 2 3" xfId="7950" xr:uid="{00000000-0005-0000-0000-00000B430000}"/>
    <cellStyle name="Millares 7 2 6 2 3 2" xfId="14528" xr:uid="{00000000-0005-0000-0000-00000C430000}"/>
    <cellStyle name="Millares 7 2 6 2 3 3" xfId="21215" xr:uid="{00000000-0005-0000-0000-00000D430000}"/>
    <cellStyle name="Millares 7 2 6 2 4" xfId="11243" xr:uid="{00000000-0005-0000-0000-00000E430000}"/>
    <cellStyle name="Millares 7 2 6 2 5" xfId="17987" xr:uid="{00000000-0005-0000-0000-00000F430000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3" xfId="20819" xr:uid="{00000000-0005-0000-0000-000013430000}"/>
    <cellStyle name="Millares 7 2 6 3 3" xfId="10817" xr:uid="{00000000-0005-0000-0000-000014430000}"/>
    <cellStyle name="Millares 7 2 6 3 4" xfId="17591" xr:uid="{00000000-0005-0000-0000-000015430000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3" xfId="22050" xr:uid="{00000000-0005-0000-0000-000019430000}"/>
    <cellStyle name="Millares 7 2 6 4 3" xfId="12135" xr:uid="{00000000-0005-0000-0000-00001A430000}"/>
    <cellStyle name="Millares 7 2 6 4 4" xfId="18822" xr:uid="{00000000-0005-0000-0000-00001B430000}"/>
    <cellStyle name="Millares 7 2 6 5" xfId="6874" xr:uid="{00000000-0005-0000-0000-00001C430000}"/>
    <cellStyle name="Millares 7 2 6 5 2" xfId="13452" xr:uid="{00000000-0005-0000-0000-00001D430000}"/>
    <cellStyle name="Millares 7 2 6 5 3" xfId="20139" xr:uid="{00000000-0005-0000-0000-00001E430000}"/>
    <cellStyle name="Millares 7 2 6 6" xfId="10135" xr:uid="{00000000-0005-0000-0000-00001F430000}"/>
    <cellStyle name="Millares 7 2 6 7" xfId="16911" xr:uid="{00000000-0005-0000-0000-000020430000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3" xfId="22157" xr:uid="{00000000-0005-0000-0000-000025430000}"/>
    <cellStyle name="Millares 7 2 7 2 3" xfId="12242" xr:uid="{00000000-0005-0000-0000-000026430000}"/>
    <cellStyle name="Millares 7 2 7 2 4" xfId="18929" xr:uid="{00000000-0005-0000-0000-000027430000}"/>
    <cellStyle name="Millares 7 2 7 3" xfId="7661" xr:uid="{00000000-0005-0000-0000-000028430000}"/>
    <cellStyle name="Millares 7 2 7 3 2" xfId="14239" xr:uid="{00000000-0005-0000-0000-000029430000}"/>
    <cellStyle name="Millares 7 2 7 3 3" xfId="20926" xr:uid="{00000000-0005-0000-0000-00002A430000}"/>
    <cellStyle name="Millares 7 2 7 4" xfId="10933" xr:uid="{00000000-0005-0000-0000-00002B430000}"/>
    <cellStyle name="Millares 7 2 7 5" xfId="17698" xr:uid="{00000000-0005-0000-0000-00002C430000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3" xfId="22538" xr:uid="{00000000-0005-0000-0000-000031430000}"/>
    <cellStyle name="Millares 7 2 8 2 3" xfId="12623" xr:uid="{00000000-0005-0000-0000-000032430000}"/>
    <cellStyle name="Millares 7 2 8 2 4" xfId="19310" xr:uid="{00000000-0005-0000-0000-000033430000}"/>
    <cellStyle name="Millares 7 2 8 3" xfId="8042" xr:uid="{00000000-0005-0000-0000-000034430000}"/>
    <cellStyle name="Millares 7 2 8 3 2" xfId="14620" xr:uid="{00000000-0005-0000-0000-000035430000}"/>
    <cellStyle name="Millares 7 2 8 3 3" xfId="21307" xr:uid="{00000000-0005-0000-0000-000036430000}"/>
    <cellStyle name="Millares 7 2 8 4" xfId="11343" xr:uid="{00000000-0005-0000-0000-000037430000}"/>
    <cellStyle name="Millares 7 2 8 5" xfId="18079" xr:uid="{00000000-0005-0000-0000-000038430000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3" xfId="20530" xr:uid="{00000000-0005-0000-0000-00003C430000}"/>
    <cellStyle name="Millares 7 2 9 3" xfId="10527" xr:uid="{00000000-0005-0000-0000-00003D430000}"/>
    <cellStyle name="Millares 7 2 9 4" xfId="17302" xr:uid="{00000000-0005-0000-0000-00003E430000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3" xfId="19764" xr:uid="{00000000-0005-0000-0000-000042430000}"/>
    <cellStyle name="Millares 7 3 11" xfId="9733" xr:uid="{00000000-0005-0000-0000-000043430000}"/>
    <cellStyle name="Millares 7 3 12" xfId="16536" xr:uid="{00000000-0005-0000-0000-000044430000}"/>
    <cellStyle name="Millares 7 3 2" xfId="342" xr:uid="{00000000-0005-0000-0000-000045430000}"/>
    <cellStyle name="Millares 7 3 2 10" xfId="9782" xr:uid="{00000000-0005-0000-0000-000046430000}"/>
    <cellStyle name="Millares 7 3 2 11" xfId="16582" xr:uid="{00000000-0005-0000-0000-000047430000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3" xfId="21700" xr:uid="{00000000-0005-0000-0000-00004E430000}"/>
    <cellStyle name="Millares 7 3 2 2 2 2 2 3" xfId="11784" xr:uid="{00000000-0005-0000-0000-00004F430000}"/>
    <cellStyle name="Millares 7 3 2 2 2 2 2 4" xfId="18472" xr:uid="{00000000-0005-0000-0000-000050430000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3" xfId="22931" xr:uid="{00000000-0005-0000-0000-000054430000}"/>
    <cellStyle name="Millares 7 3 2 2 2 2 3 3" xfId="13016" xr:uid="{00000000-0005-0000-0000-000055430000}"/>
    <cellStyle name="Millares 7 3 2 2 2 2 3 4" xfId="19703" xr:uid="{00000000-0005-0000-0000-000056430000}"/>
    <cellStyle name="Millares 7 3 2 2 2 2 4" xfId="7218" xr:uid="{00000000-0005-0000-0000-000057430000}"/>
    <cellStyle name="Millares 7 3 2 2 2 2 4 2" xfId="13796" xr:uid="{00000000-0005-0000-0000-000058430000}"/>
    <cellStyle name="Millares 7 3 2 2 2 2 4 3" xfId="20483" xr:uid="{00000000-0005-0000-0000-000059430000}"/>
    <cellStyle name="Millares 7 3 2 2 2 2 5" xfId="10479" xr:uid="{00000000-0005-0000-0000-00005A430000}"/>
    <cellStyle name="Millares 7 3 2 2 2 2 6" xfId="17255" xr:uid="{00000000-0005-0000-0000-00005B430000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3" xfId="21090" xr:uid="{00000000-0005-0000-0000-00005F430000}"/>
    <cellStyle name="Millares 7 3 2 2 2 3 3" xfId="11107" xr:uid="{00000000-0005-0000-0000-000060430000}"/>
    <cellStyle name="Millares 7 3 2 2 2 3 4" xfId="17862" xr:uid="{00000000-0005-0000-0000-000061430000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3" xfId="22321" xr:uid="{00000000-0005-0000-0000-000065430000}"/>
    <cellStyle name="Millares 7 3 2 2 2 4 3" xfId="12406" xr:uid="{00000000-0005-0000-0000-000066430000}"/>
    <cellStyle name="Millares 7 3 2 2 2 4 4" xfId="19093" xr:uid="{00000000-0005-0000-0000-000067430000}"/>
    <cellStyle name="Millares 7 3 2 2 2 5" xfId="6830" xr:uid="{00000000-0005-0000-0000-000068430000}"/>
    <cellStyle name="Millares 7 3 2 2 2 5 2" xfId="13408" xr:uid="{00000000-0005-0000-0000-000069430000}"/>
    <cellStyle name="Millares 7 3 2 2 2 5 3" xfId="20095" xr:uid="{00000000-0005-0000-0000-00006A430000}"/>
    <cellStyle name="Millares 7 3 2 2 2 6" xfId="10090" xr:uid="{00000000-0005-0000-0000-00006B430000}"/>
    <cellStyle name="Millares 7 3 2 2 2 7" xfId="16867" xr:uid="{00000000-0005-0000-0000-00006C430000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3" xfId="21456" xr:uid="{00000000-0005-0000-0000-000071430000}"/>
    <cellStyle name="Millares 7 3 2 2 3 2 3" xfId="11519" xr:uid="{00000000-0005-0000-0000-000072430000}"/>
    <cellStyle name="Millares 7 3 2 2 3 2 4" xfId="18228" xr:uid="{00000000-0005-0000-0000-000073430000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3" xfId="22687" xr:uid="{00000000-0005-0000-0000-000077430000}"/>
    <cellStyle name="Millares 7 3 2 2 3 3 3" xfId="12772" xr:uid="{00000000-0005-0000-0000-000078430000}"/>
    <cellStyle name="Millares 7 3 2 2 3 3 4" xfId="19459" xr:uid="{00000000-0005-0000-0000-000079430000}"/>
    <cellStyle name="Millares 7 3 2 2 3 4" xfId="7025" xr:uid="{00000000-0005-0000-0000-00007A430000}"/>
    <cellStyle name="Millares 7 3 2 2 3 4 2" xfId="13603" xr:uid="{00000000-0005-0000-0000-00007B430000}"/>
    <cellStyle name="Millares 7 3 2 2 3 4 3" xfId="20290" xr:uid="{00000000-0005-0000-0000-00007C430000}"/>
    <cellStyle name="Millares 7 3 2 2 3 5" xfId="10286" xr:uid="{00000000-0005-0000-0000-00007D430000}"/>
    <cellStyle name="Millares 7 3 2 2 3 6" xfId="17062" xr:uid="{00000000-0005-0000-0000-00007E430000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3" xfId="20694" xr:uid="{00000000-0005-0000-0000-000082430000}"/>
    <cellStyle name="Millares 7 3 2 2 4 3" xfId="10691" xr:uid="{00000000-0005-0000-0000-000083430000}"/>
    <cellStyle name="Millares 7 3 2 2 4 4" xfId="17466" xr:uid="{00000000-0005-0000-0000-000084430000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3" xfId="21925" xr:uid="{00000000-0005-0000-0000-000088430000}"/>
    <cellStyle name="Millares 7 3 2 2 5 3" xfId="12010" xr:uid="{00000000-0005-0000-0000-000089430000}"/>
    <cellStyle name="Millares 7 3 2 2 5 4" xfId="18697" xr:uid="{00000000-0005-0000-0000-00008A430000}"/>
    <cellStyle name="Millares 7 3 2 2 6" xfId="6637" xr:uid="{00000000-0005-0000-0000-00008B430000}"/>
    <cellStyle name="Millares 7 3 2 2 6 2" xfId="13215" xr:uid="{00000000-0005-0000-0000-00008C430000}"/>
    <cellStyle name="Millares 7 3 2 2 6 3" xfId="19902" xr:uid="{00000000-0005-0000-0000-00008D430000}"/>
    <cellStyle name="Millares 7 3 2 2 7" xfId="9881" xr:uid="{00000000-0005-0000-0000-00008E430000}"/>
    <cellStyle name="Millares 7 3 2 2 8" xfId="16674" xr:uid="{00000000-0005-0000-0000-00008F430000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3" xfId="21183" xr:uid="{00000000-0005-0000-0000-000095430000}"/>
    <cellStyle name="Millares 7 3 2 3 2 2 3" xfId="11205" xr:uid="{00000000-0005-0000-0000-000096430000}"/>
    <cellStyle name="Millares 7 3 2 3 2 2 4" xfId="17955" xr:uid="{00000000-0005-0000-0000-0000974300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3" xfId="22414" xr:uid="{00000000-0005-0000-0000-00009B430000}"/>
    <cellStyle name="Millares 7 3 2 3 2 3 3" xfId="12499" xr:uid="{00000000-0005-0000-0000-00009C430000}"/>
    <cellStyle name="Millares 7 3 2 3 2 3 4" xfId="19186" xr:uid="{00000000-0005-0000-0000-00009D430000}"/>
    <cellStyle name="Millares 7 3 2 3 2 4" xfId="7126" xr:uid="{00000000-0005-0000-0000-00009E430000}"/>
    <cellStyle name="Millares 7 3 2 3 2 4 2" xfId="13704" xr:uid="{00000000-0005-0000-0000-00009F430000}"/>
    <cellStyle name="Millares 7 3 2 3 2 4 3" xfId="20391" xr:uid="{00000000-0005-0000-0000-0000A0430000}"/>
    <cellStyle name="Millares 7 3 2 3 2 5" xfId="10387" xr:uid="{00000000-0005-0000-0000-0000A1430000}"/>
    <cellStyle name="Millares 7 3 2 3 2 6" xfId="17163" xr:uid="{00000000-0005-0000-0000-0000A2430000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3" xfId="22839" xr:uid="{00000000-0005-0000-0000-0000A7430000}"/>
    <cellStyle name="Millares 7 3 2 3 3 2 3" xfId="12924" xr:uid="{00000000-0005-0000-0000-0000A8430000}"/>
    <cellStyle name="Millares 7 3 2 3 3 2 4" xfId="19611" xr:uid="{00000000-0005-0000-0000-0000A9430000}"/>
    <cellStyle name="Millares 7 3 2 3 3 3" xfId="8343" xr:uid="{00000000-0005-0000-0000-0000AA430000}"/>
    <cellStyle name="Millares 7 3 2 3 3 3 2" xfId="14921" xr:uid="{00000000-0005-0000-0000-0000AB430000}"/>
    <cellStyle name="Millares 7 3 2 3 3 3 3" xfId="21608" xr:uid="{00000000-0005-0000-0000-0000AC430000}"/>
    <cellStyle name="Millares 7 3 2 3 3 4" xfId="11681" xr:uid="{00000000-0005-0000-0000-0000AD430000}"/>
    <cellStyle name="Millares 7 3 2 3 3 5" xfId="18380" xr:uid="{00000000-0005-0000-0000-0000AE430000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3" xfId="20787" xr:uid="{00000000-0005-0000-0000-0000B2430000}"/>
    <cellStyle name="Millares 7 3 2 3 4 3" xfId="10784" xr:uid="{00000000-0005-0000-0000-0000B3430000}"/>
    <cellStyle name="Millares 7 3 2 3 4 4" xfId="17559" xr:uid="{00000000-0005-0000-0000-0000B4430000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3" xfId="22018" xr:uid="{00000000-0005-0000-0000-0000B8430000}"/>
    <cellStyle name="Millares 7 3 2 3 5 3" xfId="12103" xr:uid="{00000000-0005-0000-0000-0000B9430000}"/>
    <cellStyle name="Millares 7 3 2 3 5 4" xfId="18790" xr:uid="{00000000-0005-0000-0000-0000BA430000}"/>
    <cellStyle name="Millares 7 3 2 3 6" xfId="6738" xr:uid="{00000000-0005-0000-0000-0000BB430000}"/>
    <cellStyle name="Millares 7 3 2 3 6 2" xfId="13316" xr:uid="{00000000-0005-0000-0000-0000BC430000}"/>
    <cellStyle name="Millares 7 3 2 3 6 3" xfId="20003" xr:uid="{00000000-0005-0000-0000-0000BD430000}"/>
    <cellStyle name="Millares 7 3 2 3 7" xfId="9988" xr:uid="{00000000-0005-0000-0000-0000BE430000}"/>
    <cellStyle name="Millares 7 3 2 3 8" xfId="16775" xr:uid="{00000000-0005-0000-0000-0000BF430000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3" xfId="22503" xr:uid="{00000000-0005-0000-0000-0000C5430000}"/>
    <cellStyle name="Millares 7 3 2 4 2 2 3" xfId="12588" xr:uid="{00000000-0005-0000-0000-0000C6430000}"/>
    <cellStyle name="Millares 7 3 2 4 2 2 4" xfId="19275" xr:uid="{00000000-0005-0000-0000-0000C7430000}"/>
    <cellStyle name="Millares 7 3 2 4 2 3" xfId="8007" xr:uid="{00000000-0005-0000-0000-0000C8430000}"/>
    <cellStyle name="Millares 7 3 2 4 2 3 2" xfId="14585" xr:uid="{00000000-0005-0000-0000-0000C9430000}"/>
    <cellStyle name="Millares 7 3 2 4 2 3 3" xfId="21272" xr:uid="{00000000-0005-0000-0000-0000CA430000}"/>
    <cellStyle name="Millares 7 3 2 4 2 4" xfId="11305" xr:uid="{00000000-0005-0000-0000-0000CB430000}"/>
    <cellStyle name="Millares 7 3 2 4 2 5" xfId="18044" xr:uid="{00000000-0005-0000-0000-0000CC430000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3" xfId="20876" xr:uid="{00000000-0005-0000-0000-0000D0430000}"/>
    <cellStyle name="Millares 7 3 2 4 3 3" xfId="10880" xr:uid="{00000000-0005-0000-0000-0000D1430000}"/>
    <cellStyle name="Millares 7 3 2 4 3 4" xfId="17648" xr:uid="{00000000-0005-0000-0000-0000D2430000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3" xfId="22107" xr:uid="{00000000-0005-0000-0000-0000D6430000}"/>
    <cellStyle name="Millares 7 3 2 4 4 3" xfId="12192" xr:uid="{00000000-0005-0000-0000-0000D7430000}"/>
    <cellStyle name="Millares 7 3 2 4 4 4" xfId="18879" xr:uid="{00000000-0005-0000-0000-0000D8430000}"/>
    <cellStyle name="Millares 7 3 2 4 5" xfId="6933" xr:uid="{00000000-0005-0000-0000-0000D9430000}"/>
    <cellStyle name="Millares 7 3 2 4 5 2" xfId="13511" xr:uid="{00000000-0005-0000-0000-0000DA430000}"/>
    <cellStyle name="Millares 7 3 2 4 5 3" xfId="20198" xr:uid="{00000000-0005-0000-0000-0000DB430000}"/>
    <cellStyle name="Millares 7 3 2 4 6" xfId="10194" xr:uid="{00000000-0005-0000-0000-0000DC430000}"/>
    <cellStyle name="Millares 7 3 2 4 7" xfId="16970" xr:uid="{00000000-0005-0000-0000-0000DD430000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3" xfId="22215" xr:uid="{00000000-0005-0000-0000-0000E2430000}"/>
    <cellStyle name="Millares 7 3 2 5 2 3" xfId="12300" xr:uid="{00000000-0005-0000-0000-0000E3430000}"/>
    <cellStyle name="Millares 7 3 2 5 2 4" xfId="18987" xr:uid="{00000000-0005-0000-0000-0000E4430000}"/>
    <cellStyle name="Millares 7 3 2 5 3" xfId="7719" xr:uid="{00000000-0005-0000-0000-0000E5430000}"/>
    <cellStyle name="Millares 7 3 2 5 3 2" xfId="14297" xr:uid="{00000000-0005-0000-0000-0000E6430000}"/>
    <cellStyle name="Millares 7 3 2 5 3 3" xfId="20984" xr:uid="{00000000-0005-0000-0000-0000E7430000}"/>
    <cellStyle name="Millares 7 3 2 5 4" xfId="10997" xr:uid="{00000000-0005-0000-0000-0000E8430000}"/>
    <cellStyle name="Millares 7 3 2 5 5" xfId="17756" xr:uid="{00000000-0005-0000-0000-0000E9430000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3" xfId="22595" xr:uid="{00000000-0005-0000-0000-0000EE430000}"/>
    <cellStyle name="Millares 7 3 2 6 2 3" xfId="12680" xr:uid="{00000000-0005-0000-0000-0000EF430000}"/>
    <cellStyle name="Millares 7 3 2 6 2 4" xfId="19367" xr:uid="{00000000-0005-0000-0000-0000F0430000}"/>
    <cellStyle name="Millares 7 3 2 6 3" xfId="8099" xr:uid="{00000000-0005-0000-0000-0000F1430000}"/>
    <cellStyle name="Millares 7 3 2 6 3 2" xfId="14677" xr:uid="{00000000-0005-0000-0000-0000F2430000}"/>
    <cellStyle name="Millares 7 3 2 6 3 3" xfId="21364" xr:uid="{00000000-0005-0000-0000-0000F3430000}"/>
    <cellStyle name="Millares 7 3 2 6 4" xfId="11406" xr:uid="{00000000-0005-0000-0000-0000F4430000}"/>
    <cellStyle name="Millares 7 3 2 6 5" xfId="18136" xr:uid="{00000000-0005-0000-0000-0000F5430000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3" xfId="20588" xr:uid="{00000000-0005-0000-0000-0000F9430000}"/>
    <cellStyle name="Millares 7 3 2 7 3" xfId="10585" xr:uid="{00000000-0005-0000-0000-0000FA430000}"/>
    <cellStyle name="Millares 7 3 2 7 4" xfId="17360" xr:uid="{00000000-0005-0000-0000-0000FB430000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3" xfId="21819" xr:uid="{00000000-0005-0000-0000-0000FF430000}"/>
    <cellStyle name="Millares 7 3 2 8 3" xfId="11904" xr:uid="{00000000-0005-0000-0000-000000440000}"/>
    <cellStyle name="Millares 7 3 2 8 4" xfId="18591" xr:uid="{00000000-0005-0000-0000-000001440000}"/>
    <cellStyle name="Millares 7 3 2 9" xfId="6545" xr:uid="{00000000-0005-0000-0000-000002440000}"/>
    <cellStyle name="Millares 7 3 2 9 2" xfId="13123" xr:uid="{00000000-0005-0000-0000-000003440000}"/>
    <cellStyle name="Millares 7 3 2 9 3" xfId="19810" xr:uid="{00000000-0005-0000-0000-000004440000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3" xfId="21655" xr:uid="{00000000-0005-0000-0000-00000B440000}"/>
    <cellStyle name="Millares 7 3 3 2 2 2 3" xfId="11733" xr:uid="{00000000-0005-0000-0000-00000C440000}"/>
    <cellStyle name="Millares 7 3 3 2 2 2 4" xfId="18427" xr:uid="{00000000-0005-0000-0000-00000D440000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3" xfId="22886" xr:uid="{00000000-0005-0000-0000-000011440000}"/>
    <cellStyle name="Millares 7 3 3 2 2 3 3" xfId="12971" xr:uid="{00000000-0005-0000-0000-000012440000}"/>
    <cellStyle name="Millares 7 3 3 2 2 3 4" xfId="19658" xr:uid="{00000000-0005-0000-0000-000013440000}"/>
    <cellStyle name="Millares 7 3 3 2 2 4" xfId="7173" xr:uid="{00000000-0005-0000-0000-000014440000}"/>
    <cellStyle name="Millares 7 3 3 2 2 4 2" xfId="13751" xr:uid="{00000000-0005-0000-0000-000015440000}"/>
    <cellStyle name="Millares 7 3 3 2 2 4 3" xfId="20438" xr:uid="{00000000-0005-0000-0000-000016440000}"/>
    <cellStyle name="Millares 7 3 3 2 2 5" xfId="10434" xr:uid="{00000000-0005-0000-0000-000017440000}"/>
    <cellStyle name="Millares 7 3 3 2 2 6" xfId="17210" xr:uid="{00000000-0005-0000-0000-000018440000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3" xfId="21045" xr:uid="{00000000-0005-0000-0000-00001C440000}"/>
    <cellStyle name="Millares 7 3 3 2 3 3" xfId="11061" xr:uid="{00000000-0005-0000-0000-00001D440000}"/>
    <cellStyle name="Millares 7 3 3 2 3 4" xfId="17817" xr:uid="{00000000-0005-0000-0000-00001E440000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3" xfId="22276" xr:uid="{00000000-0005-0000-0000-000022440000}"/>
    <cellStyle name="Millares 7 3 3 2 4 3" xfId="12361" xr:uid="{00000000-0005-0000-0000-000023440000}"/>
    <cellStyle name="Millares 7 3 3 2 4 4" xfId="19048" xr:uid="{00000000-0005-0000-0000-000024440000}"/>
    <cellStyle name="Millares 7 3 3 2 5" xfId="6785" xr:uid="{00000000-0005-0000-0000-000025440000}"/>
    <cellStyle name="Millares 7 3 3 2 5 2" xfId="13363" xr:uid="{00000000-0005-0000-0000-000026440000}"/>
    <cellStyle name="Millares 7 3 3 2 5 3" xfId="20050" xr:uid="{00000000-0005-0000-0000-000027440000}"/>
    <cellStyle name="Millares 7 3 3 2 6" xfId="10040" xr:uid="{00000000-0005-0000-0000-000028440000}"/>
    <cellStyle name="Millares 7 3 3 2 7" xfId="16822" xr:uid="{00000000-0005-0000-0000-000029440000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3" xfId="21411" xr:uid="{00000000-0005-0000-0000-00002E440000}"/>
    <cellStyle name="Millares 7 3 3 3 2 3" xfId="11462" xr:uid="{00000000-0005-0000-0000-00002F440000}"/>
    <cellStyle name="Millares 7 3 3 3 2 4" xfId="18183" xr:uid="{00000000-0005-0000-0000-000030440000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3" xfId="22642" xr:uid="{00000000-0005-0000-0000-000034440000}"/>
    <cellStyle name="Millares 7 3 3 3 3 3" xfId="12727" xr:uid="{00000000-0005-0000-0000-000035440000}"/>
    <cellStyle name="Millares 7 3 3 3 3 4" xfId="19414" xr:uid="{00000000-0005-0000-0000-000036440000}"/>
    <cellStyle name="Millares 7 3 3 3 4" xfId="6980" xr:uid="{00000000-0005-0000-0000-000037440000}"/>
    <cellStyle name="Millares 7 3 3 3 4 2" xfId="13558" xr:uid="{00000000-0005-0000-0000-000038440000}"/>
    <cellStyle name="Millares 7 3 3 3 4 3" xfId="20245" xr:uid="{00000000-0005-0000-0000-000039440000}"/>
    <cellStyle name="Millares 7 3 3 3 5" xfId="10241" xr:uid="{00000000-0005-0000-0000-00003A440000}"/>
    <cellStyle name="Millares 7 3 3 3 6" xfId="17017" xr:uid="{00000000-0005-0000-0000-00003B440000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3" xfId="20649" xr:uid="{00000000-0005-0000-0000-00003F440000}"/>
    <cellStyle name="Millares 7 3 3 4 3" xfId="10646" xr:uid="{00000000-0005-0000-0000-000040440000}"/>
    <cellStyle name="Millares 7 3 3 4 4" xfId="17421" xr:uid="{00000000-0005-0000-0000-000041440000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3" xfId="21880" xr:uid="{00000000-0005-0000-0000-000045440000}"/>
    <cellStyle name="Millares 7 3 3 5 3" xfId="11965" xr:uid="{00000000-0005-0000-0000-000046440000}"/>
    <cellStyle name="Millares 7 3 3 5 4" xfId="18652" xr:uid="{00000000-0005-0000-0000-000047440000}"/>
    <cellStyle name="Millares 7 3 3 6" xfId="6592" xr:uid="{00000000-0005-0000-0000-000048440000}"/>
    <cellStyle name="Millares 7 3 3 6 2" xfId="13170" xr:uid="{00000000-0005-0000-0000-000049440000}"/>
    <cellStyle name="Millares 7 3 3 6 3" xfId="19857" xr:uid="{00000000-0005-0000-0000-00004A440000}"/>
    <cellStyle name="Millares 7 3 3 7" xfId="9831" xr:uid="{00000000-0005-0000-0000-00004B440000}"/>
    <cellStyle name="Millares 7 3 3 8" xfId="16629" xr:uid="{00000000-0005-0000-0000-00004C440000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3" xfId="21182" xr:uid="{00000000-0005-0000-0000-000052440000}"/>
    <cellStyle name="Millares 7 3 4 2 2 3" xfId="11204" xr:uid="{00000000-0005-0000-0000-000053440000}"/>
    <cellStyle name="Millares 7 3 4 2 2 4" xfId="17954" xr:uid="{00000000-0005-0000-0000-000054440000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3" xfId="22413" xr:uid="{00000000-0005-0000-0000-000058440000}"/>
    <cellStyle name="Millares 7 3 4 2 3 3" xfId="12498" xr:uid="{00000000-0005-0000-0000-000059440000}"/>
    <cellStyle name="Millares 7 3 4 2 3 4" xfId="19185" xr:uid="{00000000-0005-0000-0000-00005A440000}"/>
    <cellStyle name="Millares 7 3 4 2 4" xfId="7080" xr:uid="{00000000-0005-0000-0000-00005B440000}"/>
    <cellStyle name="Millares 7 3 4 2 4 2" xfId="13658" xr:uid="{00000000-0005-0000-0000-00005C440000}"/>
    <cellStyle name="Millares 7 3 4 2 4 3" xfId="20345" xr:uid="{00000000-0005-0000-0000-00005D440000}"/>
    <cellStyle name="Millares 7 3 4 2 5" xfId="10341" xr:uid="{00000000-0005-0000-0000-00005E440000}"/>
    <cellStyle name="Millares 7 3 4 2 6" xfId="17117" xr:uid="{00000000-0005-0000-0000-00005F440000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3" xfId="22793" xr:uid="{00000000-0005-0000-0000-000064440000}"/>
    <cellStyle name="Millares 7 3 4 3 2 3" xfId="12878" xr:uid="{00000000-0005-0000-0000-000065440000}"/>
    <cellStyle name="Millares 7 3 4 3 2 4" xfId="19565" xr:uid="{00000000-0005-0000-0000-000066440000}"/>
    <cellStyle name="Millares 7 3 4 3 3" xfId="8297" xr:uid="{00000000-0005-0000-0000-000067440000}"/>
    <cellStyle name="Millares 7 3 4 3 3 2" xfId="14875" xr:uid="{00000000-0005-0000-0000-000068440000}"/>
    <cellStyle name="Millares 7 3 4 3 3 3" xfId="21562" xr:uid="{00000000-0005-0000-0000-000069440000}"/>
    <cellStyle name="Millares 7 3 4 3 4" xfId="11631" xr:uid="{00000000-0005-0000-0000-00006A440000}"/>
    <cellStyle name="Millares 7 3 4 3 5" xfId="18334" xr:uid="{00000000-0005-0000-0000-00006B440000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3" xfId="20786" xr:uid="{00000000-0005-0000-0000-00006F440000}"/>
    <cellStyle name="Millares 7 3 4 4 3" xfId="10783" xr:uid="{00000000-0005-0000-0000-000070440000}"/>
    <cellStyle name="Millares 7 3 4 4 4" xfId="17558" xr:uid="{00000000-0005-0000-0000-000071440000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3" xfId="22017" xr:uid="{00000000-0005-0000-0000-000075440000}"/>
    <cellStyle name="Millares 7 3 4 5 3" xfId="12102" xr:uid="{00000000-0005-0000-0000-000076440000}"/>
    <cellStyle name="Millares 7 3 4 5 4" xfId="18789" xr:uid="{00000000-0005-0000-0000-000077440000}"/>
    <cellStyle name="Millares 7 3 4 6" xfId="6692" xr:uid="{00000000-0005-0000-0000-000078440000}"/>
    <cellStyle name="Millares 7 3 4 6 2" xfId="13270" xr:uid="{00000000-0005-0000-0000-000079440000}"/>
    <cellStyle name="Millares 7 3 4 6 3" xfId="19957" xr:uid="{00000000-0005-0000-0000-00007A440000}"/>
    <cellStyle name="Millares 7 3 4 7" xfId="9940" xr:uid="{00000000-0005-0000-0000-00007B440000}"/>
    <cellStyle name="Millares 7 3 4 8" xfId="16729" xr:uid="{00000000-0005-0000-0000-00007C440000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3" xfId="22458" xr:uid="{00000000-0005-0000-0000-000082440000}"/>
    <cellStyle name="Millares 7 3 5 2 2 3" xfId="12543" xr:uid="{00000000-0005-0000-0000-000083440000}"/>
    <cellStyle name="Millares 7 3 5 2 2 4" xfId="19230" xr:uid="{00000000-0005-0000-0000-000084440000}"/>
    <cellStyle name="Millares 7 3 5 2 3" xfId="7962" xr:uid="{00000000-0005-0000-0000-000085440000}"/>
    <cellStyle name="Millares 7 3 5 2 3 2" xfId="14540" xr:uid="{00000000-0005-0000-0000-000086440000}"/>
    <cellStyle name="Millares 7 3 5 2 3 3" xfId="21227" xr:uid="{00000000-0005-0000-0000-000087440000}"/>
    <cellStyle name="Millares 7 3 5 2 4" xfId="11256" xr:uid="{00000000-0005-0000-0000-000088440000}"/>
    <cellStyle name="Millares 7 3 5 2 5" xfId="17999" xr:uid="{00000000-0005-0000-0000-000089440000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3" xfId="20831" xr:uid="{00000000-0005-0000-0000-00008D440000}"/>
    <cellStyle name="Millares 7 3 5 3 3" xfId="10829" xr:uid="{00000000-0005-0000-0000-00008E440000}"/>
    <cellStyle name="Millares 7 3 5 3 4" xfId="17603" xr:uid="{00000000-0005-0000-0000-00008F44000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3" xfId="22062" xr:uid="{00000000-0005-0000-0000-000093440000}"/>
    <cellStyle name="Millares 7 3 5 4 3" xfId="12147" xr:uid="{00000000-0005-0000-0000-000094440000}"/>
    <cellStyle name="Millares 7 3 5 4 4" xfId="18834" xr:uid="{00000000-0005-0000-0000-000095440000}"/>
    <cellStyle name="Millares 7 3 5 5" xfId="6887" xr:uid="{00000000-0005-0000-0000-000096440000}"/>
    <cellStyle name="Millares 7 3 5 5 2" xfId="13465" xr:uid="{00000000-0005-0000-0000-000097440000}"/>
    <cellStyle name="Millares 7 3 5 5 3" xfId="20152" xr:uid="{00000000-0005-0000-0000-000098440000}"/>
    <cellStyle name="Millares 7 3 5 6" xfId="10148" xr:uid="{00000000-0005-0000-0000-000099440000}"/>
    <cellStyle name="Millares 7 3 5 7" xfId="16924" xr:uid="{00000000-0005-0000-0000-00009A440000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3" xfId="22170" xr:uid="{00000000-0005-0000-0000-00009F440000}"/>
    <cellStyle name="Millares 7 3 6 2 3" xfId="12255" xr:uid="{00000000-0005-0000-0000-0000A0440000}"/>
    <cellStyle name="Millares 7 3 6 2 4" xfId="18942" xr:uid="{00000000-0005-0000-0000-0000A1440000}"/>
    <cellStyle name="Millares 7 3 6 3" xfId="7674" xr:uid="{00000000-0005-0000-0000-0000A2440000}"/>
    <cellStyle name="Millares 7 3 6 3 2" xfId="14252" xr:uid="{00000000-0005-0000-0000-0000A3440000}"/>
    <cellStyle name="Millares 7 3 6 3 3" xfId="20939" xr:uid="{00000000-0005-0000-0000-0000A4440000}"/>
    <cellStyle name="Millares 7 3 6 4" xfId="10946" xr:uid="{00000000-0005-0000-0000-0000A5440000}"/>
    <cellStyle name="Millares 7 3 6 5" xfId="17711" xr:uid="{00000000-0005-0000-0000-0000A6440000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3" xfId="22550" xr:uid="{00000000-0005-0000-0000-0000AB440000}"/>
    <cellStyle name="Millares 7 3 7 2 3" xfId="12635" xr:uid="{00000000-0005-0000-0000-0000AC440000}"/>
    <cellStyle name="Millares 7 3 7 2 4" xfId="19322" xr:uid="{00000000-0005-0000-0000-0000AD440000}"/>
    <cellStyle name="Millares 7 3 7 3" xfId="8054" xr:uid="{00000000-0005-0000-0000-0000AE440000}"/>
    <cellStyle name="Millares 7 3 7 3 2" xfId="14632" xr:uid="{00000000-0005-0000-0000-0000AF440000}"/>
    <cellStyle name="Millares 7 3 7 3 3" xfId="21319" xr:uid="{00000000-0005-0000-0000-0000B0440000}"/>
    <cellStyle name="Millares 7 3 7 4" xfId="11356" xr:uid="{00000000-0005-0000-0000-0000B1440000}"/>
    <cellStyle name="Millares 7 3 7 5" xfId="18091" xr:uid="{00000000-0005-0000-0000-0000B2440000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3" xfId="20543" xr:uid="{00000000-0005-0000-0000-0000B6440000}"/>
    <cellStyle name="Millares 7 3 8 3" xfId="10540" xr:uid="{00000000-0005-0000-0000-0000B7440000}"/>
    <cellStyle name="Millares 7 3 8 4" xfId="17315" xr:uid="{00000000-0005-0000-0000-0000B8440000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3" xfId="21774" xr:uid="{00000000-0005-0000-0000-0000BC440000}"/>
    <cellStyle name="Millares 7 3 9 3" xfId="11859" xr:uid="{00000000-0005-0000-0000-0000BD440000}"/>
    <cellStyle name="Millares 7 3 9 4" xfId="18546" xr:uid="{00000000-0005-0000-0000-0000BE440000}"/>
    <cellStyle name="Millares 7 4" xfId="256" xr:uid="{00000000-0005-0000-0000-0000BF440000}"/>
    <cellStyle name="Millares 7 4 10" xfId="9758" xr:uid="{00000000-0005-0000-0000-0000C0440000}"/>
    <cellStyle name="Millares 7 4 11" xfId="16560" xr:uid="{00000000-0005-0000-0000-0000C1440000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3" xfId="21678" xr:uid="{00000000-0005-0000-0000-0000C8440000}"/>
    <cellStyle name="Millares 7 4 2 2 2 2 3" xfId="11761" xr:uid="{00000000-0005-0000-0000-0000C9440000}"/>
    <cellStyle name="Millares 7 4 2 2 2 2 4" xfId="18450" xr:uid="{00000000-0005-0000-0000-0000CA440000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3" xfId="22909" xr:uid="{00000000-0005-0000-0000-0000CE440000}"/>
    <cellStyle name="Millares 7 4 2 2 2 3 3" xfId="12994" xr:uid="{00000000-0005-0000-0000-0000CF440000}"/>
    <cellStyle name="Millares 7 4 2 2 2 3 4" xfId="19681" xr:uid="{00000000-0005-0000-0000-0000D0440000}"/>
    <cellStyle name="Millares 7 4 2 2 2 4" xfId="7196" xr:uid="{00000000-0005-0000-0000-0000D1440000}"/>
    <cellStyle name="Millares 7 4 2 2 2 4 2" xfId="13774" xr:uid="{00000000-0005-0000-0000-0000D2440000}"/>
    <cellStyle name="Millares 7 4 2 2 2 4 3" xfId="20461" xr:uid="{00000000-0005-0000-0000-0000D3440000}"/>
    <cellStyle name="Millares 7 4 2 2 2 5" xfId="10457" xr:uid="{00000000-0005-0000-0000-0000D4440000}"/>
    <cellStyle name="Millares 7 4 2 2 2 6" xfId="17233" xr:uid="{00000000-0005-0000-0000-0000D5440000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3" xfId="21022" xr:uid="{00000000-0005-0000-0000-0000D9440000}"/>
    <cellStyle name="Millares 7 4 2 2 3 3" xfId="11038" xr:uid="{00000000-0005-0000-0000-0000DA440000}"/>
    <cellStyle name="Millares 7 4 2 2 3 4" xfId="17794" xr:uid="{00000000-0005-0000-0000-0000DB440000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3" xfId="22253" xr:uid="{00000000-0005-0000-0000-0000DF440000}"/>
    <cellStyle name="Millares 7 4 2 2 4 3" xfId="12338" xr:uid="{00000000-0005-0000-0000-0000E0440000}"/>
    <cellStyle name="Millares 7 4 2 2 4 4" xfId="19025" xr:uid="{00000000-0005-0000-0000-0000E1440000}"/>
    <cellStyle name="Millares 7 4 2 2 5" xfId="6808" xr:uid="{00000000-0005-0000-0000-0000E2440000}"/>
    <cellStyle name="Millares 7 4 2 2 5 2" xfId="13386" xr:uid="{00000000-0005-0000-0000-0000E3440000}"/>
    <cellStyle name="Millares 7 4 2 2 5 3" xfId="20073" xr:uid="{00000000-0005-0000-0000-0000E4440000}"/>
    <cellStyle name="Millares 7 4 2 2 6" xfId="10065" xr:uid="{00000000-0005-0000-0000-0000E5440000}"/>
    <cellStyle name="Millares 7 4 2 2 7" xfId="16845" xr:uid="{00000000-0005-0000-0000-0000E6440000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3" xfId="21434" xr:uid="{00000000-0005-0000-0000-0000EB440000}"/>
    <cellStyle name="Millares 7 4 2 3 2 3" xfId="11491" xr:uid="{00000000-0005-0000-0000-0000EC440000}"/>
    <cellStyle name="Millares 7 4 2 3 2 4" xfId="18206" xr:uid="{00000000-0005-0000-0000-0000ED440000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3" xfId="22665" xr:uid="{00000000-0005-0000-0000-0000F1440000}"/>
    <cellStyle name="Millares 7 4 2 3 3 3" xfId="12750" xr:uid="{00000000-0005-0000-0000-0000F2440000}"/>
    <cellStyle name="Millares 7 4 2 3 3 4" xfId="19437" xr:uid="{00000000-0005-0000-0000-0000F3440000}"/>
    <cellStyle name="Millares 7 4 2 3 4" xfId="7003" xr:uid="{00000000-0005-0000-0000-0000F4440000}"/>
    <cellStyle name="Millares 7 4 2 3 4 2" xfId="13581" xr:uid="{00000000-0005-0000-0000-0000F5440000}"/>
    <cellStyle name="Millares 7 4 2 3 4 3" xfId="20268" xr:uid="{00000000-0005-0000-0000-0000F6440000}"/>
    <cellStyle name="Millares 7 4 2 3 5" xfId="10264" xr:uid="{00000000-0005-0000-0000-0000F7440000}"/>
    <cellStyle name="Millares 7 4 2 3 6" xfId="17040" xr:uid="{00000000-0005-0000-0000-0000F8440000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3" xfId="20626" xr:uid="{00000000-0005-0000-0000-0000FC440000}"/>
    <cellStyle name="Millares 7 4 2 4 3" xfId="10623" xr:uid="{00000000-0005-0000-0000-0000FD440000}"/>
    <cellStyle name="Millares 7 4 2 4 4" xfId="17398" xr:uid="{00000000-0005-0000-0000-0000FE44000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3" xfId="21857" xr:uid="{00000000-0005-0000-0000-000002450000}"/>
    <cellStyle name="Millares 7 4 2 5 3" xfId="11942" xr:uid="{00000000-0005-0000-0000-000003450000}"/>
    <cellStyle name="Millares 7 4 2 5 4" xfId="18629" xr:uid="{00000000-0005-0000-0000-000004450000}"/>
    <cellStyle name="Millares 7 4 2 6" xfId="6615" xr:uid="{00000000-0005-0000-0000-000005450000}"/>
    <cellStyle name="Millares 7 4 2 6 2" xfId="13193" xr:uid="{00000000-0005-0000-0000-000006450000}"/>
    <cellStyle name="Millares 7 4 2 6 3" xfId="19880" xr:uid="{00000000-0005-0000-0000-000007450000}"/>
    <cellStyle name="Millares 7 4 2 7" xfId="9855" xr:uid="{00000000-0005-0000-0000-000008450000}"/>
    <cellStyle name="Millares 7 4 2 8" xfId="16652" xr:uid="{00000000-0005-0000-0000-000009450000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3" xfId="21184" xr:uid="{00000000-0005-0000-0000-00000F450000}"/>
    <cellStyle name="Millares 7 4 3 2 2 3" xfId="11206" xr:uid="{00000000-0005-0000-0000-000010450000}"/>
    <cellStyle name="Millares 7 4 3 2 2 4" xfId="17956" xr:uid="{00000000-0005-0000-0000-000011450000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3" xfId="22415" xr:uid="{00000000-0005-0000-0000-000015450000}"/>
    <cellStyle name="Millares 7 4 3 2 3 3" xfId="12500" xr:uid="{00000000-0005-0000-0000-000016450000}"/>
    <cellStyle name="Millares 7 4 3 2 3 4" xfId="19187" xr:uid="{00000000-0005-0000-0000-000017450000}"/>
    <cellStyle name="Millares 7 4 3 2 4" xfId="7104" xr:uid="{00000000-0005-0000-0000-000018450000}"/>
    <cellStyle name="Millares 7 4 3 2 4 2" xfId="13682" xr:uid="{00000000-0005-0000-0000-000019450000}"/>
    <cellStyle name="Millares 7 4 3 2 4 3" xfId="20369" xr:uid="{00000000-0005-0000-0000-00001A450000}"/>
    <cellStyle name="Millares 7 4 3 2 5" xfId="10365" xr:uid="{00000000-0005-0000-0000-00001B450000}"/>
    <cellStyle name="Millares 7 4 3 2 6" xfId="17141" xr:uid="{00000000-0005-0000-0000-00001C450000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3" xfId="22817" xr:uid="{00000000-0005-0000-0000-000021450000}"/>
    <cellStyle name="Millares 7 4 3 3 2 3" xfId="12902" xr:uid="{00000000-0005-0000-0000-000022450000}"/>
    <cellStyle name="Millares 7 4 3 3 2 4" xfId="19589" xr:uid="{00000000-0005-0000-0000-000023450000}"/>
    <cellStyle name="Millares 7 4 3 3 3" xfId="8321" xr:uid="{00000000-0005-0000-0000-000024450000}"/>
    <cellStyle name="Millares 7 4 3 3 3 2" xfId="14899" xr:uid="{00000000-0005-0000-0000-000025450000}"/>
    <cellStyle name="Millares 7 4 3 3 3 3" xfId="21586" xr:uid="{00000000-0005-0000-0000-000026450000}"/>
    <cellStyle name="Millares 7 4 3 3 4" xfId="11656" xr:uid="{00000000-0005-0000-0000-000027450000}"/>
    <cellStyle name="Millares 7 4 3 3 5" xfId="18358" xr:uid="{00000000-0005-0000-0000-000028450000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3" xfId="20788" xr:uid="{00000000-0005-0000-0000-00002C450000}"/>
    <cellStyle name="Millares 7 4 3 4 3" xfId="10785" xr:uid="{00000000-0005-0000-0000-00002D450000}"/>
    <cellStyle name="Millares 7 4 3 4 4" xfId="17560" xr:uid="{00000000-0005-0000-0000-00002E450000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3" xfId="22019" xr:uid="{00000000-0005-0000-0000-000032450000}"/>
    <cellStyle name="Millares 7 4 3 5 3" xfId="12104" xr:uid="{00000000-0005-0000-0000-000033450000}"/>
    <cellStyle name="Millares 7 4 3 5 4" xfId="18791" xr:uid="{00000000-0005-0000-0000-000034450000}"/>
    <cellStyle name="Millares 7 4 3 6" xfId="6716" xr:uid="{00000000-0005-0000-0000-000035450000}"/>
    <cellStyle name="Millares 7 4 3 6 2" xfId="13294" xr:uid="{00000000-0005-0000-0000-000036450000}"/>
    <cellStyle name="Millares 7 4 3 6 3" xfId="19981" xr:uid="{00000000-0005-0000-0000-000037450000}"/>
    <cellStyle name="Millares 7 4 3 7" xfId="9964" xr:uid="{00000000-0005-0000-0000-000038450000}"/>
    <cellStyle name="Millares 7 4 3 8" xfId="16753" xr:uid="{00000000-0005-0000-0000-000039450000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3" xfId="22481" xr:uid="{00000000-0005-0000-0000-00003F450000}"/>
    <cellStyle name="Millares 7 4 4 2 2 3" xfId="12566" xr:uid="{00000000-0005-0000-0000-000040450000}"/>
    <cellStyle name="Millares 7 4 4 2 2 4" xfId="19253" xr:uid="{00000000-0005-0000-0000-000041450000}"/>
    <cellStyle name="Millares 7 4 4 2 3" xfId="7985" xr:uid="{00000000-0005-0000-0000-000042450000}"/>
    <cellStyle name="Millares 7 4 4 2 3 2" xfId="14563" xr:uid="{00000000-0005-0000-0000-000043450000}"/>
    <cellStyle name="Millares 7 4 4 2 3 3" xfId="21250" xr:uid="{00000000-0005-0000-0000-000044450000}"/>
    <cellStyle name="Millares 7 4 4 2 4" xfId="11282" xr:uid="{00000000-0005-0000-0000-000045450000}"/>
    <cellStyle name="Millares 7 4 4 2 5" xfId="18022" xr:uid="{00000000-0005-0000-0000-000046450000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3" xfId="20854" xr:uid="{00000000-0005-0000-0000-00004A450000}"/>
    <cellStyle name="Millares 7 4 4 3 3" xfId="10854" xr:uid="{00000000-0005-0000-0000-00004B450000}"/>
    <cellStyle name="Millares 7 4 4 3 4" xfId="17626" xr:uid="{00000000-0005-0000-0000-00004C450000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3" xfId="22085" xr:uid="{00000000-0005-0000-0000-000050450000}"/>
    <cellStyle name="Millares 7 4 4 4 3" xfId="12170" xr:uid="{00000000-0005-0000-0000-000051450000}"/>
    <cellStyle name="Millares 7 4 4 4 4" xfId="18857" xr:uid="{00000000-0005-0000-0000-000052450000}"/>
    <cellStyle name="Millares 7 4 4 5" xfId="6911" xr:uid="{00000000-0005-0000-0000-000053450000}"/>
    <cellStyle name="Millares 7 4 4 5 2" xfId="13489" xr:uid="{00000000-0005-0000-0000-000054450000}"/>
    <cellStyle name="Millares 7 4 4 5 3" xfId="20176" xr:uid="{00000000-0005-0000-0000-000055450000}"/>
    <cellStyle name="Millares 7 4 4 6" xfId="10172" xr:uid="{00000000-0005-0000-0000-000056450000}"/>
    <cellStyle name="Millares 7 4 4 7" xfId="16948" xr:uid="{00000000-0005-0000-0000-000057450000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3" xfId="22147" xr:uid="{00000000-0005-0000-0000-00005C450000}"/>
    <cellStyle name="Millares 7 4 5 2 3" xfId="12232" xr:uid="{00000000-0005-0000-0000-00005D450000}"/>
    <cellStyle name="Millares 7 4 5 2 4" xfId="18919" xr:uid="{00000000-0005-0000-0000-00005E450000}"/>
    <cellStyle name="Millares 7 4 5 3" xfId="7651" xr:uid="{00000000-0005-0000-0000-00005F450000}"/>
    <cellStyle name="Millares 7 4 5 3 2" xfId="14229" xr:uid="{00000000-0005-0000-0000-000060450000}"/>
    <cellStyle name="Millares 7 4 5 3 3" xfId="20916" xr:uid="{00000000-0005-0000-0000-000061450000}"/>
    <cellStyle name="Millares 7 4 5 4" xfId="10922" xr:uid="{00000000-0005-0000-0000-000062450000}"/>
    <cellStyle name="Millares 7 4 5 5" xfId="17688" xr:uid="{00000000-0005-0000-0000-000063450000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3" xfId="22573" xr:uid="{00000000-0005-0000-0000-000068450000}"/>
    <cellStyle name="Millares 7 4 6 2 3" xfId="12658" xr:uid="{00000000-0005-0000-0000-000069450000}"/>
    <cellStyle name="Millares 7 4 6 2 4" xfId="19345" xr:uid="{00000000-0005-0000-0000-00006A450000}"/>
    <cellStyle name="Millares 7 4 6 3" xfId="8077" xr:uid="{00000000-0005-0000-0000-00006B450000}"/>
    <cellStyle name="Millares 7 4 6 3 2" xfId="14655" xr:uid="{00000000-0005-0000-0000-00006C450000}"/>
    <cellStyle name="Millares 7 4 6 3 3" xfId="21342" xr:uid="{00000000-0005-0000-0000-00006D450000}"/>
    <cellStyle name="Millares 7 4 6 4" xfId="11380" xr:uid="{00000000-0005-0000-0000-00006E450000}"/>
    <cellStyle name="Millares 7 4 6 5" xfId="18114" xr:uid="{00000000-0005-0000-0000-00006F450000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3" xfId="20520" xr:uid="{00000000-0005-0000-0000-000073450000}"/>
    <cellStyle name="Millares 7 4 7 3" xfId="10517" xr:uid="{00000000-0005-0000-0000-000074450000}"/>
    <cellStyle name="Millares 7 4 7 4" xfId="17292" xr:uid="{00000000-0005-0000-0000-000075450000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3" xfId="21751" xr:uid="{00000000-0005-0000-0000-000079450000}"/>
    <cellStyle name="Millares 7 4 8 3" xfId="11836" xr:uid="{00000000-0005-0000-0000-00007A450000}"/>
    <cellStyle name="Millares 7 4 8 4" xfId="18523" xr:uid="{00000000-0005-0000-0000-00007B450000}"/>
    <cellStyle name="Millares 7 4 9" xfId="6523" xr:uid="{00000000-0005-0000-0000-00007C450000}"/>
    <cellStyle name="Millares 7 4 9 2" xfId="13101" xr:uid="{00000000-0005-0000-0000-00007D450000}"/>
    <cellStyle name="Millares 7 4 9 3" xfId="19788" xr:uid="{00000000-0005-0000-0000-00007E450000}"/>
    <cellStyle name="Millares 7 5" xfId="437" xr:uid="{00000000-0005-0000-0000-00007F450000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3" xfId="21068" xr:uid="{00000000-0005-0000-0000-000085450000}"/>
    <cellStyle name="Millares 7 5 2 2 2 3" xfId="11085" xr:uid="{00000000-0005-0000-0000-000086450000}"/>
    <cellStyle name="Millares 7 5 2 2 2 4" xfId="17840" xr:uid="{00000000-0005-0000-0000-000087450000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3" xfId="22299" xr:uid="{00000000-0005-0000-0000-00008B450000}"/>
    <cellStyle name="Millares 7 5 2 2 3 3" xfId="12384" xr:uid="{00000000-0005-0000-0000-00008C450000}"/>
    <cellStyle name="Millares 7 5 2 2 3 4" xfId="19071" xr:uid="{00000000-0005-0000-0000-00008D450000}"/>
    <cellStyle name="Millares 7 5 2 2 4" xfId="7151" xr:uid="{00000000-0005-0000-0000-00008E450000}"/>
    <cellStyle name="Millares 7 5 2 2 4 2" xfId="13729" xr:uid="{00000000-0005-0000-0000-00008F450000}"/>
    <cellStyle name="Millares 7 5 2 2 4 3" xfId="20416" xr:uid="{00000000-0005-0000-0000-000090450000}"/>
    <cellStyle name="Millares 7 5 2 2 5" xfId="10412" xr:uid="{00000000-0005-0000-0000-000091450000}"/>
    <cellStyle name="Millares 7 5 2 2 6" xfId="17188" xr:uid="{00000000-0005-0000-0000-000092450000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3" xfId="22864" xr:uid="{00000000-0005-0000-0000-000097450000}"/>
    <cellStyle name="Millares 7 5 2 3 2 3" xfId="12949" xr:uid="{00000000-0005-0000-0000-000098450000}"/>
    <cellStyle name="Millares 7 5 2 3 2 4" xfId="19636" xr:uid="{00000000-0005-0000-0000-000099450000}"/>
    <cellStyle name="Millares 7 5 2 3 3" xfId="8368" xr:uid="{00000000-0005-0000-0000-00009A450000}"/>
    <cellStyle name="Millares 7 5 2 3 3 2" xfId="14946" xr:uid="{00000000-0005-0000-0000-00009B450000}"/>
    <cellStyle name="Millares 7 5 2 3 3 3" xfId="21633" xr:uid="{00000000-0005-0000-0000-00009C450000}"/>
    <cellStyle name="Millares 7 5 2 3 4" xfId="11710" xr:uid="{00000000-0005-0000-0000-00009D450000}"/>
    <cellStyle name="Millares 7 5 2 3 5" xfId="18405" xr:uid="{00000000-0005-0000-0000-00009E450000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3" xfId="20672" xr:uid="{00000000-0005-0000-0000-0000A2450000}"/>
    <cellStyle name="Millares 7 5 2 4 3" xfId="10669" xr:uid="{00000000-0005-0000-0000-0000A3450000}"/>
    <cellStyle name="Millares 7 5 2 4 4" xfId="17444" xr:uid="{00000000-0005-0000-0000-0000A4450000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3" xfId="21903" xr:uid="{00000000-0005-0000-0000-0000A8450000}"/>
    <cellStyle name="Millares 7 5 2 5 3" xfId="11988" xr:uid="{00000000-0005-0000-0000-0000A9450000}"/>
    <cellStyle name="Millares 7 5 2 5 4" xfId="18675" xr:uid="{00000000-0005-0000-0000-0000AA450000}"/>
    <cellStyle name="Millares 7 5 2 6" xfId="6763" xr:uid="{00000000-0005-0000-0000-0000AB450000}"/>
    <cellStyle name="Millares 7 5 2 6 2" xfId="13341" xr:uid="{00000000-0005-0000-0000-0000AC450000}"/>
    <cellStyle name="Millares 7 5 2 6 3" xfId="20028" xr:uid="{00000000-0005-0000-0000-0000AD450000}"/>
    <cellStyle name="Millares 7 5 2 7" xfId="10017" xr:uid="{00000000-0005-0000-0000-0000AE450000}"/>
    <cellStyle name="Millares 7 5 2 8" xfId="16800" xr:uid="{00000000-0005-0000-0000-0000AF450000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3" xfId="20962" xr:uid="{00000000-0005-0000-0000-0000B4450000}"/>
    <cellStyle name="Millares 7 5 3 2 3" xfId="10971" xr:uid="{00000000-0005-0000-0000-0000B5450000}"/>
    <cellStyle name="Millares 7 5 3 2 4" xfId="17734" xr:uid="{00000000-0005-0000-0000-0000B6450000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3" xfId="22193" xr:uid="{00000000-0005-0000-0000-0000BA450000}"/>
    <cellStyle name="Millares 7 5 3 3 3" xfId="12278" xr:uid="{00000000-0005-0000-0000-0000BB450000}"/>
    <cellStyle name="Millares 7 5 3 3 4" xfId="18965" xr:uid="{00000000-0005-0000-0000-0000BC450000}"/>
    <cellStyle name="Millares 7 5 3 4" xfId="6958" xr:uid="{00000000-0005-0000-0000-0000BD450000}"/>
    <cellStyle name="Millares 7 5 3 4 2" xfId="13536" xr:uid="{00000000-0005-0000-0000-0000BE450000}"/>
    <cellStyle name="Millares 7 5 3 4 3" xfId="20223" xr:uid="{00000000-0005-0000-0000-0000BF450000}"/>
    <cellStyle name="Millares 7 5 3 5" xfId="10219" xr:uid="{00000000-0005-0000-0000-0000C0450000}"/>
    <cellStyle name="Millares 7 5 3 6" xfId="16995" xr:uid="{00000000-0005-0000-0000-0000C1450000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3" xfId="22620" xr:uid="{00000000-0005-0000-0000-0000C6450000}"/>
    <cellStyle name="Millares 7 5 4 2 3" xfId="12705" xr:uid="{00000000-0005-0000-0000-0000C7450000}"/>
    <cellStyle name="Millares 7 5 4 2 4" xfId="19392" xr:uid="{00000000-0005-0000-0000-0000C8450000}"/>
    <cellStyle name="Millares 7 5 4 3" xfId="8124" xr:uid="{00000000-0005-0000-0000-0000C9450000}"/>
    <cellStyle name="Millares 7 5 4 3 2" xfId="14702" xr:uid="{00000000-0005-0000-0000-0000CA450000}"/>
    <cellStyle name="Millares 7 5 4 3 3" xfId="21389" xr:uid="{00000000-0005-0000-0000-0000CB450000}"/>
    <cellStyle name="Millares 7 5 4 4" xfId="11436" xr:uid="{00000000-0005-0000-0000-0000CC450000}"/>
    <cellStyle name="Millares 7 5 4 5" xfId="18161" xr:uid="{00000000-0005-0000-0000-0000CD450000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3" xfId="20566" xr:uid="{00000000-0005-0000-0000-0000D1450000}"/>
    <cellStyle name="Millares 7 5 5 3" xfId="10563" xr:uid="{00000000-0005-0000-0000-0000D2450000}"/>
    <cellStyle name="Millares 7 5 5 4" xfId="17338" xr:uid="{00000000-0005-0000-0000-0000D3450000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3" xfId="21797" xr:uid="{00000000-0005-0000-0000-0000D7450000}"/>
    <cellStyle name="Millares 7 5 6 3" xfId="11882" xr:uid="{00000000-0005-0000-0000-0000D8450000}"/>
    <cellStyle name="Millares 7 5 6 4" xfId="18569" xr:uid="{00000000-0005-0000-0000-0000D9450000}"/>
    <cellStyle name="Millares 7 5 7" xfId="6570" xr:uid="{00000000-0005-0000-0000-0000DA450000}"/>
    <cellStyle name="Millares 7 5 7 2" xfId="13148" xr:uid="{00000000-0005-0000-0000-0000DB450000}"/>
    <cellStyle name="Millares 7 5 7 3" xfId="19835" xr:uid="{00000000-0005-0000-0000-0000DC450000}"/>
    <cellStyle name="Millares 7 5 8" xfId="9807" xr:uid="{00000000-0005-0000-0000-0000DD450000}"/>
    <cellStyle name="Millares 7 5 9" xfId="16607" xr:uid="{00000000-0005-0000-0000-0000DE450000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3" xfId="21010" xr:uid="{00000000-0005-0000-0000-0000E4450000}"/>
    <cellStyle name="Millares 7 6 2 2 3" xfId="11026" xr:uid="{00000000-0005-0000-0000-0000E5450000}"/>
    <cellStyle name="Millares 7 6 2 2 4" xfId="17782" xr:uid="{00000000-0005-0000-0000-0000E6450000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3" xfId="22241" xr:uid="{00000000-0005-0000-0000-0000EA450000}"/>
    <cellStyle name="Millares 7 6 2 3 3" xfId="12326" xr:uid="{00000000-0005-0000-0000-0000EB450000}"/>
    <cellStyle name="Millares 7 6 2 3 4" xfId="19013" xr:uid="{00000000-0005-0000-0000-0000EC450000}"/>
    <cellStyle name="Millares 7 6 2 4" xfId="7057" xr:uid="{00000000-0005-0000-0000-0000ED450000}"/>
    <cellStyle name="Millares 7 6 2 4 2" xfId="13635" xr:uid="{00000000-0005-0000-0000-0000EE450000}"/>
    <cellStyle name="Millares 7 6 2 4 3" xfId="20322" xr:uid="{00000000-0005-0000-0000-0000EF450000}"/>
    <cellStyle name="Millares 7 6 2 5" xfId="10318" xr:uid="{00000000-0005-0000-0000-0000F0450000}"/>
    <cellStyle name="Millares 7 6 2 6" xfId="17094" xr:uid="{00000000-0005-0000-0000-0000F1450000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3" xfId="22770" xr:uid="{00000000-0005-0000-0000-0000F6450000}"/>
    <cellStyle name="Millares 7 6 3 2 3" xfId="12855" xr:uid="{00000000-0005-0000-0000-0000F7450000}"/>
    <cellStyle name="Millares 7 6 3 2 4" xfId="19542" xr:uid="{00000000-0005-0000-0000-0000F8450000}"/>
    <cellStyle name="Millares 7 6 3 3" xfId="8274" xr:uid="{00000000-0005-0000-0000-0000F9450000}"/>
    <cellStyle name="Millares 7 6 3 3 2" xfId="14852" xr:uid="{00000000-0005-0000-0000-0000FA450000}"/>
    <cellStyle name="Millares 7 6 3 3 3" xfId="21539" xr:uid="{00000000-0005-0000-0000-0000FB450000}"/>
    <cellStyle name="Millares 7 6 3 4" xfId="11604" xr:uid="{00000000-0005-0000-0000-0000FC450000}"/>
    <cellStyle name="Millares 7 6 3 5" xfId="18311" xr:uid="{00000000-0005-0000-0000-0000FD450000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3" xfId="20614" xr:uid="{00000000-0005-0000-0000-000001460000}"/>
    <cellStyle name="Millares 7 6 4 3" xfId="10611" xr:uid="{00000000-0005-0000-0000-000002460000}"/>
    <cellStyle name="Millares 7 6 4 4" xfId="17386" xr:uid="{00000000-0005-0000-0000-000003460000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3" xfId="21845" xr:uid="{00000000-0005-0000-0000-000007460000}"/>
    <cellStyle name="Millares 7 6 5 3" xfId="11930" xr:uid="{00000000-0005-0000-0000-000008460000}"/>
    <cellStyle name="Millares 7 6 5 4" xfId="18617" xr:uid="{00000000-0005-0000-0000-000009460000}"/>
    <cellStyle name="Millares 7 6 6" xfId="6669" xr:uid="{00000000-0005-0000-0000-00000A460000}"/>
    <cellStyle name="Millares 7 6 6 2" xfId="13247" xr:uid="{00000000-0005-0000-0000-00000B460000}"/>
    <cellStyle name="Millares 7 6 6 3" xfId="19934" xr:uid="{00000000-0005-0000-0000-00000C460000}"/>
    <cellStyle name="Millares 7 6 7" xfId="9915" xr:uid="{00000000-0005-0000-0000-00000D460000}"/>
    <cellStyle name="Millares 7 6 8" xfId="16706" xr:uid="{00000000-0005-0000-0000-00000E460000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3" xfId="22408" xr:uid="{00000000-0005-0000-0000-000014460000}"/>
    <cellStyle name="Millares 7 7 2 2 3" xfId="12493" xr:uid="{00000000-0005-0000-0000-000015460000}"/>
    <cellStyle name="Millares 7 7 2 2 4" xfId="19180" xr:uid="{00000000-0005-0000-0000-000016460000}"/>
    <cellStyle name="Millares 7 7 2 3" xfId="7912" xr:uid="{00000000-0005-0000-0000-000017460000}"/>
    <cellStyle name="Millares 7 7 2 3 2" xfId="14490" xr:uid="{00000000-0005-0000-0000-000018460000}"/>
    <cellStyle name="Millares 7 7 2 3 3" xfId="21177" xr:uid="{00000000-0005-0000-0000-000019460000}"/>
    <cellStyle name="Millares 7 7 2 4" xfId="11199" xr:uid="{00000000-0005-0000-0000-00001A460000}"/>
    <cellStyle name="Millares 7 7 2 5" xfId="17949" xr:uid="{00000000-0005-0000-0000-00001B460000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3" xfId="20781" xr:uid="{00000000-0005-0000-0000-00001F460000}"/>
    <cellStyle name="Millares 7 7 3 3" xfId="10778" xr:uid="{00000000-0005-0000-0000-000020460000}"/>
    <cellStyle name="Millares 7 7 3 4" xfId="17553" xr:uid="{00000000-0005-0000-0000-000021460000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3" xfId="22012" xr:uid="{00000000-0005-0000-0000-000025460000}"/>
    <cellStyle name="Millares 7 7 4 3" xfId="12097" xr:uid="{00000000-0005-0000-0000-000026460000}"/>
    <cellStyle name="Millares 7 7 4 4" xfId="18784" xr:uid="{00000000-0005-0000-0000-000027460000}"/>
    <cellStyle name="Millares 7 7 5" xfId="6864" xr:uid="{00000000-0005-0000-0000-000028460000}"/>
    <cellStyle name="Millares 7 7 5 2" xfId="13442" xr:uid="{00000000-0005-0000-0000-000029460000}"/>
    <cellStyle name="Millares 7 7 5 3" xfId="20129" xr:uid="{00000000-0005-0000-0000-00002A460000}"/>
    <cellStyle name="Millares 7 7 6" xfId="10125" xr:uid="{00000000-0005-0000-0000-00002B460000}"/>
    <cellStyle name="Millares 7 7 7" xfId="16331" xr:uid="{00000000-0005-0000-0000-00002C460000}"/>
    <cellStyle name="Millares 7 7 8" xfId="16901" xr:uid="{00000000-0005-0000-0000-00002D460000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3" xfId="22436" xr:uid="{00000000-0005-0000-0000-000033460000}"/>
    <cellStyle name="Millares 7 8 2 2 3" xfId="12521" xr:uid="{00000000-0005-0000-0000-000034460000}"/>
    <cellStyle name="Millares 7 8 2 2 4" xfId="19208" xr:uid="{00000000-0005-0000-0000-000035460000}"/>
    <cellStyle name="Millares 7 8 2 3" xfId="7940" xr:uid="{00000000-0005-0000-0000-000036460000}"/>
    <cellStyle name="Millares 7 8 2 3 2" xfId="14518" xr:uid="{00000000-0005-0000-0000-000037460000}"/>
    <cellStyle name="Millares 7 8 2 3 3" xfId="21205" xr:uid="{00000000-0005-0000-0000-000038460000}"/>
    <cellStyle name="Millares 7 8 2 4" xfId="11233" xr:uid="{00000000-0005-0000-0000-000039460000}"/>
    <cellStyle name="Millares 7 8 2 5" xfId="17977" xr:uid="{00000000-0005-0000-0000-00003A46000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3" xfId="22040" xr:uid="{00000000-0005-0000-0000-00003E460000}"/>
    <cellStyle name="Millares 7 8 3 3" xfId="12125" xr:uid="{00000000-0005-0000-0000-00003F460000}"/>
    <cellStyle name="Millares 7 8 3 4" xfId="18812" xr:uid="{00000000-0005-0000-0000-000040460000}"/>
    <cellStyle name="Millares 7 8 4" xfId="7544" xr:uid="{00000000-0005-0000-0000-000041460000}"/>
    <cellStyle name="Millares 7 8 4 2" xfId="14122" xr:uid="{00000000-0005-0000-0000-000042460000}"/>
    <cellStyle name="Millares 7 8 4 3" xfId="20809" xr:uid="{00000000-0005-0000-0000-000043460000}"/>
    <cellStyle name="Millares 7 8 5" xfId="10806" xr:uid="{00000000-0005-0000-0000-000044460000}"/>
    <cellStyle name="Millares 7 8 6" xfId="17581" xr:uid="{00000000-0005-0000-0000-000045460000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3" xfId="22135" xr:uid="{00000000-0005-0000-0000-00004A460000}"/>
    <cellStyle name="Millares 7 9 2 3" xfId="12220" xr:uid="{00000000-0005-0000-0000-00004B460000}"/>
    <cellStyle name="Millares 7 9 2 4" xfId="18907" xr:uid="{00000000-0005-0000-0000-00004C460000}"/>
    <cellStyle name="Millares 7 9 3" xfId="7639" xr:uid="{00000000-0005-0000-0000-00004D460000}"/>
    <cellStyle name="Millares 7 9 3 2" xfId="14217" xr:uid="{00000000-0005-0000-0000-00004E460000}"/>
    <cellStyle name="Millares 7 9 3 3" xfId="20904" xr:uid="{00000000-0005-0000-0000-00004F460000}"/>
    <cellStyle name="Millares 7 9 4" xfId="10910" xr:uid="{00000000-0005-0000-0000-000050460000}"/>
    <cellStyle name="Millares 7 9 5" xfId="17676" xr:uid="{00000000-0005-0000-0000-00005146000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6" xr:uid="{6A3C2CE7-054A-49DD-9703-DF7D21EF0AAB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3" xfId="22529" xr:uid="{00000000-0005-0000-0000-00005B460000}"/>
    <cellStyle name="Millares 8 10 2 3" xfId="12614" xr:uid="{00000000-0005-0000-0000-00005C460000}"/>
    <cellStyle name="Millares 8 10 2 4" xfId="19301" xr:uid="{00000000-0005-0000-0000-00005D460000}"/>
    <cellStyle name="Millares 8 10 3" xfId="8033" xr:uid="{00000000-0005-0000-0000-00005E460000}"/>
    <cellStyle name="Millares 8 10 3 2" xfId="14611" xr:uid="{00000000-0005-0000-0000-00005F460000}"/>
    <cellStyle name="Millares 8 10 3 3" xfId="21298" xr:uid="{00000000-0005-0000-0000-000060460000}"/>
    <cellStyle name="Millares 8 10 4" xfId="11333" xr:uid="{00000000-0005-0000-0000-000061460000}"/>
    <cellStyle name="Millares 8 10 5" xfId="18070" xr:uid="{00000000-0005-0000-0000-000062460000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3" xfId="22712" xr:uid="{00000000-0005-0000-0000-000067460000}"/>
    <cellStyle name="Millares 8 11 2 3" xfId="12797" xr:uid="{00000000-0005-0000-0000-000068460000}"/>
    <cellStyle name="Millares 8 11 2 4" xfId="19484" xr:uid="{00000000-0005-0000-0000-000069460000}"/>
    <cellStyle name="Millares 8 11 3" xfId="8216" xr:uid="{00000000-0005-0000-0000-00006A460000}"/>
    <cellStyle name="Millares 8 11 3 2" xfId="14794" xr:uid="{00000000-0005-0000-0000-00006B460000}"/>
    <cellStyle name="Millares 8 11 3 3" xfId="21481" xr:uid="{00000000-0005-0000-0000-00006C460000}"/>
    <cellStyle name="Millares 8 11 4" xfId="11545" xr:uid="{00000000-0005-0000-0000-00006D460000}"/>
    <cellStyle name="Millares 8 11 5" xfId="18253" xr:uid="{00000000-0005-0000-0000-00006E460000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3" xfId="20511" xr:uid="{00000000-0005-0000-0000-000072460000}"/>
    <cellStyle name="Millares 8 12 3" xfId="10507" xr:uid="{00000000-0005-0000-0000-000073460000}"/>
    <cellStyle name="Millares 8 12 4" xfId="17283" xr:uid="{00000000-0005-0000-0000-000074460000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3" xfId="21740" xr:uid="{00000000-0005-0000-0000-000078460000}"/>
    <cellStyle name="Millares 8 13 3" xfId="11825" xr:uid="{00000000-0005-0000-0000-000079460000}"/>
    <cellStyle name="Millares 8 13 4" xfId="18512" xr:uid="{00000000-0005-0000-0000-00007A460000}"/>
    <cellStyle name="Millares 8 14" xfId="6477" xr:uid="{00000000-0005-0000-0000-00007B460000}"/>
    <cellStyle name="Millares 8 14 2" xfId="13055" xr:uid="{00000000-0005-0000-0000-00007C460000}"/>
    <cellStyle name="Millares 8 14 3" xfId="19742" xr:uid="{00000000-0005-0000-0000-00007D460000}"/>
    <cellStyle name="Millares 8 15" xfId="9709" xr:uid="{00000000-0005-0000-0000-00007E460000}"/>
    <cellStyle name="Millares 8 16" xfId="16280" xr:uid="{00000000-0005-0000-0000-00007F460000}"/>
    <cellStyle name="Millares 8 17" xfId="16514" xr:uid="{00000000-0005-0000-0000-000080460000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3" xfId="20531" xr:uid="{00000000-0005-0000-0000-000085460000}"/>
    <cellStyle name="Millares 8 2 10 3" xfId="10528" xr:uid="{00000000-0005-0000-0000-000086460000}"/>
    <cellStyle name="Millares 8 2 10 4" xfId="17303" xr:uid="{00000000-0005-0000-0000-000087460000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3" xfId="21762" xr:uid="{00000000-0005-0000-0000-00008B460000}"/>
    <cellStyle name="Millares 8 2 11 3" xfId="11847" xr:uid="{00000000-0005-0000-0000-00008C460000}"/>
    <cellStyle name="Millares 8 2 11 4" xfId="18534" xr:uid="{00000000-0005-0000-0000-00008D460000}"/>
    <cellStyle name="Millares 8 2 12" xfId="6487" xr:uid="{00000000-0005-0000-0000-00008E460000}"/>
    <cellStyle name="Millares 8 2 12 2" xfId="13065" xr:uid="{00000000-0005-0000-0000-00008F460000}"/>
    <cellStyle name="Millares 8 2 12 3" xfId="19752" xr:uid="{00000000-0005-0000-0000-000090460000}"/>
    <cellStyle name="Millares 8 2 13" xfId="9720" xr:uid="{00000000-0005-0000-0000-000091460000}"/>
    <cellStyle name="Millares 8 2 14" xfId="11130" xr:uid="{00000000-0005-0000-0000-000092460000}"/>
    <cellStyle name="Millares 8 2 15" xfId="16524" xr:uid="{00000000-0005-0000-0000-000093460000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3" xfId="21785" xr:uid="{00000000-0005-0000-0000-000098460000}"/>
    <cellStyle name="Millares 8 2 2 10 3" xfId="11870" xr:uid="{00000000-0005-0000-0000-000099460000}"/>
    <cellStyle name="Millares 8 2 2 10 4" xfId="18557" xr:uid="{00000000-0005-0000-0000-00009A460000}"/>
    <cellStyle name="Millares 8 2 2 11" xfId="6510" xr:uid="{00000000-0005-0000-0000-00009B460000}"/>
    <cellStyle name="Millares 8 2 2 11 2" xfId="13088" xr:uid="{00000000-0005-0000-0000-00009C460000}"/>
    <cellStyle name="Millares 8 2 2 11 3" xfId="19775" xr:uid="{00000000-0005-0000-0000-00009D460000}"/>
    <cellStyle name="Millares 8 2 2 12" xfId="9745" xr:uid="{00000000-0005-0000-0000-00009E460000}"/>
    <cellStyle name="Millares 8 2 2 13" xfId="16416" xr:uid="{00000000-0005-0000-0000-00009F460000}"/>
    <cellStyle name="Millares 8 2 2 14" xfId="16547" xr:uid="{00000000-0005-0000-0000-0000A0460000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3" xfId="19821" xr:uid="{00000000-0005-0000-0000-0000A4460000}"/>
    <cellStyle name="Millares 8 2 2 2 11" xfId="9793" xr:uid="{00000000-0005-0000-0000-0000A5460000}"/>
    <cellStyle name="Millares 8 2 2 2 12" xfId="16593" xr:uid="{00000000-0005-0000-0000-0000A6460000}"/>
    <cellStyle name="Millares 8 2 2 2 2" xfId="738" xr:uid="{00000000-0005-0000-0000-0000A7460000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3" xfId="21711" xr:uid="{00000000-0005-0000-0000-0000AD460000}"/>
    <cellStyle name="Millares 8 2 2 2 2 2 2 2 3" xfId="11796" xr:uid="{00000000-0005-0000-0000-0000AE460000}"/>
    <cellStyle name="Millares 8 2 2 2 2 2 2 2 4" xfId="18483" xr:uid="{00000000-0005-0000-0000-0000AF46000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3" xfId="22942" xr:uid="{00000000-0005-0000-0000-0000B3460000}"/>
    <cellStyle name="Millares 8 2 2 2 2 2 2 3 3" xfId="13027" xr:uid="{00000000-0005-0000-0000-0000B4460000}"/>
    <cellStyle name="Millares 8 2 2 2 2 2 2 3 4" xfId="19714" xr:uid="{00000000-0005-0000-0000-0000B5460000}"/>
    <cellStyle name="Millares 8 2 2 2 2 2 2 4" xfId="7229" xr:uid="{00000000-0005-0000-0000-0000B6460000}"/>
    <cellStyle name="Millares 8 2 2 2 2 2 2 4 2" xfId="13807" xr:uid="{00000000-0005-0000-0000-0000B7460000}"/>
    <cellStyle name="Millares 8 2 2 2 2 2 2 4 3" xfId="20494" xr:uid="{00000000-0005-0000-0000-0000B8460000}"/>
    <cellStyle name="Millares 8 2 2 2 2 2 2 5" xfId="10490" xr:uid="{00000000-0005-0000-0000-0000B9460000}"/>
    <cellStyle name="Millares 8 2 2 2 2 2 2 6" xfId="17266" xr:uid="{00000000-0005-0000-0000-0000BA460000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3" xfId="21101" xr:uid="{00000000-0005-0000-0000-0000BE460000}"/>
    <cellStyle name="Millares 8 2 2 2 2 2 3 3" xfId="11118" xr:uid="{00000000-0005-0000-0000-0000BF460000}"/>
    <cellStyle name="Millares 8 2 2 2 2 2 3 4" xfId="17873" xr:uid="{00000000-0005-0000-0000-0000C0460000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3" xfId="22332" xr:uid="{00000000-0005-0000-0000-0000C4460000}"/>
    <cellStyle name="Millares 8 2 2 2 2 2 4 3" xfId="12417" xr:uid="{00000000-0005-0000-0000-0000C5460000}"/>
    <cellStyle name="Millares 8 2 2 2 2 2 4 4" xfId="19104" xr:uid="{00000000-0005-0000-0000-0000C6460000}"/>
    <cellStyle name="Millares 8 2 2 2 2 2 5" xfId="6841" xr:uid="{00000000-0005-0000-0000-0000C7460000}"/>
    <cellStyle name="Millares 8 2 2 2 2 2 5 2" xfId="13419" xr:uid="{00000000-0005-0000-0000-0000C8460000}"/>
    <cellStyle name="Millares 8 2 2 2 2 2 5 3" xfId="20106" xr:uid="{00000000-0005-0000-0000-0000C9460000}"/>
    <cellStyle name="Millares 8 2 2 2 2 2 6" xfId="10101" xr:uid="{00000000-0005-0000-0000-0000CA460000}"/>
    <cellStyle name="Millares 8 2 2 2 2 2 7" xfId="16878" xr:uid="{00000000-0005-0000-0000-0000CB460000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3" xfId="21467" xr:uid="{00000000-0005-0000-0000-0000D0460000}"/>
    <cellStyle name="Millares 8 2 2 2 2 3 2 3" xfId="11531" xr:uid="{00000000-0005-0000-0000-0000D1460000}"/>
    <cellStyle name="Millares 8 2 2 2 2 3 2 4" xfId="18239" xr:uid="{00000000-0005-0000-0000-0000D2460000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3" xfId="22698" xr:uid="{00000000-0005-0000-0000-0000D6460000}"/>
    <cellStyle name="Millares 8 2 2 2 2 3 3 3" xfId="12783" xr:uid="{00000000-0005-0000-0000-0000D7460000}"/>
    <cellStyle name="Millares 8 2 2 2 2 3 3 4" xfId="19470" xr:uid="{00000000-0005-0000-0000-0000D8460000}"/>
    <cellStyle name="Millares 8 2 2 2 2 3 4" xfId="7036" xr:uid="{00000000-0005-0000-0000-0000D9460000}"/>
    <cellStyle name="Millares 8 2 2 2 2 3 4 2" xfId="13614" xr:uid="{00000000-0005-0000-0000-0000DA460000}"/>
    <cellStyle name="Millares 8 2 2 2 2 3 4 3" xfId="20301" xr:uid="{00000000-0005-0000-0000-0000DB460000}"/>
    <cellStyle name="Millares 8 2 2 2 2 3 5" xfId="10297" xr:uid="{00000000-0005-0000-0000-0000DC460000}"/>
    <cellStyle name="Millares 8 2 2 2 2 3 6" xfId="17073" xr:uid="{00000000-0005-0000-0000-0000DD460000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3" xfId="22757" xr:uid="{00000000-0005-0000-0000-0000E2460000}"/>
    <cellStyle name="Millares 8 2 2 2 2 4 2 3" xfId="12842" xr:uid="{00000000-0005-0000-0000-0000E3460000}"/>
    <cellStyle name="Millares 8 2 2 2 2 4 2 4" xfId="19529" xr:uid="{00000000-0005-0000-0000-0000E4460000}"/>
    <cellStyle name="Millares 8 2 2 2 2 4 3" xfId="8261" xr:uid="{00000000-0005-0000-0000-0000E5460000}"/>
    <cellStyle name="Millares 8 2 2 2 2 4 3 2" xfId="14839" xr:uid="{00000000-0005-0000-0000-0000E6460000}"/>
    <cellStyle name="Millares 8 2 2 2 2 4 3 3" xfId="21526" xr:uid="{00000000-0005-0000-0000-0000E7460000}"/>
    <cellStyle name="Millares 8 2 2 2 2 4 4" xfId="11590" xr:uid="{00000000-0005-0000-0000-0000E8460000}"/>
    <cellStyle name="Millares 8 2 2 2 2 4 5" xfId="18298" xr:uid="{00000000-0005-0000-0000-0000E9460000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3" xfId="20705" xr:uid="{00000000-0005-0000-0000-0000ED460000}"/>
    <cellStyle name="Millares 8 2 2 2 2 5 3" xfId="10702" xr:uid="{00000000-0005-0000-0000-0000EE460000}"/>
    <cellStyle name="Millares 8 2 2 2 2 5 4" xfId="17477" xr:uid="{00000000-0005-0000-0000-0000EF460000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3" xfId="21936" xr:uid="{00000000-0005-0000-0000-0000F3460000}"/>
    <cellStyle name="Millares 8 2 2 2 2 6 3" xfId="12021" xr:uid="{00000000-0005-0000-0000-0000F4460000}"/>
    <cellStyle name="Millares 8 2 2 2 2 6 4" xfId="18708" xr:uid="{00000000-0005-0000-0000-0000F5460000}"/>
    <cellStyle name="Millares 8 2 2 2 2 7" xfId="6648" xr:uid="{00000000-0005-0000-0000-0000F6460000}"/>
    <cellStyle name="Millares 8 2 2 2 2 7 2" xfId="13226" xr:uid="{00000000-0005-0000-0000-0000F7460000}"/>
    <cellStyle name="Millares 8 2 2 2 2 7 3" xfId="19913" xr:uid="{00000000-0005-0000-0000-0000F8460000}"/>
    <cellStyle name="Millares 8 2 2 2 2 8" xfId="9893" xr:uid="{00000000-0005-0000-0000-0000F9460000}"/>
    <cellStyle name="Millares 8 2 2 2 2 9" xfId="16685" xr:uid="{00000000-0005-0000-0000-0000FA460000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3" xfId="21188" xr:uid="{00000000-0005-0000-0000-000000470000}"/>
    <cellStyle name="Millares 8 2 2 2 3 2 2 3" xfId="11210" xr:uid="{00000000-0005-0000-0000-000001470000}"/>
    <cellStyle name="Millares 8 2 2 2 3 2 2 4" xfId="17960" xr:uid="{00000000-0005-0000-0000-000002470000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3" xfId="22419" xr:uid="{00000000-0005-0000-0000-000006470000}"/>
    <cellStyle name="Millares 8 2 2 2 3 2 3 3" xfId="12504" xr:uid="{00000000-0005-0000-0000-000007470000}"/>
    <cellStyle name="Millares 8 2 2 2 3 2 3 4" xfId="19191" xr:uid="{00000000-0005-0000-0000-000008470000}"/>
    <cellStyle name="Millares 8 2 2 2 3 2 4" xfId="7137" xr:uid="{00000000-0005-0000-0000-000009470000}"/>
    <cellStyle name="Millares 8 2 2 2 3 2 4 2" xfId="13715" xr:uid="{00000000-0005-0000-0000-00000A470000}"/>
    <cellStyle name="Millares 8 2 2 2 3 2 4 3" xfId="20402" xr:uid="{00000000-0005-0000-0000-00000B470000}"/>
    <cellStyle name="Millares 8 2 2 2 3 2 5" xfId="10398" xr:uid="{00000000-0005-0000-0000-00000C470000}"/>
    <cellStyle name="Millares 8 2 2 2 3 2 6" xfId="17174" xr:uid="{00000000-0005-0000-0000-00000D470000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3" xfId="22850" xr:uid="{00000000-0005-0000-0000-000012470000}"/>
    <cellStyle name="Millares 8 2 2 2 3 3 2 3" xfId="12935" xr:uid="{00000000-0005-0000-0000-000013470000}"/>
    <cellStyle name="Millares 8 2 2 2 3 3 2 4" xfId="19622" xr:uid="{00000000-0005-0000-0000-000014470000}"/>
    <cellStyle name="Millares 8 2 2 2 3 3 3" xfId="8354" xr:uid="{00000000-0005-0000-0000-000015470000}"/>
    <cellStyle name="Millares 8 2 2 2 3 3 3 2" xfId="14932" xr:uid="{00000000-0005-0000-0000-000016470000}"/>
    <cellStyle name="Millares 8 2 2 2 3 3 3 3" xfId="21619" xr:uid="{00000000-0005-0000-0000-000017470000}"/>
    <cellStyle name="Millares 8 2 2 2 3 3 4" xfId="11695" xr:uid="{00000000-0005-0000-0000-000018470000}"/>
    <cellStyle name="Millares 8 2 2 2 3 3 5" xfId="18391" xr:uid="{00000000-0005-0000-0000-000019470000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3" xfId="20792" xr:uid="{00000000-0005-0000-0000-00001D470000}"/>
    <cellStyle name="Millares 8 2 2 2 3 4 3" xfId="10789" xr:uid="{00000000-0005-0000-0000-00001E470000}"/>
    <cellStyle name="Millares 8 2 2 2 3 4 4" xfId="17564" xr:uid="{00000000-0005-0000-0000-00001F470000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3" xfId="22023" xr:uid="{00000000-0005-0000-0000-000023470000}"/>
    <cellStyle name="Millares 8 2 2 2 3 5 3" xfId="12108" xr:uid="{00000000-0005-0000-0000-000024470000}"/>
    <cellStyle name="Millares 8 2 2 2 3 5 4" xfId="18795" xr:uid="{00000000-0005-0000-0000-000025470000}"/>
    <cellStyle name="Millares 8 2 2 2 3 6" xfId="6749" xr:uid="{00000000-0005-0000-0000-000026470000}"/>
    <cellStyle name="Millares 8 2 2 2 3 6 2" xfId="13327" xr:uid="{00000000-0005-0000-0000-000027470000}"/>
    <cellStyle name="Millares 8 2 2 2 3 6 3" xfId="20014" xr:uid="{00000000-0005-0000-0000-000028470000}"/>
    <cellStyle name="Millares 8 2 2 2 3 7" xfId="10001" xr:uid="{00000000-0005-0000-0000-000029470000}"/>
    <cellStyle name="Millares 8 2 2 2 3 8" xfId="16786" xr:uid="{00000000-0005-0000-0000-00002A470000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3" xfId="22514" xr:uid="{00000000-0005-0000-0000-000030470000}"/>
    <cellStyle name="Millares 8 2 2 2 4 2 2 3" xfId="12599" xr:uid="{00000000-0005-0000-0000-000031470000}"/>
    <cellStyle name="Millares 8 2 2 2 4 2 2 4" xfId="19286" xr:uid="{00000000-0005-0000-0000-000032470000}"/>
    <cellStyle name="Millares 8 2 2 2 4 2 3" xfId="8018" xr:uid="{00000000-0005-0000-0000-000033470000}"/>
    <cellStyle name="Millares 8 2 2 2 4 2 3 2" xfId="14596" xr:uid="{00000000-0005-0000-0000-000034470000}"/>
    <cellStyle name="Millares 8 2 2 2 4 2 3 3" xfId="21283" xr:uid="{00000000-0005-0000-0000-000035470000}"/>
    <cellStyle name="Millares 8 2 2 2 4 2 4" xfId="11317" xr:uid="{00000000-0005-0000-0000-000036470000}"/>
    <cellStyle name="Millares 8 2 2 2 4 2 5" xfId="18055" xr:uid="{00000000-0005-0000-0000-000037470000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3" xfId="20887" xr:uid="{00000000-0005-0000-0000-00003B470000}"/>
    <cellStyle name="Millares 8 2 2 2 4 3 3" xfId="10892" xr:uid="{00000000-0005-0000-0000-00003C470000}"/>
    <cellStyle name="Millares 8 2 2 2 4 3 4" xfId="17659" xr:uid="{00000000-0005-0000-0000-00003D470000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3" xfId="22118" xr:uid="{00000000-0005-0000-0000-000041470000}"/>
    <cellStyle name="Millares 8 2 2 2 4 4 3" xfId="12203" xr:uid="{00000000-0005-0000-0000-000042470000}"/>
    <cellStyle name="Millares 8 2 2 2 4 4 4" xfId="18890" xr:uid="{00000000-0005-0000-0000-000043470000}"/>
    <cellStyle name="Millares 8 2 2 2 4 5" xfId="6944" xr:uid="{00000000-0005-0000-0000-000044470000}"/>
    <cellStyle name="Millares 8 2 2 2 4 5 2" xfId="13522" xr:uid="{00000000-0005-0000-0000-000045470000}"/>
    <cellStyle name="Millares 8 2 2 2 4 5 3" xfId="20209" xr:uid="{00000000-0005-0000-0000-000046470000}"/>
    <cellStyle name="Millares 8 2 2 2 4 6" xfId="10205" xr:uid="{00000000-0005-0000-0000-000047470000}"/>
    <cellStyle name="Millares 8 2 2 2 4 7" xfId="16981" xr:uid="{00000000-0005-0000-0000-000048470000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3" xfId="22226" xr:uid="{00000000-0005-0000-0000-00004D470000}"/>
    <cellStyle name="Millares 8 2 2 2 5 2 3" xfId="12311" xr:uid="{00000000-0005-0000-0000-00004E470000}"/>
    <cellStyle name="Millares 8 2 2 2 5 2 4" xfId="18998" xr:uid="{00000000-0005-0000-0000-00004F470000}"/>
    <cellStyle name="Millares 8 2 2 2 5 3" xfId="7730" xr:uid="{00000000-0005-0000-0000-000050470000}"/>
    <cellStyle name="Millares 8 2 2 2 5 3 2" xfId="14308" xr:uid="{00000000-0005-0000-0000-000051470000}"/>
    <cellStyle name="Millares 8 2 2 2 5 3 3" xfId="20995" xr:uid="{00000000-0005-0000-0000-000052470000}"/>
    <cellStyle name="Millares 8 2 2 2 5 4" xfId="11010" xr:uid="{00000000-0005-0000-0000-000053470000}"/>
    <cellStyle name="Millares 8 2 2 2 5 5" xfId="17767" xr:uid="{00000000-0005-0000-0000-000054470000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3" xfId="22606" xr:uid="{00000000-0005-0000-0000-000059470000}"/>
    <cellStyle name="Millares 8 2 2 2 6 2 3" xfId="12691" xr:uid="{00000000-0005-0000-0000-00005A470000}"/>
    <cellStyle name="Millares 8 2 2 2 6 2 4" xfId="19378" xr:uid="{00000000-0005-0000-0000-00005B470000}"/>
    <cellStyle name="Millares 8 2 2 2 6 3" xfId="8110" xr:uid="{00000000-0005-0000-0000-00005C470000}"/>
    <cellStyle name="Millares 8 2 2 2 6 3 2" xfId="14688" xr:uid="{00000000-0005-0000-0000-00005D470000}"/>
    <cellStyle name="Millares 8 2 2 2 6 3 3" xfId="21375" xr:uid="{00000000-0005-0000-0000-00005E470000}"/>
    <cellStyle name="Millares 8 2 2 2 6 4" xfId="11421" xr:uid="{00000000-0005-0000-0000-00005F470000}"/>
    <cellStyle name="Millares 8 2 2 2 6 5" xfId="18147" xr:uid="{00000000-0005-0000-0000-000060470000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3" xfId="22733" xr:uid="{00000000-0005-0000-0000-000065470000}"/>
    <cellStyle name="Millares 8 2 2 2 7 2 3" xfId="12818" xr:uid="{00000000-0005-0000-0000-000066470000}"/>
    <cellStyle name="Millares 8 2 2 2 7 2 4" xfId="19505" xr:uid="{00000000-0005-0000-0000-000067470000}"/>
    <cellStyle name="Millares 8 2 2 2 7 3" xfId="8237" xr:uid="{00000000-0005-0000-0000-000068470000}"/>
    <cellStyle name="Millares 8 2 2 2 7 3 2" xfId="14815" xr:uid="{00000000-0005-0000-0000-000069470000}"/>
    <cellStyle name="Millares 8 2 2 2 7 3 3" xfId="21502" xr:uid="{00000000-0005-0000-0000-00006A470000}"/>
    <cellStyle name="Millares 8 2 2 2 7 4" xfId="11566" xr:uid="{00000000-0005-0000-0000-00006B470000}"/>
    <cellStyle name="Millares 8 2 2 2 7 5" xfId="18274" xr:uid="{00000000-0005-0000-0000-00006C470000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3" xfId="20599" xr:uid="{00000000-0005-0000-0000-000070470000}"/>
    <cellStyle name="Millares 8 2 2 2 8 3" xfId="10596" xr:uid="{00000000-0005-0000-0000-000071470000}"/>
    <cellStyle name="Millares 8 2 2 2 8 4" xfId="17371" xr:uid="{00000000-0005-0000-0000-000072470000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3" xfId="21830" xr:uid="{00000000-0005-0000-0000-000076470000}"/>
    <cellStyle name="Millares 8 2 2 2 9 3" xfId="11915" xr:uid="{00000000-0005-0000-0000-000077470000}"/>
    <cellStyle name="Millares 8 2 2 2 9 4" xfId="18602" xr:uid="{00000000-0005-0000-0000-000078470000}"/>
    <cellStyle name="Millares 8 2 2 3" xfId="565" xr:uid="{00000000-0005-0000-0000-000079470000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3" xfId="21666" xr:uid="{00000000-0005-0000-0000-00007F470000}"/>
    <cellStyle name="Millares 8 2 2 3 2 2 2 3" xfId="11745" xr:uid="{00000000-0005-0000-0000-000080470000}"/>
    <cellStyle name="Millares 8 2 2 3 2 2 2 4" xfId="18438" xr:uid="{00000000-0005-0000-0000-000081470000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3" xfId="22897" xr:uid="{00000000-0005-0000-0000-000085470000}"/>
    <cellStyle name="Millares 8 2 2 3 2 2 3 3" xfId="12982" xr:uid="{00000000-0005-0000-0000-000086470000}"/>
    <cellStyle name="Millares 8 2 2 3 2 2 3 4" xfId="19669" xr:uid="{00000000-0005-0000-0000-000087470000}"/>
    <cellStyle name="Millares 8 2 2 3 2 2 4" xfId="7184" xr:uid="{00000000-0005-0000-0000-000088470000}"/>
    <cellStyle name="Millares 8 2 2 3 2 2 4 2" xfId="13762" xr:uid="{00000000-0005-0000-0000-000089470000}"/>
    <cellStyle name="Millares 8 2 2 3 2 2 4 3" xfId="20449" xr:uid="{00000000-0005-0000-0000-00008A470000}"/>
    <cellStyle name="Millares 8 2 2 3 2 2 5" xfId="10445" xr:uid="{00000000-0005-0000-0000-00008B470000}"/>
    <cellStyle name="Millares 8 2 2 3 2 2 6" xfId="17221" xr:uid="{00000000-0005-0000-0000-00008C47000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3" xfId="21056" xr:uid="{00000000-0005-0000-0000-000090470000}"/>
    <cellStyle name="Millares 8 2 2 3 2 3 3" xfId="11072" xr:uid="{00000000-0005-0000-0000-000091470000}"/>
    <cellStyle name="Millares 8 2 2 3 2 3 4" xfId="17828" xr:uid="{00000000-0005-0000-0000-000092470000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3" xfId="22287" xr:uid="{00000000-0005-0000-0000-000096470000}"/>
    <cellStyle name="Millares 8 2 2 3 2 4 3" xfId="12372" xr:uid="{00000000-0005-0000-0000-000097470000}"/>
    <cellStyle name="Millares 8 2 2 3 2 4 4" xfId="19059" xr:uid="{00000000-0005-0000-0000-000098470000}"/>
    <cellStyle name="Millares 8 2 2 3 2 5" xfId="6796" xr:uid="{00000000-0005-0000-0000-000099470000}"/>
    <cellStyle name="Millares 8 2 2 3 2 5 2" xfId="13374" xr:uid="{00000000-0005-0000-0000-00009A470000}"/>
    <cellStyle name="Millares 8 2 2 3 2 5 3" xfId="20061" xr:uid="{00000000-0005-0000-0000-00009B470000}"/>
    <cellStyle name="Millares 8 2 2 3 2 6" xfId="10052" xr:uid="{00000000-0005-0000-0000-00009C470000}"/>
    <cellStyle name="Millares 8 2 2 3 2 7" xfId="16833" xr:uid="{00000000-0005-0000-0000-00009D470000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3" xfId="21422" xr:uid="{00000000-0005-0000-0000-0000A2470000}"/>
    <cellStyle name="Millares 8 2 2 3 3 2 3" xfId="11476" xr:uid="{00000000-0005-0000-0000-0000A3470000}"/>
    <cellStyle name="Millares 8 2 2 3 3 2 4" xfId="18194" xr:uid="{00000000-0005-0000-0000-0000A4470000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3" xfId="22653" xr:uid="{00000000-0005-0000-0000-0000A8470000}"/>
    <cellStyle name="Millares 8 2 2 3 3 3 3" xfId="12738" xr:uid="{00000000-0005-0000-0000-0000A9470000}"/>
    <cellStyle name="Millares 8 2 2 3 3 3 4" xfId="19425" xr:uid="{00000000-0005-0000-0000-0000AA470000}"/>
    <cellStyle name="Millares 8 2 2 3 3 4" xfId="6991" xr:uid="{00000000-0005-0000-0000-0000AB470000}"/>
    <cellStyle name="Millares 8 2 2 3 3 4 2" xfId="13569" xr:uid="{00000000-0005-0000-0000-0000AC470000}"/>
    <cellStyle name="Millares 8 2 2 3 3 4 3" xfId="20256" xr:uid="{00000000-0005-0000-0000-0000AD470000}"/>
    <cellStyle name="Millares 8 2 2 3 3 5" xfId="10252" xr:uid="{00000000-0005-0000-0000-0000AE470000}"/>
    <cellStyle name="Millares 8 2 2 3 3 6" xfId="17028" xr:uid="{00000000-0005-0000-0000-0000AF470000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3" xfId="22745" xr:uid="{00000000-0005-0000-0000-0000B4470000}"/>
    <cellStyle name="Millares 8 2 2 3 4 2 3" xfId="12830" xr:uid="{00000000-0005-0000-0000-0000B5470000}"/>
    <cellStyle name="Millares 8 2 2 3 4 2 4" xfId="19517" xr:uid="{00000000-0005-0000-0000-0000B6470000}"/>
    <cellStyle name="Millares 8 2 2 3 4 3" xfId="8249" xr:uid="{00000000-0005-0000-0000-0000B7470000}"/>
    <cellStyle name="Millares 8 2 2 3 4 3 2" xfId="14827" xr:uid="{00000000-0005-0000-0000-0000B8470000}"/>
    <cellStyle name="Millares 8 2 2 3 4 3 3" xfId="21514" xr:uid="{00000000-0005-0000-0000-0000B9470000}"/>
    <cellStyle name="Millares 8 2 2 3 4 4" xfId="11578" xr:uid="{00000000-0005-0000-0000-0000BA470000}"/>
    <cellStyle name="Millares 8 2 2 3 4 5" xfId="18286" xr:uid="{00000000-0005-0000-0000-0000BB470000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3" xfId="20660" xr:uid="{00000000-0005-0000-0000-0000BF470000}"/>
    <cellStyle name="Millares 8 2 2 3 5 3" xfId="10657" xr:uid="{00000000-0005-0000-0000-0000C0470000}"/>
    <cellStyle name="Millares 8 2 2 3 5 4" xfId="17432" xr:uid="{00000000-0005-0000-0000-0000C14700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3" xfId="21891" xr:uid="{00000000-0005-0000-0000-0000C5470000}"/>
    <cellStyle name="Millares 8 2 2 3 6 3" xfId="11976" xr:uid="{00000000-0005-0000-0000-0000C6470000}"/>
    <cellStyle name="Millares 8 2 2 3 6 4" xfId="18663" xr:uid="{00000000-0005-0000-0000-0000C7470000}"/>
    <cellStyle name="Millares 8 2 2 3 7" xfId="6603" xr:uid="{00000000-0005-0000-0000-0000C8470000}"/>
    <cellStyle name="Millares 8 2 2 3 7 2" xfId="13181" xr:uid="{00000000-0005-0000-0000-0000C9470000}"/>
    <cellStyle name="Millares 8 2 2 3 7 3" xfId="19868" xr:uid="{00000000-0005-0000-0000-0000CA470000}"/>
    <cellStyle name="Millares 8 2 2 3 8" xfId="9843" xr:uid="{00000000-0005-0000-0000-0000CB470000}"/>
    <cellStyle name="Millares 8 2 2 3 9" xfId="16640" xr:uid="{00000000-0005-0000-0000-0000CC47000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3" xfId="21187" xr:uid="{00000000-0005-0000-0000-0000D2470000}"/>
    <cellStyle name="Millares 8 2 2 4 2 2 3" xfId="11209" xr:uid="{00000000-0005-0000-0000-0000D3470000}"/>
    <cellStyle name="Millares 8 2 2 4 2 2 4" xfId="17959" xr:uid="{00000000-0005-0000-0000-0000D4470000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3" xfId="22418" xr:uid="{00000000-0005-0000-0000-0000D8470000}"/>
    <cellStyle name="Millares 8 2 2 4 2 3 3" xfId="12503" xr:uid="{00000000-0005-0000-0000-0000D9470000}"/>
    <cellStyle name="Millares 8 2 2 4 2 3 4" xfId="19190" xr:uid="{00000000-0005-0000-0000-0000DA470000}"/>
    <cellStyle name="Millares 8 2 2 4 2 4" xfId="7091" xr:uid="{00000000-0005-0000-0000-0000DB470000}"/>
    <cellStyle name="Millares 8 2 2 4 2 4 2" xfId="13669" xr:uid="{00000000-0005-0000-0000-0000DC470000}"/>
    <cellStyle name="Millares 8 2 2 4 2 4 3" xfId="20356" xr:uid="{00000000-0005-0000-0000-0000DD470000}"/>
    <cellStyle name="Millares 8 2 2 4 2 5" xfId="10352" xr:uid="{00000000-0005-0000-0000-0000DE470000}"/>
    <cellStyle name="Millares 8 2 2 4 2 6" xfId="17128" xr:uid="{00000000-0005-0000-0000-0000DF470000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3" xfId="22804" xr:uid="{00000000-0005-0000-0000-0000E4470000}"/>
    <cellStyle name="Millares 8 2 2 4 3 2 3" xfId="12889" xr:uid="{00000000-0005-0000-0000-0000E5470000}"/>
    <cellStyle name="Millares 8 2 2 4 3 2 4" xfId="19576" xr:uid="{00000000-0005-0000-0000-0000E6470000}"/>
    <cellStyle name="Millares 8 2 2 4 3 3" xfId="8308" xr:uid="{00000000-0005-0000-0000-0000E7470000}"/>
    <cellStyle name="Millares 8 2 2 4 3 3 2" xfId="14886" xr:uid="{00000000-0005-0000-0000-0000E8470000}"/>
    <cellStyle name="Millares 8 2 2 4 3 3 3" xfId="21573" xr:uid="{00000000-0005-0000-0000-0000E9470000}"/>
    <cellStyle name="Millares 8 2 2 4 3 4" xfId="11642" xr:uid="{00000000-0005-0000-0000-0000EA470000}"/>
    <cellStyle name="Millares 8 2 2 4 3 5" xfId="18345" xr:uid="{00000000-0005-0000-0000-0000EB470000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3" xfId="20791" xr:uid="{00000000-0005-0000-0000-0000EF470000}"/>
    <cellStyle name="Millares 8 2 2 4 4 3" xfId="10788" xr:uid="{00000000-0005-0000-0000-0000F0470000}"/>
    <cellStyle name="Millares 8 2 2 4 4 4" xfId="17563" xr:uid="{00000000-0005-0000-0000-0000F1470000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3" xfId="22022" xr:uid="{00000000-0005-0000-0000-0000F5470000}"/>
    <cellStyle name="Millares 8 2 2 4 5 3" xfId="12107" xr:uid="{00000000-0005-0000-0000-0000F6470000}"/>
    <cellStyle name="Millares 8 2 2 4 5 4" xfId="18794" xr:uid="{00000000-0005-0000-0000-0000F7470000}"/>
    <cellStyle name="Millares 8 2 2 4 6" xfId="6703" xr:uid="{00000000-0005-0000-0000-0000F8470000}"/>
    <cellStyle name="Millares 8 2 2 4 6 2" xfId="13281" xr:uid="{00000000-0005-0000-0000-0000F9470000}"/>
    <cellStyle name="Millares 8 2 2 4 6 3" xfId="19968" xr:uid="{00000000-0005-0000-0000-0000FA470000}"/>
    <cellStyle name="Millares 8 2 2 4 7" xfId="9951" xr:uid="{00000000-0005-0000-0000-0000FB470000}"/>
    <cellStyle name="Millares 8 2 2 4 8" xfId="16740" xr:uid="{00000000-0005-0000-0000-0000FC470000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3" xfId="22469" xr:uid="{00000000-0005-0000-0000-000002480000}"/>
    <cellStyle name="Millares 8 2 2 5 2 2 3" xfId="12554" xr:uid="{00000000-0005-0000-0000-000003480000}"/>
    <cellStyle name="Millares 8 2 2 5 2 2 4" xfId="19241" xr:uid="{00000000-0005-0000-0000-000004480000}"/>
    <cellStyle name="Millares 8 2 2 5 2 3" xfId="7973" xr:uid="{00000000-0005-0000-0000-000005480000}"/>
    <cellStyle name="Millares 8 2 2 5 2 3 2" xfId="14551" xr:uid="{00000000-0005-0000-0000-000006480000}"/>
    <cellStyle name="Millares 8 2 2 5 2 3 3" xfId="21238" xr:uid="{00000000-0005-0000-0000-000007480000}"/>
    <cellStyle name="Millares 8 2 2 5 2 4" xfId="11269" xr:uid="{00000000-0005-0000-0000-000008480000}"/>
    <cellStyle name="Millares 8 2 2 5 2 5" xfId="18010" xr:uid="{00000000-0005-0000-0000-000009480000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3" xfId="20842" xr:uid="{00000000-0005-0000-0000-00000D480000}"/>
    <cellStyle name="Millares 8 2 2 5 3 3" xfId="10840" xr:uid="{00000000-0005-0000-0000-00000E480000}"/>
    <cellStyle name="Millares 8 2 2 5 3 4" xfId="17614" xr:uid="{00000000-0005-0000-0000-00000F480000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3" xfId="22073" xr:uid="{00000000-0005-0000-0000-000013480000}"/>
    <cellStyle name="Millares 8 2 2 5 4 3" xfId="12158" xr:uid="{00000000-0005-0000-0000-000014480000}"/>
    <cellStyle name="Millares 8 2 2 5 4 4" xfId="18845" xr:uid="{00000000-0005-0000-0000-000015480000}"/>
    <cellStyle name="Millares 8 2 2 5 5" xfId="6898" xr:uid="{00000000-0005-0000-0000-000016480000}"/>
    <cellStyle name="Millares 8 2 2 5 5 2" xfId="13476" xr:uid="{00000000-0005-0000-0000-000017480000}"/>
    <cellStyle name="Millares 8 2 2 5 5 3" xfId="20163" xr:uid="{00000000-0005-0000-0000-000018480000}"/>
    <cellStyle name="Millares 8 2 2 5 6" xfId="10159" xr:uid="{00000000-0005-0000-0000-000019480000}"/>
    <cellStyle name="Millares 8 2 2 5 7" xfId="16935" xr:uid="{00000000-0005-0000-0000-00001A480000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3" xfId="22181" xr:uid="{00000000-0005-0000-0000-00001F480000}"/>
    <cellStyle name="Millares 8 2 2 6 2 3" xfId="12266" xr:uid="{00000000-0005-0000-0000-000020480000}"/>
    <cellStyle name="Millares 8 2 2 6 2 4" xfId="18953" xr:uid="{00000000-0005-0000-0000-000021480000}"/>
    <cellStyle name="Millares 8 2 2 6 3" xfId="7685" xr:uid="{00000000-0005-0000-0000-000022480000}"/>
    <cellStyle name="Millares 8 2 2 6 3 2" xfId="14263" xr:uid="{00000000-0005-0000-0000-000023480000}"/>
    <cellStyle name="Millares 8 2 2 6 3 3" xfId="20950" xr:uid="{00000000-0005-0000-0000-000024480000}"/>
    <cellStyle name="Millares 8 2 2 6 4" xfId="10958" xr:uid="{00000000-0005-0000-0000-000025480000}"/>
    <cellStyle name="Millares 8 2 2 6 5" xfId="17722" xr:uid="{00000000-0005-0000-0000-000026480000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3" xfId="22561" xr:uid="{00000000-0005-0000-0000-00002B480000}"/>
    <cellStyle name="Millares 8 2 2 7 2 3" xfId="12646" xr:uid="{00000000-0005-0000-0000-00002C480000}"/>
    <cellStyle name="Millares 8 2 2 7 2 4" xfId="19333" xr:uid="{00000000-0005-0000-0000-00002D480000}"/>
    <cellStyle name="Millares 8 2 2 7 3" xfId="8065" xr:uid="{00000000-0005-0000-0000-00002E480000}"/>
    <cellStyle name="Millares 8 2 2 7 3 2" xfId="14643" xr:uid="{00000000-0005-0000-0000-00002F480000}"/>
    <cellStyle name="Millares 8 2 2 7 3 3" xfId="21330" xr:uid="{00000000-0005-0000-0000-000030480000}"/>
    <cellStyle name="Millares 8 2 2 7 4" xfId="11367" xr:uid="{00000000-0005-0000-0000-000031480000}"/>
    <cellStyle name="Millares 8 2 2 7 5" xfId="18102" xr:uid="{00000000-0005-0000-0000-000032480000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3" xfId="22721" xr:uid="{00000000-0005-0000-0000-000037480000}"/>
    <cellStyle name="Millares 8 2 2 8 2 3" xfId="12806" xr:uid="{00000000-0005-0000-0000-000038480000}"/>
    <cellStyle name="Millares 8 2 2 8 2 4" xfId="19493" xr:uid="{00000000-0005-0000-0000-000039480000}"/>
    <cellStyle name="Millares 8 2 2 8 3" xfId="8225" xr:uid="{00000000-0005-0000-0000-00003A480000}"/>
    <cellStyle name="Millares 8 2 2 8 3 2" xfId="14803" xr:uid="{00000000-0005-0000-0000-00003B480000}"/>
    <cellStyle name="Millares 8 2 2 8 3 3" xfId="21490" xr:uid="{00000000-0005-0000-0000-00003C480000}"/>
    <cellStyle name="Millares 8 2 2 8 4" xfId="11554" xr:uid="{00000000-0005-0000-0000-00003D480000}"/>
    <cellStyle name="Millares 8 2 2 8 5" xfId="18262" xr:uid="{00000000-0005-0000-0000-00003E480000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3" xfId="20554" xr:uid="{00000000-0005-0000-0000-000042480000}"/>
    <cellStyle name="Millares 8 2 2 9 3" xfId="10551" xr:uid="{00000000-0005-0000-0000-000043480000}"/>
    <cellStyle name="Millares 8 2 2 9 4" xfId="17326" xr:uid="{00000000-0005-0000-0000-000044480000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3" xfId="19799" xr:uid="{00000000-0005-0000-0000-000048480000}"/>
    <cellStyle name="Millares 8 2 3 11" xfId="9770" xr:uid="{00000000-0005-0000-0000-000049480000}"/>
    <cellStyle name="Millares 8 2 3 12" xfId="16571" xr:uid="{00000000-0005-0000-0000-00004A480000}"/>
    <cellStyle name="Millares 8 2 3 2" xfId="653" xr:uid="{00000000-0005-0000-0000-00004B480000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3" xfId="21689" xr:uid="{00000000-0005-0000-0000-000051480000}"/>
    <cellStyle name="Millares 8 2 3 2 2 2 2 3" xfId="11772" xr:uid="{00000000-0005-0000-0000-000052480000}"/>
    <cellStyle name="Millares 8 2 3 2 2 2 2 4" xfId="18461" xr:uid="{00000000-0005-0000-0000-000053480000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3" xfId="22920" xr:uid="{00000000-0005-0000-0000-000057480000}"/>
    <cellStyle name="Millares 8 2 3 2 2 2 3 3" xfId="13005" xr:uid="{00000000-0005-0000-0000-000058480000}"/>
    <cellStyle name="Millares 8 2 3 2 2 2 3 4" xfId="19692" xr:uid="{00000000-0005-0000-0000-000059480000}"/>
    <cellStyle name="Millares 8 2 3 2 2 2 4" xfId="7207" xr:uid="{00000000-0005-0000-0000-00005A480000}"/>
    <cellStyle name="Millares 8 2 3 2 2 2 4 2" xfId="13785" xr:uid="{00000000-0005-0000-0000-00005B480000}"/>
    <cellStyle name="Millares 8 2 3 2 2 2 4 3" xfId="20472" xr:uid="{00000000-0005-0000-0000-00005C480000}"/>
    <cellStyle name="Millares 8 2 3 2 2 2 5" xfId="10468" xr:uid="{00000000-0005-0000-0000-00005D480000}"/>
    <cellStyle name="Millares 8 2 3 2 2 2 6" xfId="17244" xr:uid="{00000000-0005-0000-0000-00005E480000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3" xfId="21079" xr:uid="{00000000-0005-0000-0000-000062480000}"/>
    <cellStyle name="Millares 8 2 3 2 2 3 3" xfId="11096" xr:uid="{00000000-0005-0000-0000-000063480000}"/>
    <cellStyle name="Millares 8 2 3 2 2 3 4" xfId="17851" xr:uid="{00000000-0005-0000-0000-000064480000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3" xfId="22310" xr:uid="{00000000-0005-0000-0000-000068480000}"/>
    <cellStyle name="Millares 8 2 3 2 2 4 3" xfId="12395" xr:uid="{00000000-0005-0000-0000-000069480000}"/>
    <cellStyle name="Millares 8 2 3 2 2 4 4" xfId="19082" xr:uid="{00000000-0005-0000-0000-00006A480000}"/>
    <cellStyle name="Millares 8 2 3 2 2 5" xfId="6819" xr:uid="{00000000-0005-0000-0000-00006B480000}"/>
    <cellStyle name="Millares 8 2 3 2 2 5 2" xfId="13397" xr:uid="{00000000-0005-0000-0000-00006C480000}"/>
    <cellStyle name="Millares 8 2 3 2 2 5 3" xfId="20084" xr:uid="{00000000-0005-0000-0000-00006D480000}"/>
    <cellStyle name="Millares 8 2 3 2 2 6" xfId="10077" xr:uid="{00000000-0005-0000-0000-00006E480000}"/>
    <cellStyle name="Millares 8 2 3 2 2 7" xfId="16856" xr:uid="{00000000-0005-0000-0000-00006F48000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3" xfId="21445" xr:uid="{00000000-0005-0000-0000-000074480000}"/>
    <cellStyle name="Millares 8 2 3 2 3 2 3" xfId="11505" xr:uid="{00000000-0005-0000-0000-000075480000}"/>
    <cellStyle name="Millares 8 2 3 2 3 2 4" xfId="18217" xr:uid="{00000000-0005-0000-0000-000076480000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3" xfId="22676" xr:uid="{00000000-0005-0000-0000-00007A480000}"/>
    <cellStyle name="Millares 8 2 3 2 3 3 3" xfId="12761" xr:uid="{00000000-0005-0000-0000-00007B480000}"/>
    <cellStyle name="Millares 8 2 3 2 3 3 4" xfId="19448" xr:uid="{00000000-0005-0000-0000-00007C480000}"/>
    <cellStyle name="Millares 8 2 3 2 3 4" xfId="7014" xr:uid="{00000000-0005-0000-0000-00007D480000}"/>
    <cellStyle name="Millares 8 2 3 2 3 4 2" xfId="13592" xr:uid="{00000000-0005-0000-0000-00007E480000}"/>
    <cellStyle name="Millares 8 2 3 2 3 4 3" xfId="20279" xr:uid="{00000000-0005-0000-0000-00007F480000}"/>
    <cellStyle name="Millares 8 2 3 2 3 5" xfId="10275" xr:uid="{00000000-0005-0000-0000-000080480000}"/>
    <cellStyle name="Millares 8 2 3 2 3 6" xfId="17051" xr:uid="{00000000-0005-0000-0000-000081480000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3" xfId="22751" xr:uid="{00000000-0005-0000-0000-000086480000}"/>
    <cellStyle name="Millares 8 2 3 2 4 2 3" xfId="12836" xr:uid="{00000000-0005-0000-0000-000087480000}"/>
    <cellStyle name="Millares 8 2 3 2 4 2 4" xfId="19523" xr:uid="{00000000-0005-0000-0000-000088480000}"/>
    <cellStyle name="Millares 8 2 3 2 4 3" xfId="8255" xr:uid="{00000000-0005-0000-0000-000089480000}"/>
    <cellStyle name="Millares 8 2 3 2 4 3 2" xfId="14833" xr:uid="{00000000-0005-0000-0000-00008A480000}"/>
    <cellStyle name="Millares 8 2 3 2 4 3 3" xfId="21520" xr:uid="{00000000-0005-0000-0000-00008B480000}"/>
    <cellStyle name="Millares 8 2 3 2 4 4" xfId="11584" xr:uid="{00000000-0005-0000-0000-00008C480000}"/>
    <cellStyle name="Millares 8 2 3 2 4 5" xfId="18292" xr:uid="{00000000-0005-0000-0000-00008D480000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3" xfId="20683" xr:uid="{00000000-0005-0000-0000-000091480000}"/>
    <cellStyle name="Millares 8 2 3 2 5 3" xfId="10680" xr:uid="{00000000-0005-0000-0000-000092480000}"/>
    <cellStyle name="Millares 8 2 3 2 5 4" xfId="17455" xr:uid="{00000000-0005-0000-0000-000093480000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3" xfId="21914" xr:uid="{00000000-0005-0000-0000-000097480000}"/>
    <cellStyle name="Millares 8 2 3 2 6 3" xfId="11999" xr:uid="{00000000-0005-0000-0000-000098480000}"/>
    <cellStyle name="Millares 8 2 3 2 6 4" xfId="18686" xr:uid="{00000000-0005-0000-0000-000099480000}"/>
    <cellStyle name="Millares 8 2 3 2 7" xfId="6626" xr:uid="{00000000-0005-0000-0000-00009A480000}"/>
    <cellStyle name="Millares 8 2 3 2 7 2" xfId="13204" xr:uid="{00000000-0005-0000-0000-00009B480000}"/>
    <cellStyle name="Millares 8 2 3 2 7 3" xfId="19891" xr:uid="{00000000-0005-0000-0000-00009C480000}"/>
    <cellStyle name="Millares 8 2 3 2 8" xfId="9869" xr:uid="{00000000-0005-0000-0000-00009D480000}"/>
    <cellStyle name="Millares 8 2 3 2 9" xfId="16663" xr:uid="{00000000-0005-0000-0000-00009E480000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3" xfId="21189" xr:uid="{00000000-0005-0000-0000-0000A4480000}"/>
    <cellStyle name="Millares 8 2 3 3 2 2 3" xfId="11211" xr:uid="{00000000-0005-0000-0000-0000A5480000}"/>
    <cellStyle name="Millares 8 2 3 3 2 2 4" xfId="17961" xr:uid="{00000000-0005-0000-0000-0000A6480000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3" xfId="22420" xr:uid="{00000000-0005-0000-0000-0000AA480000}"/>
    <cellStyle name="Millares 8 2 3 3 2 3 3" xfId="12505" xr:uid="{00000000-0005-0000-0000-0000AB480000}"/>
    <cellStyle name="Millares 8 2 3 3 2 3 4" xfId="19192" xr:uid="{00000000-0005-0000-0000-0000AC480000}"/>
    <cellStyle name="Millares 8 2 3 3 2 4" xfId="7115" xr:uid="{00000000-0005-0000-0000-0000AD480000}"/>
    <cellStyle name="Millares 8 2 3 3 2 4 2" xfId="13693" xr:uid="{00000000-0005-0000-0000-0000AE480000}"/>
    <cellStyle name="Millares 8 2 3 3 2 4 3" xfId="20380" xr:uid="{00000000-0005-0000-0000-0000AF480000}"/>
    <cellStyle name="Millares 8 2 3 3 2 5" xfId="10376" xr:uid="{00000000-0005-0000-0000-0000B0480000}"/>
    <cellStyle name="Millares 8 2 3 3 2 6" xfId="17152" xr:uid="{00000000-0005-0000-0000-0000B1480000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3" xfId="22828" xr:uid="{00000000-0005-0000-0000-0000B6480000}"/>
    <cellStyle name="Millares 8 2 3 3 3 2 3" xfId="12913" xr:uid="{00000000-0005-0000-0000-0000B7480000}"/>
    <cellStyle name="Millares 8 2 3 3 3 2 4" xfId="19600" xr:uid="{00000000-0005-0000-0000-0000B8480000}"/>
    <cellStyle name="Millares 8 2 3 3 3 3" xfId="8332" xr:uid="{00000000-0005-0000-0000-0000B9480000}"/>
    <cellStyle name="Millares 8 2 3 3 3 3 2" xfId="14910" xr:uid="{00000000-0005-0000-0000-0000BA480000}"/>
    <cellStyle name="Millares 8 2 3 3 3 3 3" xfId="21597" xr:uid="{00000000-0005-0000-0000-0000BB480000}"/>
    <cellStyle name="Millares 8 2 3 3 3 4" xfId="11667" xr:uid="{00000000-0005-0000-0000-0000BC480000}"/>
    <cellStyle name="Millares 8 2 3 3 3 5" xfId="18369" xr:uid="{00000000-0005-0000-0000-0000BD480000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3" xfId="20793" xr:uid="{00000000-0005-0000-0000-0000C1480000}"/>
    <cellStyle name="Millares 8 2 3 3 4 3" xfId="10790" xr:uid="{00000000-0005-0000-0000-0000C2480000}"/>
    <cellStyle name="Millares 8 2 3 3 4 4" xfId="17565" xr:uid="{00000000-0005-0000-0000-0000C3480000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3" xfId="22024" xr:uid="{00000000-0005-0000-0000-0000C7480000}"/>
    <cellStyle name="Millares 8 2 3 3 5 3" xfId="12109" xr:uid="{00000000-0005-0000-0000-0000C8480000}"/>
    <cellStyle name="Millares 8 2 3 3 5 4" xfId="18796" xr:uid="{00000000-0005-0000-0000-0000C9480000}"/>
    <cellStyle name="Millares 8 2 3 3 6" xfId="6727" xr:uid="{00000000-0005-0000-0000-0000CA480000}"/>
    <cellStyle name="Millares 8 2 3 3 6 2" xfId="13305" xr:uid="{00000000-0005-0000-0000-0000CB480000}"/>
    <cellStyle name="Millares 8 2 3 3 6 3" xfId="19992" xr:uid="{00000000-0005-0000-0000-0000CC480000}"/>
    <cellStyle name="Millares 8 2 3 3 7" xfId="9976" xr:uid="{00000000-0005-0000-0000-0000CD480000}"/>
    <cellStyle name="Millares 8 2 3 3 8" xfId="16764" xr:uid="{00000000-0005-0000-0000-0000CE480000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3" xfId="22492" xr:uid="{00000000-0005-0000-0000-0000D4480000}"/>
    <cellStyle name="Millares 8 2 3 4 2 2 3" xfId="12577" xr:uid="{00000000-0005-0000-0000-0000D5480000}"/>
    <cellStyle name="Millares 8 2 3 4 2 2 4" xfId="19264" xr:uid="{00000000-0005-0000-0000-0000D6480000}"/>
    <cellStyle name="Millares 8 2 3 4 2 3" xfId="7996" xr:uid="{00000000-0005-0000-0000-0000D7480000}"/>
    <cellStyle name="Millares 8 2 3 4 2 3 2" xfId="14574" xr:uid="{00000000-0005-0000-0000-0000D8480000}"/>
    <cellStyle name="Millares 8 2 3 4 2 3 3" xfId="21261" xr:uid="{00000000-0005-0000-0000-0000D9480000}"/>
    <cellStyle name="Millares 8 2 3 4 2 4" xfId="11293" xr:uid="{00000000-0005-0000-0000-0000DA480000}"/>
    <cellStyle name="Millares 8 2 3 4 2 5" xfId="18033" xr:uid="{00000000-0005-0000-0000-0000DB480000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3" xfId="20865" xr:uid="{00000000-0005-0000-0000-0000DF480000}"/>
    <cellStyle name="Millares 8 2 3 4 3 3" xfId="10867" xr:uid="{00000000-0005-0000-0000-0000E0480000}"/>
    <cellStyle name="Millares 8 2 3 4 3 4" xfId="17637" xr:uid="{00000000-0005-0000-0000-0000E1480000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3" xfId="22096" xr:uid="{00000000-0005-0000-0000-0000E5480000}"/>
    <cellStyle name="Millares 8 2 3 4 4 3" xfId="12181" xr:uid="{00000000-0005-0000-0000-0000E6480000}"/>
    <cellStyle name="Millares 8 2 3 4 4 4" xfId="18868" xr:uid="{00000000-0005-0000-0000-0000E7480000}"/>
    <cellStyle name="Millares 8 2 3 4 5" xfId="6922" xr:uid="{00000000-0005-0000-0000-0000E8480000}"/>
    <cellStyle name="Millares 8 2 3 4 5 2" xfId="13500" xr:uid="{00000000-0005-0000-0000-0000E9480000}"/>
    <cellStyle name="Millares 8 2 3 4 5 3" xfId="20187" xr:uid="{00000000-0005-0000-0000-0000EA480000}"/>
    <cellStyle name="Millares 8 2 3 4 6" xfId="10183" xr:uid="{00000000-0005-0000-0000-0000EB480000}"/>
    <cellStyle name="Millares 8 2 3 4 7" xfId="16959" xr:uid="{00000000-0005-0000-0000-0000EC480000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3" xfId="22204" xr:uid="{00000000-0005-0000-0000-0000F1480000}"/>
    <cellStyle name="Millares 8 2 3 5 2 3" xfId="12289" xr:uid="{00000000-0005-0000-0000-0000F2480000}"/>
    <cellStyle name="Millares 8 2 3 5 2 4" xfId="18976" xr:uid="{00000000-0005-0000-0000-0000F3480000}"/>
    <cellStyle name="Millares 8 2 3 5 3" xfId="7708" xr:uid="{00000000-0005-0000-0000-0000F4480000}"/>
    <cellStyle name="Millares 8 2 3 5 3 2" xfId="14286" xr:uid="{00000000-0005-0000-0000-0000F5480000}"/>
    <cellStyle name="Millares 8 2 3 5 3 3" xfId="20973" xr:uid="{00000000-0005-0000-0000-0000F6480000}"/>
    <cellStyle name="Millares 8 2 3 5 4" xfId="10984" xr:uid="{00000000-0005-0000-0000-0000F7480000}"/>
    <cellStyle name="Millares 8 2 3 5 5" xfId="17745" xr:uid="{00000000-0005-0000-0000-0000F8480000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3" xfId="22584" xr:uid="{00000000-0005-0000-0000-0000FD480000}"/>
    <cellStyle name="Millares 8 2 3 6 2 3" xfId="12669" xr:uid="{00000000-0005-0000-0000-0000FE480000}"/>
    <cellStyle name="Millares 8 2 3 6 2 4" xfId="19356" xr:uid="{00000000-0005-0000-0000-0000FF480000}"/>
    <cellStyle name="Millares 8 2 3 6 3" xfId="8088" xr:uid="{00000000-0005-0000-0000-000000490000}"/>
    <cellStyle name="Millares 8 2 3 6 3 2" xfId="14666" xr:uid="{00000000-0005-0000-0000-000001490000}"/>
    <cellStyle name="Millares 8 2 3 6 3 3" xfId="21353" xr:uid="{00000000-0005-0000-0000-000002490000}"/>
    <cellStyle name="Millares 8 2 3 6 4" xfId="11394" xr:uid="{00000000-0005-0000-0000-000003490000}"/>
    <cellStyle name="Millares 8 2 3 6 5" xfId="18125" xr:uid="{00000000-0005-0000-0000-000004490000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3" xfId="22727" xr:uid="{00000000-0005-0000-0000-000009490000}"/>
    <cellStyle name="Millares 8 2 3 7 2 3" xfId="12812" xr:uid="{00000000-0005-0000-0000-00000A490000}"/>
    <cellStyle name="Millares 8 2 3 7 2 4" xfId="19499" xr:uid="{00000000-0005-0000-0000-00000B490000}"/>
    <cellStyle name="Millares 8 2 3 7 3" xfId="8231" xr:uid="{00000000-0005-0000-0000-00000C490000}"/>
    <cellStyle name="Millares 8 2 3 7 3 2" xfId="14809" xr:uid="{00000000-0005-0000-0000-00000D490000}"/>
    <cellStyle name="Millares 8 2 3 7 3 3" xfId="21496" xr:uid="{00000000-0005-0000-0000-00000E490000}"/>
    <cellStyle name="Millares 8 2 3 7 4" xfId="11560" xr:uid="{00000000-0005-0000-0000-00000F490000}"/>
    <cellStyle name="Millares 8 2 3 7 5" xfId="18268" xr:uid="{00000000-0005-0000-0000-000010490000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3" xfId="20577" xr:uid="{00000000-0005-0000-0000-000014490000}"/>
    <cellStyle name="Millares 8 2 3 8 3" xfId="10574" xr:uid="{00000000-0005-0000-0000-000015490000}"/>
    <cellStyle name="Millares 8 2 3 8 4" xfId="17349" xr:uid="{00000000-0005-0000-0000-000016490000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3" xfId="21808" xr:uid="{00000000-0005-0000-0000-00001A490000}"/>
    <cellStyle name="Millares 8 2 3 9 3" xfId="11893" xr:uid="{00000000-0005-0000-0000-00001B490000}"/>
    <cellStyle name="Millares 8 2 3 9 4" xfId="18580" xr:uid="{00000000-0005-0000-0000-00001C490000}"/>
    <cellStyle name="Millares 8 2 4" xfId="480" xr:uid="{00000000-0005-0000-0000-00001D490000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3" xfId="21644" xr:uid="{00000000-0005-0000-0000-000023490000}"/>
    <cellStyle name="Millares 8 2 4 2 2 2 3" xfId="11721" xr:uid="{00000000-0005-0000-0000-000024490000}"/>
    <cellStyle name="Millares 8 2 4 2 2 2 4" xfId="18416" xr:uid="{00000000-0005-0000-0000-00002549000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3" xfId="22875" xr:uid="{00000000-0005-0000-0000-000029490000}"/>
    <cellStyle name="Millares 8 2 4 2 2 3 3" xfId="12960" xr:uid="{00000000-0005-0000-0000-00002A490000}"/>
    <cellStyle name="Millares 8 2 4 2 2 3 4" xfId="19647" xr:uid="{00000000-0005-0000-0000-00002B490000}"/>
    <cellStyle name="Millares 8 2 4 2 2 4" xfId="7162" xr:uid="{00000000-0005-0000-0000-00002C490000}"/>
    <cellStyle name="Millares 8 2 4 2 2 4 2" xfId="13740" xr:uid="{00000000-0005-0000-0000-00002D490000}"/>
    <cellStyle name="Millares 8 2 4 2 2 4 3" xfId="20427" xr:uid="{00000000-0005-0000-0000-00002E490000}"/>
    <cellStyle name="Millares 8 2 4 2 2 5" xfId="10423" xr:uid="{00000000-0005-0000-0000-00002F490000}"/>
    <cellStyle name="Millares 8 2 4 2 2 6" xfId="17199" xr:uid="{00000000-0005-0000-0000-000030490000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3" xfId="21033" xr:uid="{00000000-0005-0000-0000-000034490000}"/>
    <cellStyle name="Millares 8 2 4 2 3 3" xfId="11049" xr:uid="{00000000-0005-0000-0000-000035490000}"/>
    <cellStyle name="Millares 8 2 4 2 3 4" xfId="17805" xr:uid="{00000000-0005-0000-0000-000036490000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3" xfId="22264" xr:uid="{00000000-0005-0000-0000-00003A490000}"/>
    <cellStyle name="Millares 8 2 4 2 4 3" xfId="12349" xr:uid="{00000000-0005-0000-0000-00003B490000}"/>
    <cellStyle name="Millares 8 2 4 2 4 4" xfId="19036" xr:uid="{00000000-0005-0000-0000-00003C490000}"/>
    <cellStyle name="Millares 8 2 4 2 5" xfId="6774" xr:uid="{00000000-0005-0000-0000-00003D490000}"/>
    <cellStyle name="Millares 8 2 4 2 5 2" xfId="13352" xr:uid="{00000000-0005-0000-0000-00003E490000}"/>
    <cellStyle name="Millares 8 2 4 2 5 3" xfId="20039" xr:uid="{00000000-0005-0000-0000-00003F490000}"/>
    <cellStyle name="Millares 8 2 4 2 6" xfId="10029" xr:uid="{00000000-0005-0000-0000-000040490000}"/>
    <cellStyle name="Millares 8 2 4 2 7" xfId="16811" xr:uid="{00000000-0005-0000-0000-000041490000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3" xfId="21400" xr:uid="{00000000-0005-0000-0000-000046490000}"/>
    <cellStyle name="Millares 8 2 4 3 2 3" xfId="11448" xr:uid="{00000000-0005-0000-0000-000047490000}"/>
    <cellStyle name="Millares 8 2 4 3 2 4" xfId="18172" xr:uid="{00000000-0005-0000-0000-000048490000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3" xfId="22631" xr:uid="{00000000-0005-0000-0000-00004C490000}"/>
    <cellStyle name="Millares 8 2 4 3 3 3" xfId="12716" xr:uid="{00000000-0005-0000-0000-00004D490000}"/>
    <cellStyle name="Millares 8 2 4 3 3 4" xfId="19403" xr:uid="{00000000-0005-0000-0000-00004E490000}"/>
    <cellStyle name="Millares 8 2 4 3 4" xfId="6969" xr:uid="{00000000-0005-0000-0000-00004F490000}"/>
    <cellStyle name="Millares 8 2 4 3 4 2" xfId="13547" xr:uid="{00000000-0005-0000-0000-000050490000}"/>
    <cellStyle name="Millares 8 2 4 3 4 3" xfId="20234" xr:uid="{00000000-0005-0000-0000-000051490000}"/>
    <cellStyle name="Millares 8 2 4 3 5" xfId="10230" xr:uid="{00000000-0005-0000-0000-000052490000}"/>
    <cellStyle name="Millares 8 2 4 3 6" xfId="17006" xr:uid="{00000000-0005-0000-0000-000053490000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3" xfId="22739" xr:uid="{00000000-0005-0000-0000-000058490000}"/>
    <cellStyle name="Millares 8 2 4 4 2 3" xfId="12824" xr:uid="{00000000-0005-0000-0000-000059490000}"/>
    <cellStyle name="Millares 8 2 4 4 2 4" xfId="19511" xr:uid="{00000000-0005-0000-0000-00005A490000}"/>
    <cellStyle name="Millares 8 2 4 4 3" xfId="8243" xr:uid="{00000000-0005-0000-0000-00005B490000}"/>
    <cellStyle name="Millares 8 2 4 4 3 2" xfId="14821" xr:uid="{00000000-0005-0000-0000-00005C490000}"/>
    <cellStyle name="Millares 8 2 4 4 3 3" xfId="21508" xr:uid="{00000000-0005-0000-0000-00005D490000}"/>
    <cellStyle name="Millares 8 2 4 4 4" xfId="11572" xr:uid="{00000000-0005-0000-0000-00005E490000}"/>
    <cellStyle name="Millares 8 2 4 4 5" xfId="18280" xr:uid="{00000000-0005-0000-0000-00005F490000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3" xfId="20637" xr:uid="{00000000-0005-0000-0000-000063490000}"/>
    <cellStyle name="Millares 8 2 4 5 3" xfId="10634" xr:uid="{00000000-0005-0000-0000-000064490000}"/>
    <cellStyle name="Millares 8 2 4 5 4" xfId="17409" xr:uid="{00000000-0005-0000-0000-000065490000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3" xfId="21868" xr:uid="{00000000-0005-0000-0000-000069490000}"/>
    <cellStyle name="Millares 8 2 4 6 3" xfId="11953" xr:uid="{00000000-0005-0000-0000-00006A490000}"/>
    <cellStyle name="Millares 8 2 4 6 4" xfId="18640" xr:uid="{00000000-0005-0000-0000-00006B490000}"/>
    <cellStyle name="Millares 8 2 4 7" xfId="6581" xr:uid="{00000000-0005-0000-0000-00006C490000}"/>
    <cellStyle name="Millares 8 2 4 7 2" xfId="13159" xr:uid="{00000000-0005-0000-0000-00006D490000}"/>
    <cellStyle name="Millares 8 2 4 7 3" xfId="19846" xr:uid="{00000000-0005-0000-0000-00006E490000}"/>
    <cellStyle name="Millares 8 2 4 8" xfId="9819" xr:uid="{00000000-0005-0000-0000-00006F490000}"/>
    <cellStyle name="Millares 8 2 4 9" xfId="16618" xr:uid="{00000000-0005-0000-0000-000070490000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3" xfId="21186" xr:uid="{00000000-0005-0000-0000-000076490000}"/>
    <cellStyle name="Millares 8 2 5 2 2 3" xfId="11208" xr:uid="{00000000-0005-0000-0000-000077490000}"/>
    <cellStyle name="Millares 8 2 5 2 2 4" xfId="17958" xr:uid="{00000000-0005-0000-0000-000078490000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3" xfId="22417" xr:uid="{00000000-0005-0000-0000-00007C490000}"/>
    <cellStyle name="Millares 8 2 5 2 3 3" xfId="12502" xr:uid="{00000000-0005-0000-0000-00007D490000}"/>
    <cellStyle name="Millares 8 2 5 2 3 4" xfId="19189" xr:uid="{00000000-0005-0000-0000-00007E490000}"/>
    <cellStyle name="Millares 8 2 5 2 4" xfId="7068" xr:uid="{00000000-0005-0000-0000-00007F490000}"/>
    <cellStyle name="Millares 8 2 5 2 4 2" xfId="13646" xr:uid="{00000000-0005-0000-0000-000080490000}"/>
    <cellStyle name="Millares 8 2 5 2 4 3" xfId="20333" xr:uid="{00000000-0005-0000-0000-000081490000}"/>
    <cellStyle name="Millares 8 2 5 2 5" xfId="10329" xr:uid="{00000000-0005-0000-0000-000082490000}"/>
    <cellStyle name="Millares 8 2 5 2 6" xfId="17105" xr:uid="{00000000-0005-0000-0000-000083490000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3" xfId="22781" xr:uid="{00000000-0005-0000-0000-000088490000}"/>
    <cellStyle name="Millares 8 2 5 3 2 3" xfId="12866" xr:uid="{00000000-0005-0000-0000-000089490000}"/>
    <cellStyle name="Millares 8 2 5 3 2 4" xfId="19553" xr:uid="{00000000-0005-0000-0000-00008A490000}"/>
    <cellStyle name="Millares 8 2 5 3 3" xfId="8285" xr:uid="{00000000-0005-0000-0000-00008B490000}"/>
    <cellStyle name="Millares 8 2 5 3 3 2" xfId="14863" xr:uid="{00000000-0005-0000-0000-00008C490000}"/>
    <cellStyle name="Millares 8 2 5 3 3 3" xfId="21550" xr:uid="{00000000-0005-0000-0000-00008D490000}"/>
    <cellStyle name="Millares 8 2 5 3 4" xfId="11616" xr:uid="{00000000-0005-0000-0000-00008E490000}"/>
    <cellStyle name="Millares 8 2 5 3 5" xfId="18322" xr:uid="{00000000-0005-0000-0000-00008F490000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3" xfId="20790" xr:uid="{00000000-0005-0000-0000-000093490000}"/>
    <cellStyle name="Millares 8 2 5 4 3" xfId="10787" xr:uid="{00000000-0005-0000-0000-000094490000}"/>
    <cellStyle name="Millares 8 2 5 4 4" xfId="17562" xr:uid="{00000000-0005-0000-0000-000095490000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3" xfId="22021" xr:uid="{00000000-0005-0000-0000-000099490000}"/>
    <cellStyle name="Millares 8 2 5 5 3" xfId="12106" xr:uid="{00000000-0005-0000-0000-00009A490000}"/>
    <cellStyle name="Millares 8 2 5 5 4" xfId="18793" xr:uid="{00000000-0005-0000-0000-00009B490000}"/>
    <cellStyle name="Millares 8 2 5 6" xfId="6680" xr:uid="{00000000-0005-0000-0000-00009C490000}"/>
    <cellStyle name="Millares 8 2 5 6 2" xfId="13258" xr:uid="{00000000-0005-0000-0000-00009D490000}"/>
    <cellStyle name="Millares 8 2 5 6 3" xfId="19945" xr:uid="{00000000-0005-0000-0000-00009E490000}"/>
    <cellStyle name="Millares 8 2 5 7" xfId="9926" xr:uid="{00000000-0005-0000-0000-00009F490000}"/>
    <cellStyle name="Millares 8 2 5 8" xfId="16717" xr:uid="{00000000-0005-0000-0000-0000A0490000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3" xfId="22447" xr:uid="{00000000-0005-0000-0000-0000A6490000}"/>
    <cellStyle name="Millares 8 2 6 2 2 3" xfId="12532" xr:uid="{00000000-0005-0000-0000-0000A7490000}"/>
    <cellStyle name="Millares 8 2 6 2 2 4" xfId="19219" xr:uid="{00000000-0005-0000-0000-0000A8490000}"/>
    <cellStyle name="Millares 8 2 6 2 3" xfId="7951" xr:uid="{00000000-0005-0000-0000-0000A9490000}"/>
    <cellStyle name="Millares 8 2 6 2 3 2" xfId="14529" xr:uid="{00000000-0005-0000-0000-0000AA490000}"/>
    <cellStyle name="Millares 8 2 6 2 3 3" xfId="21216" xr:uid="{00000000-0005-0000-0000-0000AB490000}"/>
    <cellStyle name="Millares 8 2 6 2 4" xfId="11244" xr:uid="{00000000-0005-0000-0000-0000AC490000}"/>
    <cellStyle name="Millares 8 2 6 2 5" xfId="17988" xr:uid="{00000000-0005-0000-0000-0000AD490000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3" xfId="20820" xr:uid="{00000000-0005-0000-0000-0000B1490000}"/>
    <cellStyle name="Millares 8 2 6 3 3" xfId="10818" xr:uid="{00000000-0005-0000-0000-0000B2490000}"/>
    <cellStyle name="Millares 8 2 6 3 4" xfId="17592" xr:uid="{00000000-0005-0000-0000-0000B3490000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3" xfId="22051" xr:uid="{00000000-0005-0000-0000-0000B7490000}"/>
    <cellStyle name="Millares 8 2 6 4 3" xfId="12136" xr:uid="{00000000-0005-0000-0000-0000B8490000}"/>
    <cellStyle name="Millares 8 2 6 4 4" xfId="18823" xr:uid="{00000000-0005-0000-0000-0000B9490000}"/>
    <cellStyle name="Millares 8 2 6 5" xfId="6875" xr:uid="{00000000-0005-0000-0000-0000BA490000}"/>
    <cellStyle name="Millares 8 2 6 5 2" xfId="13453" xr:uid="{00000000-0005-0000-0000-0000BB490000}"/>
    <cellStyle name="Millares 8 2 6 5 3" xfId="20140" xr:uid="{00000000-0005-0000-0000-0000BC490000}"/>
    <cellStyle name="Millares 8 2 6 6" xfId="10136" xr:uid="{00000000-0005-0000-0000-0000BD490000}"/>
    <cellStyle name="Millares 8 2 6 7" xfId="16912" xr:uid="{00000000-0005-0000-0000-0000BE490000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3" xfId="22158" xr:uid="{00000000-0005-0000-0000-0000C3490000}"/>
    <cellStyle name="Millares 8 2 7 2 3" xfId="12243" xr:uid="{00000000-0005-0000-0000-0000C4490000}"/>
    <cellStyle name="Millares 8 2 7 2 4" xfId="18930" xr:uid="{00000000-0005-0000-0000-0000C5490000}"/>
    <cellStyle name="Millares 8 2 7 3" xfId="7662" xr:uid="{00000000-0005-0000-0000-0000C6490000}"/>
    <cellStyle name="Millares 8 2 7 3 2" xfId="14240" xr:uid="{00000000-0005-0000-0000-0000C7490000}"/>
    <cellStyle name="Millares 8 2 7 3 3" xfId="20927" xr:uid="{00000000-0005-0000-0000-0000C8490000}"/>
    <cellStyle name="Millares 8 2 7 4" xfId="10934" xr:uid="{00000000-0005-0000-0000-0000C9490000}"/>
    <cellStyle name="Millares 8 2 7 5" xfId="17699" xr:uid="{00000000-0005-0000-0000-0000CA490000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3" xfId="22539" xr:uid="{00000000-0005-0000-0000-0000CF490000}"/>
    <cellStyle name="Millares 8 2 8 2 3" xfId="12624" xr:uid="{00000000-0005-0000-0000-0000D0490000}"/>
    <cellStyle name="Millares 8 2 8 2 4" xfId="19311" xr:uid="{00000000-0005-0000-0000-0000D1490000}"/>
    <cellStyle name="Millares 8 2 8 3" xfId="8043" xr:uid="{00000000-0005-0000-0000-0000D2490000}"/>
    <cellStyle name="Millares 8 2 8 3 2" xfId="14621" xr:uid="{00000000-0005-0000-0000-0000D3490000}"/>
    <cellStyle name="Millares 8 2 8 3 3" xfId="21308" xr:uid="{00000000-0005-0000-0000-0000D4490000}"/>
    <cellStyle name="Millares 8 2 8 4" xfId="11344" xr:uid="{00000000-0005-0000-0000-0000D5490000}"/>
    <cellStyle name="Millares 8 2 8 5" xfId="18080" xr:uid="{00000000-0005-0000-0000-0000D6490000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3" xfId="22715" xr:uid="{00000000-0005-0000-0000-0000DB490000}"/>
    <cellStyle name="Millares 8 2 9 2 3" xfId="12800" xr:uid="{00000000-0005-0000-0000-0000DC490000}"/>
    <cellStyle name="Millares 8 2 9 2 4" xfId="19487" xr:uid="{00000000-0005-0000-0000-0000DD490000}"/>
    <cellStyle name="Millares 8 2 9 3" xfId="8219" xr:uid="{00000000-0005-0000-0000-0000DE490000}"/>
    <cellStyle name="Millares 8 2 9 3 2" xfId="14797" xr:uid="{00000000-0005-0000-0000-0000DF490000}"/>
    <cellStyle name="Millares 8 2 9 3 3" xfId="21484" xr:uid="{00000000-0005-0000-0000-0000E0490000}"/>
    <cellStyle name="Millares 8 2 9 4" xfId="11548" xr:uid="{00000000-0005-0000-0000-0000E1490000}"/>
    <cellStyle name="Millares 8 2 9 5" xfId="18256" xr:uid="{00000000-0005-0000-0000-0000E2490000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3" xfId="21775" xr:uid="{00000000-0005-0000-0000-0000E7490000}"/>
    <cellStyle name="Millares 8 3 10 3" xfId="11860" xr:uid="{00000000-0005-0000-0000-0000E8490000}"/>
    <cellStyle name="Millares 8 3 10 4" xfId="18547" xr:uid="{00000000-0005-0000-0000-0000E9490000}"/>
    <cellStyle name="Millares 8 3 11" xfId="6500" xr:uid="{00000000-0005-0000-0000-0000EA490000}"/>
    <cellStyle name="Millares 8 3 11 2" xfId="13078" xr:uid="{00000000-0005-0000-0000-0000EB490000}"/>
    <cellStyle name="Millares 8 3 11 3" xfId="19765" xr:uid="{00000000-0005-0000-0000-0000EC490000}"/>
    <cellStyle name="Millares 8 3 12" xfId="9734" xr:uid="{00000000-0005-0000-0000-0000ED490000}"/>
    <cellStyle name="Millares 8 3 13" xfId="16402" xr:uid="{00000000-0005-0000-0000-0000EE490000}"/>
    <cellStyle name="Millares 8 3 14" xfId="16537" xr:uid="{00000000-0005-0000-0000-0000EF490000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3" xfId="19811" xr:uid="{00000000-0005-0000-0000-0000F3490000}"/>
    <cellStyle name="Millares 8 3 2 11" xfId="9783" xr:uid="{00000000-0005-0000-0000-0000F4490000}"/>
    <cellStyle name="Millares 8 3 2 12" xfId="16500" xr:uid="{00000000-0005-0000-0000-0000F5490000}"/>
    <cellStyle name="Millares 8 3 2 13" xfId="16583" xr:uid="{00000000-0005-0000-0000-0000F6490000}"/>
    <cellStyle name="Millares 8 3 2 2" xfId="698" xr:uid="{00000000-0005-0000-0000-0000F7490000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3" xfId="21701" xr:uid="{00000000-0005-0000-0000-0000FD490000}"/>
    <cellStyle name="Millares 8 3 2 2 2 2 2 3" xfId="11786" xr:uid="{00000000-0005-0000-0000-0000FE490000}"/>
    <cellStyle name="Millares 8 3 2 2 2 2 2 4" xfId="18473" xr:uid="{00000000-0005-0000-0000-0000FF490000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3" xfId="22932" xr:uid="{00000000-0005-0000-0000-0000034A0000}"/>
    <cellStyle name="Millares 8 3 2 2 2 2 3 3" xfId="13017" xr:uid="{00000000-0005-0000-0000-0000044A0000}"/>
    <cellStyle name="Millares 8 3 2 2 2 2 3 4" xfId="19704" xr:uid="{00000000-0005-0000-0000-0000054A0000}"/>
    <cellStyle name="Millares 8 3 2 2 2 2 4" xfId="7219" xr:uid="{00000000-0005-0000-0000-0000064A0000}"/>
    <cellStyle name="Millares 8 3 2 2 2 2 4 2" xfId="13797" xr:uid="{00000000-0005-0000-0000-0000074A0000}"/>
    <cellStyle name="Millares 8 3 2 2 2 2 4 3" xfId="20484" xr:uid="{00000000-0005-0000-0000-0000084A0000}"/>
    <cellStyle name="Millares 8 3 2 2 2 2 5" xfId="10480" xr:uid="{00000000-0005-0000-0000-0000094A0000}"/>
    <cellStyle name="Millares 8 3 2 2 2 2 6" xfId="17256" xr:uid="{00000000-0005-0000-0000-00000A4A0000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3" xfId="21091" xr:uid="{00000000-0005-0000-0000-00000E4A0000}"/>
    <cellStyle name="Millares 8 3 2 2 2 3 3" xfId="11108" xr:uid="{00000000-0005-0000-0000-00000F4A0000}"/>
    <cellStyle name="Millares 8 3 2 2 2 3 4" xfId="17863" xr:uid="{00000000-0005-0000-0000-0000104A0000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3" xfId="22322" xr:uid="{00000000-0005-0000-0000-0000144A0000}"/>
    <cellStyle name="Millares 8 3 2 2 2 4 3" xfId="12407" xr:uid="{00000000-0005-0000-0000-0000154A0000}"/>
    <cellStyle name="Millares 8 3 2 2 2 4 4" xfId="19094" xr:uid="{00000000-0005-0000-0000-0000164A0000}"/>
    <cellStyle name="Millares 8 3 2 2 2 5" xfId="6831" xr:uid="{00000000-0005-0000-0000-0000174A0000}"/>
    <cellStyle name="Millares 8 3 2 2 2 5 2" xfId="13409" xr:uid="{00000000-0005-0000-0000-0000184A0000}"/>
    <cellStyle name="Millares 8 3 2 2 2 5 3" xfId="20096" xr:uid="{00000000-0005-0000-0000-0000194A0000}"/>
    <cellStyle name="Millares 8 3 2 2 2 6" xfId="10091" xr:uid="{00000000-0005-0000-0000-00001A4A0000}"/>
    <cellStyle name="Millares 8 3 2 2 2 7" xfId="16868" xr:uid="{00000000-0005-0000-0000-00001B4A0000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3" xfId="21457" xr:uid="{00000000-0005-0000-0000-0000204A0000}"/>
    <cellStyle name="Millares 8 3 2 2 3 2 3" xfId="11520" xr:uid="{00000000-0005-0000-0000-0000214A0000}"/>
    <cellStyle name="Millares 8 3 2 2 3 2 4" xfId="18229" xr:uid="{00000000-0005-0000-0000-0000224A0000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3" xfId="22688" xr:uid="{00000000-0005-0000-0000-0000264A0000}"/>
    <cellStyle name="Millares 8 3 2 2 3 3 3" xfId="12773" xr:uid="{00000000-0005-0000-0000-0000274A0000}"/>
    <cellStyle name="Millares 8 3 2 2 3 3 4" xfId="19460" xr:uid="{00000000-0005-0000-0000-0000284A0000}"/>
    <cellStyle name="Millares 8 3 2 2 3 4" xfId="7026" xr:uid="{00000000-0005-0000-0000-0000294A0000}"/>
    <cellStyle name="Millares 8 3 2 2 3 4 2" xfId="13604" xr:uid="{00000000-0005-0000-0000-00002A4A0000}"/>
    <cellStyle name="Millares 8 3 2 2 3 4 3" xfId="20291" xr:uid="{00000000-0005-0000-0000-00002B4A0000}"/>
    <cellStyle name="Millares 8 3 2 2 3 5" xfId="10287" xr:uid="{00000000-0005-0000-0000-00002C4A0000}"/>
    <cellStyle name="Millares 8 3 2 2 3 6" xfId="17063" xr:uid="{00000000-0005-0000-0000-00002D4A0000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3" xfId="22754" xr:uid="{00000000-0005-0000-0000-0000324A0000}"/>
    <cellStyle name="Millares 8 3 2 2 4 2 3" xfId="12839" xr:uid="{00000000-0005-0000-0000-0000334A0000}"/>
    <cellStyle name="Millares 8 3 2 2 4 2 4" xfId="19526" xr:uid="{00000000-0005-0000-0000-0000344A0000}"/>
    <cellStyle name="Millares 8 3 2 2 4 3" xfId="8258" xr:uid="{00000000-0005-0000-0000-0000354A0000}"/>
    <cellStyle name="Millares 8 3 2 2 4 3 2" xfId="14836" xr:uid="{00000000-0005-0000-0000-0000364A0000}"/>
    <cellStyle name="Millares 8 3 2 2 4 3 3" xfId="21523" xr:uid="{00000000-0005-0000-0000-0000374A0000}"/>
    <cellStyle name="Millares 8 3 2 2 4 4" xfId="11587" xr:uid="{00000000-0005-0000-0000-0000384A0000}"/>
    <cellStyle name="Millares 8 3 2 2 4 5" xfId="18295" xr:uid="{00000000-0005-0000-0000-0000394A0000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3" xfId="20695" xr:uid="{00000000-0005-0000-0000-00003D4A0000}"/>
    <cellStyle name="Millares 8 3 2 2 5 3" xfId="10692" xr:uid="{00000000-0005-0000-0000-00003E4A0000}"/>
    <cellStyle name="Millares 8 3 2 2 5 4" xfId="17467" xr:uid="{00000000-0005-0000-0000-00003F4A0000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3" xfId="21926" xr:uid="{00000000-0005-0000-0000-0000434A0000}"/>
    <cellStyle name="Millares 8 3 2 2 6 3" xfId="12011" xr:uid="{00000000-0005-0000-0000-0000444A0000}"/>
    <cellStyle name="Millares 8 3 2 2 6 4" xfId="18698" xr:uid="{00000000-0005-0000-0000-0000454A0000}"/>
    <cellStyle name="Millares 8 3 2 2 7" xfId="6638" xr:uid="{00000000-0005-0000-0000-0000464A0000}"/>
    <cellStyle name="Millares 8 3 2 2 7 2" xfId="13216" xr:uid="{00000000-0005-0000-0000-0000474A0000}"/>
    <cellStyle name="Millares 8 3 2 2 7 3" xfId="19903" xr:uid="{00000000-0005-0000-0000-0000484A0000}"/>
    <cellStyle name="Millares 8 3 2 2 8" xfId="9882" xr:uid="{00000000-0005-0000-0000-0000494A0000}"/>
    <cellStyle name="Millares 8 3 2 2 9" xfId="16675" xr:uid="{00000000-0005-0000-0000-00004A4A000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3" xfId="21191" xr:uid="{00000000-0005-0000-0000-0000504A0000}"/>
    <cellStyle name="Millares 8 3 2 3 2 2 3" xfId="11213" xr:uid="{00000000-0005-0000-0000-0000514A0000}"/>
    <cellStyle name="Millares 8 3 2 3 2 2 4" xfId="17963" xr:uid="{00000000-0005-0000-0000-0000524A0000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3" xfId="22422" xr:uid="{00000000-0005-0000-0000-0000564A0000}"/>
    <cellStyle name="Millares 8 3 2 3 2 3 3" xfId="12507" xr:uid="{00000000-0005-0000-0000-0000574A0000}"/>
    <cellStyle name="Millares 8 3 2 3 2 3 4" xfId="19194" xr:uid="{00000000-0005-0000-0000-0000584A0000}"/>
    <cellStyle name="Millares 8 3 2 3 2 4" xfId="7127" xr:uid="{00000000-0005-0000-0000-0000594A0000}"/>
    <cellStyle name="Millares 8 3 2 3 2 4 2" xfId="13705" xr:uid="{00000000-0005-0000-0000-00005A4A0000}"/>
    <cellStyle name="Millares 8 3 2 3 2 4 3" xfId="20392" xr:uid="{00000000-0005-0000-0000-00005B4A0000}"/>
    <cellStyle name="Millares 8 3 2 3 2 5" xfId="10388" xr:uid="{00000000-0005-0000-0000-00005C4A0000}"/>
    <cellStyle name="Millares 8 3 2 3 2 6" xfId="17164" xr:uid="{00000000-0005-0000-0000-00005D4A0000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3" xfId="22840" xr:uid="{00000000-0005-0000-0000-0000624A0000}"/>
    <cellStyle name="Millares 8 3 2 3 3 2 3" xfId="12925" xr:uid="{00000000-0005-0000-0000-0000634A0000}"/>
    <cellStyle name="Millares 8 3 2 3 3 2 4" xfId="19612" xr:uid="{00000000-0005-0000-0000-0000644A0000}"/>
    <cellStyle name="Millares 8 3 2 3 3 3" xfId="8344" xr:uid="{00000000-0005-0000-0000-0000654A0000}"/>
    <cellStyle name="Millares 8 3 2 3 3 3 2" xfId="14922" xr:uid="{00000000-0005-0000-0000-0000664A0000}"/>
    <cellStyle name="Millares 8 3 2 3 3 3 3" xfId="21609" xr:uid="{00000000-0005-0000-0000-0000674A0000}"/>
    <cellStyle name="Millares 8 3 2 3 3 4" xfId="11682" xr:uid="{00000000-0005-0000-0000-0000684A0000}"/>
    <cellStyle name="Millares 8 3 2 3 3 5" xfId="18381" xr:uid="{00000000-0005-0000-0000-0000694A0000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3" xfId="20795" xr:uid="{00000000-0005-0000-0000-00006D4A0000}"/>
    <cellStyle name="Millares 8 3 2 3 4 3" xfId="10792" xr:uid="{00000000-0005-0000-0000-00006E4A0000}"/>
    <cellStyle name="Millares 8 3 2 3 4 4" xfId="17567" xr:uid="{00000000-0005-0000-0000-00006F4A0000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3" xfId="22026" xr:uid="{00000000-0005-0000-0000-0000734A0000}"/>
    <cellStyle name="Millares 8 3 2 3 5 3" xfId="12111" xr:uid="{00000000-0005-0000-0000-0000744A0000}"/>
    <cellStyle name="Millares 8 3 2 3 5 4" xfId="18798" xr:uid="{00000000-0005-0000-0000-0000754A0000}"/>
    <cellStyle name="Millares 8 3 2 3 6" xfId="6739" xr:uid="{00000000-0005-0000-0000-0000764A0000}"/>
    <cellStyle name="Millares 8 3 2 3 6 2" xfId="13317" xr:uid="{00000000-0005-0000-0000-0000774A0000}"/>
    <cellStyle name="Millares 8 3 2 3 6 3" xfId="20004" xr:uid="{00000000-0005-0000-0000-0000784A0000}"/>
    <cellStyle name="Millares 8 3 2 3 7" xfId="9989" xr:uid="{00000000-0005-0000-0000-0000794A0000}"/>
    <cellStyle name="Millares 8 3 2 3 8" xfId="16776" xr:uid="{00000000-0005-0000-0000-00007A4A0000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3" xfId="22504" xr:uid="{00000000-0005-0000-0000-0000804A0000}"/>
    <cellStyle name="Millares 8 3 2 4 2 2 3" xfId="12589" xr:uid="{00000000-0005-0000-0000-0000814A0000}"/>
    <cellStyle name="Millares 8 3 2 4 2 2 4" xfId="19276" xr:uid="{00000000-0005-0000-0000-0000824A0000}"/>
    <cellStyle name="Millares 8 3 2 4 2 3" xfId="8008" xr:uid="{00000000-0005-0000-0000-0000834A0000}"/>
    <cellStyle name="Millares 8 3 2 4 2 3 2" xfId="14586" xr:uid="{00000000-0005-0000-0000-0000844A0000}"/>
    <cellStyle name="Millares 8 3 2 4 2 3 3" xfId="21273" xr:uid="{00000000-0005-0000-0000-0000854A0000}"/>
    <cellStyle name="Millares 8 3 2 4 2 4" xfId="11307" xr:uid="{00000000-0005-0000-0000-0000864A0000}"/>
    <cellStyle name="Millares 8 3 2 4 2 5" xfId="18045" xr:uid="{00000000-0005-0000-0000-0000874A0000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3" xfId="20877" xr:uid="{00000000-0005-0000-0000-00008B4A0000}"/>
    <cellStyle name="Millares 8 3 2 4 3 3" xfId="10881" xr:uid="{00000000-0005-0000-0000-00008C4A0000}"/>
    <cellStyle name="Millares 8 3 2 4 3 4" xfId="17649" xr:uid="{00000000-0005-0000-0000-00008D4A0000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3" xfId="22108" xr:uid="{00000000-0005-0000-0000-0000914A0000}"/>
    <cellStyle name="Millares 8 3 2 4 4 3" xfId="12193" xr:uid="{00000000-0005-0000-0000-0000924A0000}"/>
    <cellStyle name="Millares 8 3 2 4 4 4" xfId="18880" xr:uid="{00000000-0005-0000-0000-0000934A0000}"/>
    <cellStyle name="Millares 8 3 2 4 5" xfId="6934" xr:uid="{00000000-0005-0000-0000-0000944A0000}"/>
    <cellStyle name="Millares 8 3 2 4 5 2" xfId="13512" xr:uid="{00000000-0005-0000-0000-0000954A0000}"/>
    <cellStyle name="Millares 8 3 2 4 5 3" xfId="20199" xr:uid="{00000000-0005-0000-0000-0000964A0000}"/>
    <cellStyle name="Millares 8 3 2 4 6" xfId="10195" xr:uid="{00000000-0005-0000-0000-0000974A0000}"/>
    <cellStyle name="Millares 8 3 2 4 7" xfId="16971" xr:uid="{00000000-0005-0000-0000-0000984A0000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3" xfId="22216" xr:uid="{00000000-0005-0000-0000-00009D4A0000}"/>
    <cellStyle name="Millares 8 3 2 5 2 3" xfId="12301" xr:uid="{00000000-0005-0000-0000-00009E4A0000}"/>
    <cellStyle name="Millares 8 3 2 5 2 4" xfId="18988" xr:uid="{00000000-0005-0000-0000-00009F4A0000}"/>
    <cellStyle name="Millares 8 3 2 5 3" xfId="7720" xr:uid="{00000000-0005-0000-0000-0000A04A0000}"/>
    <cellStyle name="Millares 8 3 2 5 3 2" xfId="14298" xr:uid="{00000000-0005-0000-0000-0000A14A0000}"/>
    <cellStyle name="Millares 8 3 2 5 3 3" xfId="20985" xr:uid="{00000000-0005-0000-0000-0000A24A0000}"/>
    <cellStyle name="Millares 8 3 2 5 4" xfId="10999" xr:uid="{00000000-0005-0000-0000-0000A34A0000}"/>
    <cellStyle name="Millares 8 3 2 5 5" xfId="17757" xr:uid="{00000000-0005-0000-0000-0000A44A0000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3" xfId="22596" xr:uid="{00000000-0005-0000-0000-0000A94A0000}"/>
    <cellStyle name="Millares 8 3 2 6 2 3" xfId="12681" xr:uid="{00000000-0005-0000-0000-0000AA4A0000}"/>
    <cellStyle name="Millares 8 3 2 6 2 4" xfId="19368" xr:uid="{00000000-0005-0000-0000-0000AB4A0000}"/>
    <cellStyle name="Millares 8 3 2 6 3" xfId="8100" xr:uid="{00000000-0005-0000-0000-0000AC4A0000}"/>
    <cellStyle name="Millares 8 3 2 6 3 2" xfId="14678" xr:uid="{00000000-0005-0000-0000-0000AD4A0000}"/>
    <cellStyle name="Millares 8 3 2 6 3 3" xfId="21365" xr:uid="{00000000-0005-0000-0000-0000AE4A0000}"/>
    <cellStyle name="Millares 8 3 2 6 4" xfId="11408" xr:uid="{00000000-0005-0000-0000-0000AF4A0000}"/>
    <cellStyle name="Millares 8 3 2 6 5" xfId="18137" xr:uid="{00000000-0005-0000-0000-0000B04A0000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3" xfId="22730" xr:uid="{00000000-0005-0000-0000-0000B54A0000}"/>
    <cellStyle name="Millares 8 3 2 7 2 3" xfId="12815" xr:uid="{00000000-0005-0000-0000-0000B64A0000}"/>
    <cellStyle name="Millares 8 3 2 7 2 4" xfId="19502" xr:uid="{00000000-0005-0000-0000-0000B74A0000}"/>
    <cellStyle name="Millares 8 3 2 7 3" xfId="8234" xr:uid="{00000000-0005-0000-0000-0000B84A0000}"/>
    <cellStyle name="Millares 8 3 2 7 3 2" xfId="14812" xr:uid="{00000000-0005-0000-0000-0000B94A0000}"/>
    <cellStyle name="Millares 8 3 2 7 3 3" xfId="21499" xr:uid="{00000000-0005-0000-0000-0000BA4A0000}"/>
    <cellStyle name="Millares 8 3 2 7 4" xfId="11563" xr:uid="{00000000-0005-0000-0000-0000BB4A0000}"/>
    <cellStyle name="Millares 8 3 2 7 5" xfId="18271" xr:uid="{00000000-0005-0000-0000-0000BC4A0000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3" xfId="20589" xr:uid="{00000000-0005-0000-0000-0000C04A0000}"/>
    <cellStyle name="Millares 8 3 2 8 3" xfId="10586" xr:uid="{00000000-0005-0000-0000-0000C14A0000}"/>
    <cellStyle name="Millares 8 3 2 8 4" xfId="17361" xr:uid="{00000000-0005-0000-0000-0000C24A0000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3" xfId="21820" xr:uid="{00000000-0005-0000-0000-0000C64A0000}"/>
    <cellStyle name="Millares 8 3 2 9 3" xfId="11905" xr:uid="{00000000-0005-0000-0000-0000C74A0000}"/>
    <cellStyle name="Millares 8 3 2 9 4" xfId="18592" xr:uid="{00000000-0005-0000-0000-0000C84A0000}"/>
    <cellStyle name="Millares 8 3 3" xfId="525" xr:uid="{00000000-0005-0000-0000-0000C94A0000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3" xfId="21656" xr:uid="{00000000-0005-0000-0000-0000CF4A0000}"/>
    <cellStyle name="Millares 8 3 3 2 2 2 3" xfId="11734" xr:uid="{00000000-0005-0000-0000-0000D04A0000}"/>
    <cellStyle name="Millares 8 3 3 2 2 2 4" xfId="18428" xr:uid="{00000000-0005-0000-0000-0000D14A00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3" xfId="22887" xr:uid="{00000000-0005-0000-0000-0000D54A0000}"/>
    <cellStyle name="Millares 8 3 3 2 2 3 3" xfId="12972" xr:uid="{00000000-0005-0000-0000-0000D64A0000}"/>
    <cellStyle name="Millares 8 3 3 2 2 3 4" xfId="19659" xr:uid="{00000000-0005-0000-0000-0000D74A0000}"/>
    <cellStyle name="Millares 8 3 3 2 2 4" xfId="7174" xr:uid="{00000000-0005-0000-0000-0000D84A0000}"/>
    <cellStyle name="Millares 8 3 3 2 2 4 2" xfId="13752" xr:uid="{00000000-0005-0000-0000-0000D94A0000}"/>
    <cellStyle name="Millares 8 3 3 2 2 4 3" xfId="20439" xr:uid="{00000000-0005-0000-0000-0000DA4A0000}"/>
    <cellStyle name="Millares 8 3 3 2 2 5" xfId="10435" xr:uid="{00000000-0005-0000-0000-0000DB4A0000}"/>
    <cellStyle name="Millares 8 3 3 2 2 6" xfId="17211" xr:uid="{00000000-0005-0000-0000-0000DC4A0000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3" xfId="21046" xr:uid="{00000000-0005-0000-0000-0000E04A0000}"/>
    <cellStyle name="Millares 8 3 3 2 3 3" xfId="11062" xr:uid="{00000000-0005-0000-0000-0000E14A0000}"/>
    <cellStyle name="Millares 8 3 3 2 3 4" xfId="17818" xr:uid="{00000000-0005-0000-0000-0000E24A0000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3" xfId="22277" xr:uid="{00000000-0005-0000-0000-0000E64A0000}"/>
    <cellStyle name="Millares 8 3 3 2 4 3" xfId="12362" xr:uid="{00000000-0005-0000-0000-0000E74A0000}"/>
    <cellStyle name="Millares 8 3 3 2 4 4" xfId="19049" xr:uid="{00000000-0005-0000-0000-0000E84A0000}"/>
    <cellStyle name="Millares 8 3 3 2 5" xfId="6786" xr:uid="{00000000-0005-0000-0000-0000E94A0000}"/>
    <cellStyle name="Millares 8 3 3 2 5 2" xfId="13364" xr:uid="{00000000-0005-0000-0000-0000EA4A0000}"/>
    <cellStyle name="Millares 8 3 3 2 5 3" xfId="20051" xr:uid="{00000000-0005-0000-0000-0000EB4A0000}"/>
    <cellStyle name="Millares 8 3 3 2 6" xfId="10041" xr:uid="{00000000-0005-0000-0000-0000EC4A0000}"/>
    <cellStyle name="Millares 8 3 3 2 7" xfId="16823" xr:uid="{00000000-0005-0000-0000-0000ED4A0000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3" xfId="21412" xr:uid="{00000000-0005-0000-0000-0000F24A0000}"/>
    <cellStyle name="Millares 8 3 3 3 2 3" xfId="11463" xr:uid="{00000000-0005-0000-0000-0000F34A0000}"/>
    <cellStyle name="Millares 8 3 3 3 2 4" xfId="18184" xr:uid="{00000000-0005-0000-0000-0000F44A0000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3" xfId="22643" xr:uid="{00000000-0005-0000-0000-0000F84A0000}"/>
    <cellStyle name="Millares 8 3 3 3 3 3" xfId="12728" xr:uid="{00000000-0005-0000-0000-0000F94A0000}"/>
    <cellStyle name="Millares 8 3 3 3 3 4" xfId="19415" xr:uid="{00000000-0005-0000-0000-0000FA4A0000}"/>
    <cellStyle name="Millares 8 3 3 3 4" xfId="6981" xr:uid="{00000000-0005-0000-0000-0000FB4A0000}"/>
    <cellStyle name="Millares 8 3 3 3 4 2" xfId="13559" xr:uid="{00000000-0005-0000-0000-0000FC4A0000}"/>
    <cellStyle name="Millares 8 3 3 3 4 3" xfId="20246" xr:uid="{00000000-0005-0000-0000-0000FD4A0000}"/>
    <cellStyle name="Millares 8 3 3 3 5" xfId="10242" xr:uid="{00000000-0005-0000-0000-0000FE4A0000}"/>
    <cellStyle name="Millares 8 3 3 3 6" xfId="17018" xr:uid="{00000000-0005-0000-0000-0000FF4A0000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3" xfId="22742" xr:uid="{00000000-0005-0000-0000-0000044B0000}"/>
    <cellStyle name="Millares 8 3 3 4 2 3" xfId="12827" xr:uid="{00000000-0005-0000-0000-0000054B0000}"/>
    <cellStyle name="Millares 8 3 3 4 2 4" xfId="19514" xr:uid="{00000000-0005-0000-0000-0000064B0000}"/>
    <cellStyle name="Millares 8 3 3 4 3" xfId="8246" xr:uid="{00000000-0005-0000-0000-0000074B0000}"/>
    <cellStyle name="Millares 8 3 3 4 3 2" xfId="14824" xr:uid="{00000000-0005-0000-0000-0000084B0000}"/>
    <cellStyle name="Millares 8 3 3 4 3 3" xfId="21511" xr:uid="{00000000-0005-0000-0000-0000094B0000}"/>
    <cellStyle name="Millares 8 3 3 4 4" xfId="11575" xr:uid="{00000000-0005-0000-0000-00000A4B0000}"/>
    <cellStyle name="Millares 8 3 3 4 5" xfId="18283" xr:uid="{00000000-0005-0000-0000-00000B4B0000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3" xfId="20650" xr:uid="{00000000-0005-0000-0000-00000F4B0000}"/>
    <cellStyle name="Millares 8 3 3 5 3" xfId="10647" xr:uid="{00000000-0005-0000-0000-0000104B0000}"/>
    <cellStyle name="Millares 8 3 3 5 4" xfId="17422" xr:uid="{00000000-0005-0000-0000-0000114B0000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3" xfId="21881" xr:uid="{00000000-0005-0000-0000-0000154B0000}"/>
    <cellStyle name="Millares 8 3 3 6 3" xfId="11966" xr:uid="{00000000-0005-0000-0000-0000164B0000}"/>
    <cellStyle name="Millares 8 3 3 6 4" xfId="18653" xr:uid="{00000000-0005-0000-0000-0000174B0000}"/>
    <cellStyle name="Millares 8 3 3 7" xfId="6593" xr:uid="{00000000-0005-0000-0000-0000184B0000}"/>
    <cellStyle name="Millares 8 3 3 7 2" xfId="13171" xr:uid="{00000000-0005-0000-0000-0000194B0000}"/>
    <cellStyle name="Millares 8 3 3 7 3" xfId="19858" xr:uid="{00000000-0005-0000-0000-00001A4B0000}"/>
    <cellStyle name="Millares 8 3 3 8" xfId="9832" xr:uid="{00000000-0005-0000-0000-00001B4B0000}"/>
    <cellStyle name="Millares 8 3 3 9" xfId="16630" xr:uid="{00000000-0005-0000-0000-00001C4B0000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3" xfId="21190" xr:uid="{00000000-0005-0000-0000-0000224B0000}"/>
    <cellStyle name="Millares 8 3 4 2 2 3" xfId="11212" xr:uid="{00000000-0005-0000-0000-0000234B0000}"/>
    <cellStyle name="Millares 8 3 4 2 2 4" xfId="17962" xr:uid="{00000000-0005-0000-0000-0000244B0000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3" xfId="22421" xr:uid="{00000000-0005-0000-0000-0000284B0000}"/>
    <cellStyle name="Millares 8 3 4 2 3 3" xfId="12506" xr:uid="{00000000-0005-0000-0000-0000294B0000}"/>
    <cellStyle name="Millares 8 3 4 2 3 4" xfId="19193" xr:uid="{00000000-0005-0000-0000-00002A4B0000}"/>
    <cellStyle name="Millares 8 3 4 2 4" xfId="7081" xr:uid="{00000000-0005-0000-0000-00002B4B0000}"/>
    <cellStyle name="Millares 8 3 4 2 4 2" xfId="13659" xr:uid="{00000000-0005-0000-0000-00002C4B0000}"/>
    <cellStyle name="Millares 8 3 4 2 4 3" xfId="20346" xr:uid="{00000000-0005-0000-0000-00002D4B0000}"/>
    <cellStyle name="Millares 8 3 4 2 5" xfId="10342" xr:uid="{00000000-0005-0000-0000-00002E4B0000}"/>
    <cellStyle name="Millares 8 3 4 2 6" xfId="17118" xr:uid="{00000000-0005-0000-0000-00002F4B000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3" xfId="22794" xr:uid="{00000000-0005-0000-0000-0000344B0000}"/>
    <cellStyle name="Millares 8 3 4 3 2 3" xfId="12879" xr:uid="{00000000-0005-0000-0000-0000354B0000}"/>
    <cellStyle name="Millares 8 3 4 3 2 4" xfId="19566" xr:uid="{00000000-0005-0000-0000-0000364B0000}"/>
    <cellStyle name="Millares 8 3 4 3 3" xfId="8298" xr:uid="{00000000-0005-0000-0000-0000374B0000}"/>
    <cellStyle name="Millares 8 3 4 3 3 2" xfId="14876" xr:uid="{00000000-0005-0000-0000-0000384B0000}"/>
    <cellStyle name="Millares 8 3 4 3 3 3" xfId="21563" xr:uid="{00000000-0005-0000-0000-0000394B0000}"/>
    <cellStyle name="Millares 8 3 4 3 4" xfId="11632" xr:uid="{00000000-0005-0000-0000-00003A4B0000}"/>
    <cellStyle name="Millares 8 3 4 3 5" xfId="18335" xr:uid="{00000000-0005-0000-0000-00003B4B0000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3" xfId="20794" xr:uid="{00000000-0005-0000-0000-00003F4B0000}"/>
    <cellStyle name="Millares 8 3 4 4 3" xfId="10791" xr:uid="{00000000-0005-0000-0000-0000404B0000}"/>
    <cellStyle name="Millares 8 3 4 4 4" xfId="17566" xr:uid="{00000000-0005-0000-0000-0000414B0000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3" xfId="22025" xr:uid="{00000000-0005-0000-0000-0000454B0000}"/>
    <cellStyle name="Millares 8 3 4 5 3" xfId="12110" xr:uid="{00000000-0005-0000-0000-0000464B0000}"/>
    <cellStyle name="Millares 8 3 4 5 4" xfId="18797" xr:uid="{00000000-0005-0000-0000-0000474B0000}"/>
    <cellStyle name="Millares 8 3 4 6" xfId="6693" xr:uid="{00000000-0005-0000-0000-0000484B0000}"/>
    <cellStyle name="Millares 8 3 4 6 2" xfId="13271" xr:uid="{00000000-0005-0000-0000-0000494B0000}"/>
    <cellStyle name="Millares 8 3 4 6 3" xfId="19958" xr:uid="{00000000-0005-0000-0000-00004A4B0000}"/>
    <cellStyle name="Millares 8 3 4 7" xfId="9941" xr:uid="{00000000-0005-0000-0000-00004B4B0000}"/>
    <cellStyle name="Millares 8 3 4 8" xfId="16730" xr:uid="{00000000-0005-0000-0000-00004C4B0000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3" xfId="22459" xr:uid="{00000000-0005-0000-0000-0000524B0000}"/>
    <cellStyle name="Millares 8 3 5 2 2 3" xfId="12544" xr:uid="{00000000-0005-0000-0000-0000534B0000}"/>
    <cellStyle name="Millares 8 3 5 2 2 4" xfId="19231" xr:uid="{00000000-0005-0000-0000-0000544B0000}"/>
    <cellStyle name="Millares 8 3 5 2 3" xfId="7963" xr:uid="{00000000-0005-0000-0000-0000554B0000}"/>
    <cellStyle name="Millares 8 3 5 2 3 2" xfId="14541" xr:uid="{00000000-0005-0000-0000-0000564B0000}"/>
    <cellStyle name="Millares 8 3 5 2 3 3" xfId="21228" xr:uid="{00000000-0005-0000-0000-0000574B0000}"/>
    <cellStyle name="Millares 8 3 5 2 4" xfId="11257" xr:uid="{00000000-0005-0000-0000-0000584B0000}"/>
    <cellStyle name="Millares 8 3 5 2 5" xfId="18000" xr:uid="{00000000-0005-0000-0000-0000594B0000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3" xfId="20832" xr:uid="{00000000-0005-0000-0000-00005D4B0000}"/>
    <cellStyle name="Millares 8 3 5 3 3" xfId="10830" xr:uid="{00000000-0005-0000-0000-00005E4B0000}"/>
    <cellStyle name="Millares 8 3 5 3 4" xfId="17604" xr:uid="{00000000-0005-0000-0000-00005F4B0000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3" xfId="22063" xr:uid="{00000000-0005-0000-0000-0000634B0000}"/>
    <cellStyle name="Millares 8 3 5 4 3" xfId="12148" xr:uid="{00000000-0005-0000-0000-0000644B0000}"/>
    <cellStyle name="Millares 8 3 5 4 4" xfId="18835" xr:uid="{00000000-0005-0000-0000-0000654B0000}"/>
    <cellStyle name="Millares 8 3 5 5" xfId="6888" xr:uid="{00000000-0005-0000-0000-0000664B0000}"/>
    <cellStyle name="Millares 8 3 5 5 2" xfId="13466" xr:uid="{00000000-0005-0000-0000-0000674B0000}"/>
    <cellStyle name="Millares 8 3 5 5 3" xfId="20153" xr:uid="{00000000-0005-0000-0000-0000684B0000}"/>
    <cellStyle name="Millares 8 3 5 6" xfId="10149" xr:uid="{00000000-0005-0000-0000-0000694B0000}"/>
    <cellStyle name="Millares 8 3 5 7" xfId="16925" xr:uid="{00000000-0005-0000-0000-00006A4B0000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3" xfId="22171" xr:uid="{00000000-0005-0000-0000-00006F4B0000}"/>
    <cellStyle name="Millares 8 3 6 2 3" xfId="12256" xr:uid="{00000000-0005-0000-0000-0000704B0000}"/>
    <cellStyle name="Millares 8 3 6 2 4" xfId="18943" xr:uid="{00000000-0005-0000-0000-0000714B0000}"/>
    <cellStyle name="Millares 8 3 6 3" xfId="7675" xr:uid="{00000000-0005-0000-0000-0000724B0000}"/>
    <cellStyle name="Millares 8 3 6 3 2" xfId="14253" xr:uid="{00000000-0005-0000-0000-0000734B0000}"/>
    <cellStyle name="Millares 8 3 6 3 3" xfId="20940" xr:uid="{00000000-0005-0000-0000-0000744B0000}"/>
    <cellStyle name="Millares 8 3 6 4" xfId="10947" xr:uid="{00000000-0005-0000-0000-0000754B0000}"/>
    <cellStyle name="Millares 8 3 6 5" xfId="17712" xr:uid="{00000000-0005-0000-0000-0000764B0000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3" xfId="22551" xr:uid="{00000000-0005-0000-0000-00007B4B0000}"/>
    <cellStyle name="Millares 8 3 7 2 3" xfId="12636" xr:uid="{00000000-0005-0000-0000-00007C4B0000}"/>
    <cellStyle name="Millares 8 3 7 2 4" xfId="19323" xr:uid="{00000000-0005-0000-0000-00007D4B0000}"/>
    <cellStyle name="Millares 8 3 7 3" xfId="8055" xr:uid="{00000000-0005-0000-0000-00007E4B0000}"/>
    <cellStyle name="Millares 8 3 7 3 2" xfId="14633" xr:uid="{00000000-0005-0000-0000-00007F4B0000}"/>
    <cellStyle name="Millares 8 3 7 3 3" xfId="21320" xr:uid="{00000000-0005-0000-0000-0000804B0000}"/>
    <cellStyle name="Millares 8 3 7 4" xfId="11357" xr:uid="{00000000-0005-0000-0000-0000814B0000}"/>
    <cellStyle name="Millares 8 3 7 5" xfId="18092" xr:uid="{00000000-0005-0000-0000-0000824B000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3" xfId="22718" xr:uid="{00000000-0005-0000-0000-0000874B0000}"/>
    <cellStyle name="Millares 8 3 8 2 3" xfId="12803" xr:uid="{00000000-0005-0000-0000-0000884B0000}"/>
    <cellStyle name="Millares 8 3 8 2 4" xfId="19490" xr:uid="{00000000-0005-0000-0000-0000894B0000}"/>
    <cellStyle name="Millares 8 3 8 3" xfId="8222" xr:uid="{00000000-0005-0000-0000-00008A4B0000}"/>
    <cellStyle name="Millares 8 3 8 3 2" xfId="14800" xr:uid="{00000000-0005-0000-0000-00008B4B0000}"/>
    <cellStyle name="Millares 8 3 8 3 3" xfId="21487" xr:uid="{00000000-0005-0000-0000-00008C4B0000}"/>
    <cellStyle name="Millares 8 3 8 4" xfId="11551" xr:uid="{00000000-0005-0000-0000-00008D4B0000}"/>
    <cellStyle name="Millares 8 3 8 5" xfId="18259" xr:uid="{00000000-0005-0000-0000-00008E4B0000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3" xfId="20544" xr:uid="{00000000-0005-0000-0000-0000924B0000}"/>
    <cellStyle name="Millares 8 3 9 3" xfId="10541" xr:uid="{00000000-0005-0000-0000-0000934B0000}"/>
    <cellStyle name="Millares 8 3 9 4" xfId="17316" xr:uid="{00000000-0005-0000-0000-0000944B0000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3" xfId="19789" xr:uid="{00000000-0005-0000-0000-0000984B0000}"/>
    <cellStyle name="Millares 8 4 11" xfId="9759" xr:uid="{00000000-0005-0000-0000-0000994B0000}"/>
    <cellStyle name="Millares 8 4 12" xfId="16473" xr:uid="{00000000-0005-0000-0000-00009A4B0000}"/>
    <cellStyle name="Millares 8 4 13" xfId="16561" xr:uid="{00000000-0005-0000-0000-00009B4B0000}"/>
    <cellStyle name="Millares 8 4 2" xfId="613" xr:uid="{00000000-0005-0000-0000-00009C4B0000}"/>
    <cellStyle name="Millares 8 4 2 10" xfId="16653" xr:uid="{00000000-0005-0000-0000-00009D4B0000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3" xfId="21679" xr:uid="{00000000-0005-0000-0000-0000A34B0000}"/>
    <cellStyle name="Millares 8 4 2 2 2 2 3" xfId="11762" xr:uid="{00000000-0005-0000-0000-0000A44B0000}"/>
    <cellStyle name="Millares 8 4 2 2 2 2 4" xfId="18451" xr:uid="{00000000-0005-0000-0000-0000A54B0000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3" xfId="22910" xr:uid="{00000000-0005-0000-0000-0000A94B0000}"/>
    <cellStyle name="Millares 8 4 2 2 2 3 3" xfId="12995" xr:uid="{00000000-0005-0000-0000-0000AA4B0000}"/>
    <cellStyle name="Millares 8 4 2 2 2 3 4" xfId="19682" xr:uid="{00000000-0005-0000-0000-0000AB4B0000}"/>
    <cellStyle name="Millares 8 4 2 2 2 4" xfId="7197" xr:uid="{00000000-0005-0000-0000-0000AC4B0000}"/>
    <cellStyle name="Millares 8 4 2 2 2 4 2" xfId="13775" xr:uid="{00000000-0005-0000-0000-0000AD4B0000}"/>
    <cellStyle name="Millares 8 4 2 2 2 4 3" xfId="20462" xr:uid="{00000000-0005-0000-0000-0000AE4B0000}"/>
    <cellStyle name="Millares 8 4 2 2 2 5" xfId="10458" xr:uid="{00000000-0005-0000-0000-0000AF4B0000}"/>
    <cellStyle name="Millares 8 4 2 2 2 6" xfId="17234" xr:uid="{00000000-0005-0000-0000-0000B04B0000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3" xfId="21023" xr:uid="{00000000-0005-0000-0000-0000B44B0000}"/>
    <cellStyle name="Millares 8 4 2 2 3 3" xfId="11039" xr:uid="{00000000-0005-0000-0000-0000B54B0000}"/>
    <cellStyle name="Millares 8 4 2 2 3 4" xfId="17795" xr:uid="{00000000-0005-0000-0000-0000B64B0000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3" xfId="22254" xr:uid="{00000000-0005-0000-0000-0000BA4B0000}"/>
    <cellStyle name="Millares 8 4 2 2 4 3" xfId="12339" xr:uid="{00000000-0005-0000-0000-0000BB4B0000}"/>
    <cellStyle name="Millares 8 4 2 2 4 4" xfId="19026" xr:uid="{00000000-0005-0000-0000-0000BC4B0000}"/>
    <cellStyle name="Millares 8 4 2 2 5" xfId="6809" xr:uid="{00000000-0005-0000-0000-0000BD4B0000}"/>
    <cellStyle name="Millares 8 4 2 2 5 2" xfId="13387" xr:uid="{00000000-0005-0000-0000-0000BE4B0000}"/>
    <cellStyle name="Millares 8 4 2 2 5 3" xfId="20074" xr:uid="{00000000-0005-0000-0000-0000BF4B0000}"/>
    <cellStyle name="Millares 8 4 2 2 6" xfId="10066" xr:uid="{00000000-0005-0000-0000-0000C04B0000}"/>
    <cellStyle name="Millares 8 4 2 2 7" xfId="16846" xr:uid="{00000000-0005-0000-0000-0000C14B0000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3" xfId="21435" xr:uid="{00000000-0005-0000-0000-0000C64B0000}"/>
    <cellStyle name="Millares 8 4 2 3 2 3" xfId="11492" xr:uid="{00000000-0005-0000-0000-0000C74B0000}"/>
    <cellStyle name="Millares 8 4 2 3 2 4" xfId="18207" xr:uid="{00000000-0005-0000-0000-0000C84B000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3" xfId="22666" xr:uid="{00000000-0005-0000-0000-0000CC4B0000}"/>
    <cellStyle name="Millares 8 4 2 3 3 3" xfId="12751" xr:uid="{00000000-0005-0000-0000-0000CD4B0000}"/>
    <cellStyle name="Millares 8 4 2 3 3 4" xfId="19438" xr:uid="{00000000-0005-0000-0000-0000CE4B0000}"/>
    <cellStyle name="Millares 8 4 2 3 4" xfId="7004" xr:uid="{00000000-0005-0000-0000-0000CF4B0000}"/>
    <cellStyle name="Millares 8 4 2 3 4 2" xfId="13582" xr:uid="{00000000-0005-0000-0000-0000D04B0000}"/>
    <cellStyle name="Millares 8 4 2 3 4 3" xfId="20269" xr:uid="{00000000-0005-0000-0000-0000D14B0000}"/>
    <cellStyle name="Millares 8 4 2 3 5" xfId="10265" xr:uid="{00000000-0005-0000-0000-0000D24B0000}"/>
    <cellStyle name="Millares 8 4 2 3 6" xfId="17041" xr:uid="{00000000-0005-0000-0000-0000D34B0000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3" xfId="22748" xr:uid="{00000000-0005-0000-0000-0000D84B0000}"/>
    <cellStyle name="Millares 8 4 2 4 2 3" xfId="12833" xr:uid="{00000000-0005-0000-0000-0000D94B0000}"/>
    <cellStyle name="Millares 8 4 2 4 2 4" xfId="19520" xr:uid="{00000000-0005-0000-0000-0000DA4B0000}"/>
    <cellStyle name="Millares 8 4 2 4 3" xfId="8252" xr:uid="{00000000-0005-0000-0000-0000DB4B0000}"/>
    <cellStyle name="Millares 8 4 2 4 3 2" xfId="14830" xr:uid="{00000000-0005-0000-0000-0000DC4B0000}"/>
    <cellStyle name="Millares 8 4 2 4 3 3" xfId="21517" xr:uid="{00000000-0005-0000-0000-0000DD4B0000}"/>
    <cellStyle name="Millares 8 4 2 4 4" xfId="11581" xr:uid="{00000000-0005-0000-0000-0000DE4B0000}"/>
    <cellStyle name="Millares 8 4 2 4 5" xfId="18289" xr:uid="{00000000-0005-0000-0000-0000DF4B0000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3" xfId="20627" xr:uid="{00000000-0005-0000-0000-0000E34B0000}"/>
    <cellStyle name="Millares 8 4 2 5 3" xfId="10624" xr:uid="{00000000-0005-0000-0000-0000E44B0000}"/>
    <cellStyle name="Millares 8 4 2 5 4" xfId="17399" xr:uid="{00000000-0005-0000-0000-0000E54B0000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3" xfId="21858" xr:uid="{00000000-0005-0000-0000-0000E94B0000}"/>
    <cellStyle name="Millares 8 4 2 6 3" xfId="11943" xr:uid="{00000000-0005-0000-0000-0000EA4B0000}"/>
    <cellStyle name="Millares 8 4 2 6 4" xfId="18630" xr:uid="{00000000-0005-0000-0000-0000EB4B0000}"/>
    <cellStyle name="Millares 8 4 2 7" xfId="6616" xr:uid="{00000000-0005-0000-0000-0000EC4B0000}"/>
    <cellStyle name="Millares 8 4 2 7 2" xfId="13194" xr:uid="{00000000-0005-0000-0000-0000ED4B0000}"/>
    <cellStyle name="Millares 8 4 2 7 3" xfId="19881" xr:uid="{00000000-0005-0000-0000-0000EE4B0000}"/>
    <cellStyle name="Millares 8 4 2 8" xfId="9857" xr:uid="{00000000-0005-0000-0000-0000EF4B0000}"/>
    <cellStyle name="Millares 8 4 2 9" xfId="11407" xr:uid="{00000000-0005-0000-0000-0000F04B0000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3" xfId="21192" xr:uid="{00000000-0005-0000-0000-0000F64B0000}"/>
    <cellStyle name="Millares 8 4 3 2 2 3" xfId="11214" xr:uid="{00000000-0005-0000-0000-0000F74B0000}"/>
    <cellStyle name="Millares 8 4 3 2 2 4" xfId="17964" xr:uid="{00000000-0005-0000-0000-0000F84B0000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3" xfId="22423" xr:uid="{00000000-0005-0000-0000-0000FC4B0000}"/>
    <cellStyle name="Millares 8 4 3 2 3 3" xfId="12508" xr:uid="{00000000-0005-0000-0000-0000FD4B0000}"/>
    <cellStyle name="Millares 8 4 3 2 3 4" xfId="19195" xr:uid="{00000000-0005-0000-0000-0000FE4B0000}"/>
    <cellStyle name="Millares 8 4 3 2 4" xfId="7105" xr:uid="{00000000-0005-0000-0000-0000FF4B0000}"/>
    <cellStyle name="Millares 8 4 3 2 4 2" xfId="13683" xr:uid="{00000000-0005-0000-0000-0000004C0000}"/>
    <cellStyle name="Millares 8 4 3 2 4 3" xfId="20370" xr:uid="{00000000-0005-0000-0000-0000014C0000}"/>
    <cellStyle name="Millares 8 4 3 2 5" xfId="10366" xr:uid="{00000000-0005-0000-0000-0000024C0000}"/>
    <cellStyle name="Millares 8 4 3 2 6" xfId="17142" xr:uid="{00000000-0005-0000-0000-0000034C0000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3" xfId="22818" xr:uid="{00000000-0005-0000-0000-0000084C0000}"/>
    <cellStyle name="Millares 8 4 3 3 2 3" xfId="12903" xr:uid="{00000000-0005-0000-0000-0000094C0000}"/>
    <cellStyle name="Millares 8 4 3 3 2 4" xfId="19590" xr:uid="{00000000-0005-0000-0000-00000A4C0000}"/>
    <cellStyle name="Millares 8 4 3 3 3" xfId="8322" xr:uid="{00000000-0005-0000-0000-00000B4C0000}"/>
    <cellStyle name="Millares 8 4 3 3 3 2" xfId="14900" xr:uid="{00000000-0005-0000-0000-00000C4C0000}"/>
    <cellStyle name="Millares 8 4 3 3 3 3" xfId="21587" xr:uid="{00000000-0005-0000-0000-00000D4C0000}"/>
    <cellStyle name="Millares 8 4 3 3 4" xfId="11657" xr:uid="{00000000-0005-0000-0000-00000E4C0000}"/>
    <cellStyle name="Millares 8 4 3 3 5" xfId="18359" xr:uid="{00000000-0005-0000-0000-00000F4C0000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3" xfId="20796" xr:uid="{00000000-0005-0000-0000-0000134C0000}"/>
    <cellStyle name="Millares 8 4 3 4 3" xfId="10793" xr:uid="{00000000-0005-0000-0000-0000144C0000}"/>
    <cellStyle name="Millares 8 4 3 4 4" xfId="17568" xr:uid="{00000000-0005-0000-0000-0000154C0000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3" xfId="22027" xr:uid="{00000000-0005-0000-0000-0000194C0000}"/>
    <cellStyle name="Millares 8 4 3 5 3" xfId="12112" xr:uid="{00000000-0005-0000-0000-00001A4C0000}"/>
    <cellStyle name="Millares 8 4 3 5 4" xfId="18799" xr:uid="{00000000-0005-0000-0000-00001B4C0000}"/>
    <cellStyle name="Millares 8 4 3 6" xfId="6717" xr:uid="{00000000-0005-0000-0000-00001C4C0000}"/>
    <cellStyle name="Millares 8 4 3 6 2" xfId="13295" xr:uid="{00000000-0005-0000-0000-00001D4C0000}"/>
    <cellStyle name="Millares 8 4 3 6 3" xfId="19982" xr:uid="{00000000-0005-0000-0000-00001E4C0000}"/>
    <cellStyle name="Millares 8 4 3 7" xfId="9965" xr:uid="{00000000-0005-0000-0000-00001F4C0000}"/>
    <cellStyle name="Millares 8 4 3 8" xfId="16754" xr:uid="{00000000-0005-0000-0000-0000204C0000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3" xfId="22482" xr:uid="{00000000-0005-0000-0000-0000264C0000}"/>
    <cellStyle name="Millares 8 4 4 2 2 3" xfId="12567" xr:uid="{00000000-0005-0000-0000-0000274C0000}"/>
    <cellStyle name="Millares 8 4 4 2 2 4" xfId="19254" xr:uid="{00000000-0005-0000-0000-0000284C0000}"/>
    <cellStyle name="Millares 8 4 4 2 3" xfId="7986" xr:uid="{00000000-0005-0000-0000-0000294C0000}"/>
    <cellStyle name="Millares 8 4 4 2 3 2" xfId="14564" xr:uid="{00000000-0005-0000-0000-00002A4C0000}"/>
    <cellStyle name="Millares 8 4 4 2 3 3" xfId="21251" xr:uid="{00000000-0005-0000-0000-00002B4C0000}"/>
    <cellStyle name="Millares 8 4 4 2 4" xfId="11283" xr:uid="{00000000-0005-0000-0000-00002C4C0000}"/>
    <cellStyle name="Millares 8 4 4 2 5" xfId="18023" xr:uid="{00000000-0005-0000-0000-00002D4C0000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3" xfId="20855" xr:uid="{00000000-0005-0000-0000-0000314C0000}"/>
    <cellStyle name="Millares 8 4 4 3 3" xfId="10855" xr:uid="{00000000-0005-0000-0000-0000324C0000}"/>
    <cellStyle name="Millares 8 4 4 3 4" xfId="17627" xr:uid="{00000000-0005-0000-0000-0000334C0000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3" xfId="22086" xr:uid="{00000000-0005-0000-0000-0000374C0000}"/>
    <cellStyle name="Millares 8 4 4 4 3" xfId="12171" xr:uid="{00000000-0005-0000-0000-0000384C0000}"/>
    <cellStyle name="Millares 8 4 4 4 4" xfId="18858" xr:uid="{00000000-0005-0000-0000-0000394C0000}"/>
    <cellStyle name="Millares 8 4 4 5" xfId="6912" xr:uid="{00000000-0005-0000-0000-00003A4C0000}"/>
    <cellStyle name="Millares 8 4 4 5 2" xfId="13490" xr:uid="{00000000-0005-0000-0000-00003B4C0000}"/>
    <cellStyle name="Millares 8 4 4 5 3" xfId="20177" xr:uid="{00000000-0005-0000-0000-00003C4C0000}"/>
    <cellStyle name="Millares 8 4 4 6" xfId="10173" xr:uid="{00000000-0005-0000-0000-00003D4C0000}"/>
    <cellStyle name="Millares 8 4 4 7" xfId="16949" xr:uid="{00000000-0005-0000-0000-00003E4C0000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3" xfId="22148" xr:uid="{00000000-0005-0000-0000-0000434C0000}"/>
    <cellStyle name="Millares 8 4 5 2 3" xfId="12233" xr:uid="{00000000-0005-0000-0000-0000444C0000}"/>
    <cellStyle name="Millares 8 4 5 2 4" xfId="18920" xr:uid="{00000000-0005-0000-0000-0000454C0000}"/>
    <cellStyle name="Millares 8 4 5 3" xfId="7652" xr:uid="{00000000-0005-0000-0000-0000464C0000}"/>
    <cellStyle name="Millares 8 4 5 3 2" xfId="14230" xr:uid="{00000000-0005-0000-0000-0000474C0000}"/>
    <cellStyle name="Millares 8 4 5 3 3" xfId="20917" xr:uid="{00000000-0005-0000-0000-0000484C0000}"/>
    <cellStyle name="Millares 8 4 5 4" xfId="10923" xr:uid="{00000000-0005-0000-0000-0000494C0000}"/>
    <cellStyle name="Millares 8 4 5 5" xfId="17689" xr:uid="{00000000-0005-0000-0000-00004A4C0000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3" xfId="22574" xr:uid="{00000000-0005-0000-0000-00004F4C0000}"/>
    <cellStyle name="Millares 8 4 6 2 3" xfId="12659" xr:uid="{00000000-0005-0000-0000-0000504C0000}"/>
    <cellStyle name="Millares 8 4 6 2 4" xfId="19346" xr:uid="{00000000-0005-0000-0000-0000514C0000}"/>
    <cellStyle name="Millares 8 4 6 3" xfId="8078" xr:uid="{00000000-0005-0000-0000-0000524C0000}"/>
    <cellStyle name="Millares 8 4 6 3 2" xfId="14656" xr:uid="{00000000-0005-0000-0000-0000534C0000}"/>
    <cellStyle name="Millares 8 4 6 3 3" xfId="21343" xr:uid="{00000000-0005-0000-0000-0000544C0000}"/>
    <cellStyle name="Millares 8 4 6 4" xfId="11381" xr:uid="{00000000-0005-0000-0000-0000554C0000}"/>
    <cellStyle name="Millares 8 4 6 5" xfId="18115" xr:uid="{00000000-0005-0000-0000-0000564C0000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3" xfId="22724" xr:uid="{00000000-0005-0000-0000-00005B4C0000}"/>
    <cellStyle name="Millares 8 4 7 2 3" xfId="12809" xr:uid="{00000000-0005-0000-0000-00005C4C0000}"/>
    <cellStyle name="Millares 8 4 7 2 4" xfId="19496" xr:uid="{00000000-0005-0000-0000-00005D4C0000}"/>
    <cellStyle name="Millares 8 4 7 3" xfId="8228" xr:uid="{00000000-0005-0000-0000-00005E4C0000}"/>
    <cellStyle name="Millares 8 4 7 3 2" xfId="14806" xr:uid="{00000000-0005-0000-0000-00005F4C0000}"/>
    <cellStyle name="Millares 8 4 7 3 3" xfId="21493" xr:uid="{00000000-0005-0000-0000-0000604C0000}"/>
    <cellStyle name="Millares 8 4 7 4" xfId="11557" xr:uid="{00000000-0005-0000-0000-0000614C0000}"/>
    <cellStyle name="Millares 8 4 7 5" xfId="18265" xr:uid="{00000000-0005-0000-0000-0000624C0000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3" xfId="20521" xr:uid="{00000000-0005-0000-0000-0000664C0000}"/>
    <cellStyle name="Millares 8 4 8 3" xfId="10518" xr:uid="{00000000-0005-0000-0000-0000674C0000}"/>
    <cellStyle name="Millares 8 4 8 4" xfId="17293" xr:uid="{00000000-0005-0000-0000-0000684C000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3" xfId="21752" xr:uid="{00000000-0005-0000-0000-00006C4C0000}"/>
    <cellStyle name="Millares 8 4 9 3" xfId="11837" xr:uid="{00000000-0005-0000-0000-00006D4C0000}"/>
    <cellStyle name="Millares 8 4 9 4" xfId="18524" xr:uid="{00000000-0005-0000-0000-00006E4C0000}"/>
    <cellStyle name="Millares 8 5" xfId="440" xr:uid="{00000000-0005-0000-0000-00006F4C0000}"/>
    <cellStyle name="Millares 8 5 10" xfId="10966" xr:uid="{00000000-0005-0000-0000-0000704C0000}"/>
    <cellStyle name="Millares 8 5 11" xfId="16608" xr:uid="{00000000-0005-0000-0000-0000714C0000}"/>
    <cellStyle name="Millares 8 5 2" xfId="1153" xr:uid="{00000000-0005-0000-0000-0000724C0000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3" xfId="21069" xr:uid="{00000000-0005-0000-0000-0000774C0000}"/>
    <cellStyle name="Millares 8 5 2 2 2 3" xfId="11086" xr:uid="{00000000-0005-0000-0000-0000784C0000}"/>
    <cellStyle name="Millares 8 5 2 2 2 4" xfId="17841" xr:uid="{00000000-0005-0000-0000-0000794C0000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3" xfId="22300" xr:uid="{00000000-0005-0000-0000-00007D4C0000}"/>
    <cellStyle name="Millares 8 5 2 2 3 3" xfId="12385" xr:uid="{00000000-0005-0000-0000-00007E4C0000}"/>
    <cellStyle name="Millares 8 5 2 2 3 4" xfId="19072" xr:uid="{00000000-0005-0000-0000-00007F4C0000}"/>
    <cellStyle name="Millares 8 5 2 2 4" xfId="7152" xr:uid="{00000000-0005-0000-0000-0000804C0000}"/>
    <cellStyle name="Millares 8 5 2 2 4 2" xfId="13730" xr:uid="{00000000-0005-0000-0000-0000814C0000}"/>
    <cellStyle name="Millares 8 5 2 2 4 3" xfId="20417" xr:uid="{00000000-0005-0000-0000-0000824C0000}"/>
    <cellStyle name="Millares 8 5 2 2 5" xfId="10413" xr:uid="{00000000-0005-0000-0000-0000834C0000}"/>
    <cellStyle name="Millares 8 5 2 2 6" xfId="17189" xr:uid="{00000000-0005-0000-0000-0000844C0000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3" xfId="22865" xr:uid="{00000000-0005-0000-0000-0000894C0000}"/>
    <cellStyle name="Millares 8 5 2 3 2 3" xfId="12950" xr:uid="{00000000-0005-0000-0000-00008A4C0000}"/>
    <cellStyle name="Millares 8 5 2 3 2 4" xfId="19637" xr:uid="{00000000-0005-0000-0000-00008B4C0000}"/>
    <cellStyle name="Millares 8 5 2 3 3" xfId="8369" xr:uid="{00000000-0005-0000-0000-00008C4C0000}"/>
    <cellStyle name="Millares 8 5 2 3 3 2" xfId="14947" xr:uid="{00000000-0005-0000-0000-00008D4C0000}"/>
    <cellStyle name="Millares 8 5 2 3 3 3" xfId="21634" xr:uid="{00000000-0005-0000-0000-00008E4C0000}"/>
    <cellStyle name="Millares 8 5 2 3 4" xfId="11711" xr:uid="{00000000-0005-0000-0000-00008F4C0000}"/>
    <cellStyle name="Millares 8 5 2 3 5" xfId="18406" xr:uid="{00000000-0005-0000-0000-0000904C0000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3" xfId="20673" xr:uid="{00000000-0005-0000-0000-0000944C0000}"/>
    <cellStyle name="Millares 8 5 2 4 3" xfId="10670" xr:uid="{00000000-0005-0000-0000-0000954C0000}"/>
    <cellStyle name="Millares 8 5 2 4 4" xfId="17445" xr:uid="{00000000-0005-0000-0000-0000964C0000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3" xfId="21904" xr:uid="{00000000-0005-0000-0000-00009A4C0000}"/>
    <cellStyle name="Millares 8 5 2 5 3" xfId="11989" xr:uid="{00000000-0005-0000-0000-00009B4C0000}"/>
    <cellStyle name="Millares 8 5 2 5 4" xfId="18676" xr:uid="{00000000-0005-0000-0000-00009C4C0000}"/>
    <cellStyle name="Millares 8 5 2 6" xfId="6764" xr:uid="{00000000-0005-0000-0000-00009D4C0000}"/>
    <cellStyle name="Millares 8 5 2 6 2" xfId="13342" xr:uid="{00000000-0005-0000-0000-00009E4C0000}"/>
    <cellStyle name="Millares 8 5 2 6 3" xfId="20029" xr:uid="{00000000-0005-0000-0000-00009F4C0000}"/>
    <cellStyle name="Millares 8 5 2 7" xfId="10018" xr:uid="{00000000-0005-0000-0000-0000A04C0000}"/>
    <cellStyle name="Millares 8 5 2 8" xfId="16445" xr:uid="{00000000-0005-0000-0000-0000A14C0000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3" xfId="20963" xr:uid="{00000000-0005-0000-0000-0000A74C0000}"/>
    <cellStyle name="Millares 8 5 3 2 3" xfId="10974" xr:uid="{00000000-0005-0000-0000-0000A84C0000}"/>
    <cellStyle name="Millares 8 5 3 2 4" xfId="17735" xr:uid="{00000000-0005-0000-0000-0000A94C0000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3" xfId="22194" xr:uid="{00000000-0005-0000-0000-0000AD4C0000}"/>
    <cellStyle name="Millares 8 5 3 3 3" xfId="12279" xr:uid="{00000000-0005-0000-0000-0000AE4C0000}"/>
    <cellStyle name="Millares 8 5 3 3 4" xfId="18966" xr:uid="{00000000-0005-0000-0000-0000AF4C0000}"/>
    <cellStyle name="Millares 8 5 3 4" xfId="6959" xr:uid="{00000000-0005-0000-0000-0000B04C0000}"/>
    <cellStyle name="Millares 8 5 3 4 2" xfId="13537" xr:uid="{00000000-0005-0000-0000-0000B14C0000}"/>
    <cellStyle name="Millares 8 5 3 4 3" xfId="20224" xr:uid="{00000000-0005-0000-0000-0000B24C0000}"/>
    <cellStyle name="Millares 8 5 3 5" xfId="10220" xr:uid="{00000000-0005-0000-0000-0000B34C0000}"/>
    <cellStyle name="Millares 8 5 3 6" xfId="16996" xr:uid="{00000000-0005-0000-0000-0000B44C0000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3" xfId="22621" xr:uid="{00000000-0005-0000-0000-0000B94C0000}"/>
    <cellStyle name="Millares 8 5 4 2 3" xfId="12706" xr:uid="{00000000-0005-0000-0000-0000BA4C0000}"/>
    <cellStyle name="Millares 8 5 4 2 4" xfId="19393" xr:uid="{00000000-0005-0000-0000-0000BB4C0000}"/>
    <cellStyle name="Millares 8 5 4 3" xfId="8125" xr:uid="{00000000-0005-0000-0000-0000BC4C0000}"/>
    <cellStyle name="Millares 8 5 4 3 2" xfId="14703" xr:uid="{00000000-0005-0000-0000-0000BD4C0000}"/>
    <cellStyle name="Millares 8 5 4 3 3" xfId="21390" xr:uid="{00000000-0005-0000-0000-0000BE4C0000}"/>
    <cellStyle name="Millares 8 5 4 4" xfId="11438" xr:uid="{00000000-0005-0000-0000-0000BF4C0000}"/>
    <cellStyle name="Millares 8 5 4 5" xfId="18162" xr:uid="{00000000-0005-0000-0000-0000C04C0000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3" xfId="22736" xr:uid="{00000000-0005-0000-0000-0000C54C0000}"/>
    <cellStyle name="Millares 8 5 5 2 3" xfId="12821" xr:uid="{00000000-0005-0000-0000-0000C64C0000}"/>
    <cellStyle name="Millares 8 5 5 2 4" xfId="19508" xr:uid="{00000000-0005-0000-0000-0000C74C0000}"/>
    <cellStyle name="Millares 8 5 5 3" xfId="8240" xr:uid="{00000000-0005-0000-0000-0000C84C0000}"/>
    <cellStyle name="Millares 8 5 5 3 2" xfId="14818" xr:uid="{00000000-0005-0000-0000-0000C94C0000}"/>
    <cellStyle name="Millares 8 5 5 3 3" xfId="21505" xr:uid="{00000000-0005-0000-0000-0000CA4C0000}"/>
    <cellStyle name="Millares 8 5 5 4" xfId="11569" xr:uid="{00000000-0005-0000-0000-0000CB4C0000}"/>
    <cellStyle name="Millares 8 5 5 5" xfId="18277" xr:uid="{00000000-0005-0000-0000-0000CC4C0000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3" xfId="20567" xr:uid="{00000000-0005-0000-0000-0000D04C0000}"/>
    <cellStyle name="Millares 8 5 6 3" xfId="10564" xr:uid="{00000000-0005-0000-0000-0000D14C0000}"/>
    <cellStyle name="Millares 8 5 6 4" xfId="17339" xr:uid="{00000000-0005-0000-0000-0000D24C0000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3" xfId="21798" xr:uid="{00000000-0005-0000-0000-0000D64C0000}"/>
    <cellStyle name="Millares 8 5 7 3" xfId="11883" xr:uid="{00000000-0005-0000-0000-0000D74C0000}"/>
    <cellStyle name="Millares 8 5 7 4" xfId="18570" xr:uid="{00000000-0005-0000-0000-0000D84C0000}"/>
    <cellStyle name="Millares 8 5 8" xfId="6571" xr:uid="{00000000-0005-0000-0000-0000D94C0000}"/>
    <cellStyle name="Millares 8 5 8 2" xfId="13149" xr:uid="{00000000-0005-0000-0000-0000DA4C0000}"/>
    <cellStyle name="Millares 8 5 8 3" xfId="19836" xr:uid="{00000000-0005-0000-0000-0000DB4C0000}"/>
    <cellStyle name="Millares 8 5 9" xfId="9809" xr:uid="{00000000-0005-0000-0000-0000DC4C0000}"/>
    <cellStyle name="Millares 8 6" xfId="803" xr:uid="{00000000-0005-0000-0000-0000DD4C0000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3" xfId="21011" xr:uid="{00000000-0005-0000-0000-0000E24C0000}"/>
    <cellStyle name="Millares 8 6 2 2 3" xfId="11027" xr:uid="{00000000-0005-0000-0000-0000E34C0000}"/>
    <cellStyle name="Millares 8 6 2 2 4" xfId="17783" xr:uid="{00000000-0005-0000-0000-0000E44C0000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3" xfId="22242" xr:uid="{00000000-0005-0000-0000-0000E84C0000}"/>
    <cellStyle name="Millares 8 6 2 3 3" xfId="12327" xr:uid="{00000000-0005-0000-0000-0000E94C0000}"/>
    <cellStyle name="Millares 8 6 2 3 4" xfId="19014" xr:uid="{00000000-0005-0000-0000-0000EA4C0000}"/>
    <cellStyle name="Millares 8 6 2 4" xfId="7058" xr:uid="{00000000-0005-0000-0000-0000EB4C0000}"/>
    <cellStyle name="Millares 8 6 2 4 2" xfId="13636" xr:uid="{00000000-0005-0000-0000-0000EC4C0000}"/>
    <cellStyle name="Millares 8 6 2 4 3" xfId="20323" xr:uid="{00000000-0005-0000-0000-0000ED4C0000}"/>
    <cellStyle name="Millares 8 6 2 5" xfId="10319" xr:uid="{00000000-0005-0000-0000-0000EE4C0000}"/>
    <cellStyle name="Millares 8 6 2 6" xfId="17095" xr:uid="{00000000-0005-0000-0000-0000EF4C0000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3" xfId="22771" xr:uid="{00000000-0005-0000-0000-0000F44C0000}"/>
    <cellStyle name="Millares 8 6 3 2 3" xfId="12856" xr:uid="{00000000-0005-0000-0000-0000F54C0000}"/>
    <cellStyle name="Millares 8 6 3 2 4" xfId="19543" xr:uid="{00000000-0005-0000-0000-0000F64C0000}"/>
    <cellStyle name="Millares 8 6 3 3" xfId="8275" xr:uid="{00000000-0005-0000-0000-0000F74C0000}"/>
    <cellStyle name="Millares 8 6 3 3 2" xfId="14853" xr:uid="{00000000-0005-0000-0000-0000F84C0000}"/>
    <cellStyle name="Millares 8 6 3 3 3" xfId="21540" xr:uid="{00000000-0005-0000-0000-0000F94C0000}"/>
    <cellStyle name="Millares 8 6 3 4" xfId="11605" xr:uid="{00000000-0005-0000-0000-0000FA4C0000}"/>
    <cellStyle name="Millares 8 6 3 5" xfId="18312" xr:uid="{00000000-0005-0000-0000-0000FB4C000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3" xfId="20615" xr:uid="{00000000-0005-0000-0000-0000FF4C0000}"/>
    <cellStyle name="Millares 8 6 4 3" xfId="10612" xr:uid="{00000000-0005-0000-0000-0000004D0000}"/>
    <cellStyle name="Millares 8 6 4 4" xfId="17387" xr:uid="{00000000-0005-0000-0000-0000014D0000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3" xfId="21846" xr:uid="{00000000-0005-0000-0000-0000054D0000}"/>
    <cellStyle name="Millares 8 6 5 3" xfId="11931" xr:uid="{00000000-0005-0000-0000-0000064D0000}"/>
    <cellStyle name="Millares 8 6 5 4" xfId="18618" xr:uid="{00000000-0005-0000-0000-0000074D0000}"/>
    <cellStyle name="Millares 8 6 6" xfId="6670" xr:uid="{00000000-0005-0000-0000-0000084D0000}"/>
    <cellStyle name="Millares 8 6 6 2" xfId="13248" xr:uid="{00000000-0005-0000-0000-0000094D0000}"/>
    <cellStyle name="Millares 8 6 6 3" xfId="19935" xr:uid="{00000000-0005-0000-0000-00000A4D0000}"/>
    <cellStyle name="Millares 8 6 7" xfId="9916" xr:uid="{00000000-0005-0000-0000-00000B4D0000}"/>
    <cellStyle name="Millares 8 6 8" xfId="11306" xr:uid="{00000000-0005-0000-0000-00000C4D0000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3" xfId="22416" xr:uid="{00000000-0005-0000-0000-0000134D0000}"/>
    <cellStyle name="Millares 8 7 2 2 3" xfId="12501" xr:uid="{00000000-0005-0000-0000-0000144D0000}"/>
    <cellStyle name="Millares 8 7 2 2 4" xfId="19188" xr:uid="{00000000-0005-0000-0000-0000154D0000}"/>
    <cellStyle name="Millares 8 7 2 3" xfId="7920" xr:uid="{00000000-0005-0000-0000-0000164D0000}"/>
    <cellStyle name="Millares 8 7 2 3 2" xfId="14498" xr:uid="{00000000-0005-0000-0000-0000174D0000}"/>
    <cellStyle name="Millares 8 7 2 3 3" xfId="21185" xr:uid="{00000000-0005-0000-0000-0000184D0000}"/>
    <cellStyle name="Millares 8 7 2 4" xfId="11207" xr:uid="{00000000-0005-0000-0000-0000194D0000}"/>
    <cellStyle name="Millares 8 7 2 5" xfId="17957" xr:uid="{00000000-0005-0000-0000-00001A4D000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3" xfId="20789" xr:uid="{00000000-0005-0000-0000-00001E4D0000}"/>
    <cellStyle name="Millares 8 7 3 3" xfId="10786" xr:uid="{00000000-0005-0000-0000-00001F4D0000}"/>
    <cellStyle name="Millares 8 7 3 4" xfId="17561" xr:uid="{00000000-0005-0000-0000-0000204D0000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3" xfId="22020" xr:uid="{00000000-0005-0000-0000-0000244D0000}"/>
    <cellStyle name="Millares 8 7 4 3" xfId="12105" xr:uid="{00000000-0005-0000-0000-0000254D0000}"/>
    <cellStyle name="Millares 8 7 4 4" xfId="18792" xr:uid="{00000000-0005-0000-0000-0000264D0000}"/>
    <cellStyle name="Millares 8 7 5" xfId="6865" xr:uid="{00000000-0005-0000-0000-0000274D0000}"/>
    <cellStyle name="Millares 8 7 5 2" xfId="13443" xr:uid="{00000000-0005-0000-0000-0000284D0000}"/>
    <cellStyle name="Millares 8 7 5 3" xfId="20130" xr:uid="{00000000-0005-0000-0000-0000294D0000}"/>
    <cellStyle name="Millares 8 7 6" xfId="10126" xr:uid="{00000000-0005-0000-0000-00002A4D0000}"/>
    <cellStyle name="Millares 8 7 7" xfId="16902" xr:uid="{00000000-0005-0000-0000-00002B4D0000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3" xfId="22437" xr:uid="{00000000-0005-0000-0000-0000314D0000}"/>
    <cellStyle name="Millares 8 8 2 2 3" xfId="12522" xr:uid="{00000000-0005-0000-0000-0000324D0000}"/>
    <cellStyle name="Millares 8 8 2 2 4" xfId="19209" xr:uid="{00000000-0005-0000-0000-0000334D0000}"/>
    <cellStyle name="Millares 8 8 2 3" xfId="7941" xr:uid="{00000000-0005-0000-0000-0000344D0000}"/>
    <cellStyle name="Millares 8 8 2 3 2" xfId="14519" xr:uid="{00000000-0005-0000-0000-0000354D0000}"/>
    <cellStyle name="Millares 8 8 2 3 3" xfId="21206" xr:uid="{00000000-0005-0000-0000-0000364D0000}"/>
    <cellStyle name="Millares 8 8 2 4" xfId="11234" xr:uid="{00000000-0005-0000-0000-0000374D0000}"/>
    <cellStyle name="Millares 8 8 2 5" xfId="17978" xr:uid="{00000000-0005-0000-0000-0000384D0000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3" xfId="22041" xr:uid="{00000000-0005-0000-0000-00003C4D0000}"/>
    <cellStyle name="Millares 8 8 3 3" xfId="12126" xr:uid="{00000000-0005-0000-0000-00003D4D0000}"/>
    <cellStyle name="Millares 8 8 3 4" xfId="18813" xr:uid="{00000000-0005-0000-0000-00003E4D0000}"/>
    <cellStyle name="Millares 8 8 4" xfId="7545" xr:uid="{00000000-0005-0000-0000-00003F4D0000}"/>
    <cellStyle name="Millares 8 8 4 2" xfId="14123" xr:uid="{00000000-0005-0000-0000-0000404D0000}"/>
    <cellStyle name="Millares 8 8 4 3" xfId="20810" xr:uid="{00000000-0005-0000-0000-0000414D0000}"/>
    <cellStyle name="Millares 8 8 5" xfId="10807" xr:uid="{00000000-0005-0000-0000-0000424D0000}"/>
    <cellStyle name="Millares 8 8 6" xfId="17582" xr:uid="{00000000-0005-0000-0000-0000434D0000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3" xfId="22136" xr:uid="{00000000-0005-0000-0000-0000484D0000}"/>
    <cellStyle name="Millares 8 9 2 3" xfId="12221" xr:uid="{00000000-0005-0000-0000-0000494D0000}"/>
    <cellStyle name="Millares 8 9 2 4" xfId="18908" xr:uid="{00000000-0005-0000-0000-00004A4D0000}"/>
    <cellStyle name="Millares 8 9 3" xfId="7640" xr:uid="{00000000-0005-0000-0000-00004B4D0000}"/>
    <cellStyle name="Millares 8 9 3 2" xfId="14218" xr:uid="{00000000-0005-0000-0000-00004C4D0000}"/>
    <cellStyle name="Millares 8 9 3 3" xfId="20905" xr:uid="{00000000-0005-0000-0000-00004D4D0000}"/>
    <cellStyle name="Millares 8 9 4" xfId="10911" xr:uid="{00000000-0005-0000-0000-00004E4D0000}"/>
    <cellStyle name="Millares 8 9 5" xfId="17677" xr:uid="{00000000-0005-0000-0000-00004F4D0000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3" xfId="22532" xr:uid="{00000000-0005-0000-0000-0000554D0000}"/>
    <cellStyle name="Millares 9 10 2 3" xfId="12617" xr:uid="{00000000-0005-0000-0000-0000564D0000}"/>
    <cellStyle name="Millares 9 10 2 4" xfId="19304" xr:uid="{00000000-0005-0000-0000-0000574D0000}"/>
    <cellStyle name="Millares 9 10 3" xfId="8036" xr:uid="{00000000-0005-0000-0000-0000584D0000}"/>
    <cellStyle name="Millares 9 10 3 2" xfId="14614" xr:uid="{00000000-0005-0000-0000-0000594D0000}"/>
    <cellStyle name="Millares 9 10 3 3" xfId="21301" xr:uid="{00000000-0005-0000-0000-00005A4D0000}"/>
    <cellStyle name="Millares 9 10 4" xfId="11336" xr:uid="{00000000-0005-0000-0000-00005B4D0000}"/>
    <cellStyle name="Millares 9 10 5" xfId="18073" xr:uid="{00000000-0005-0000-0000-00005C4D0000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3" xfId="21743" xr:uid="{00000000-0005-0000-0000-0000604D0000}"/>
    <cellStyle name="Millares 9 11 3" xfId="11828" xr:uid="{00000000-0005-0000-0000-0000614D0000}"/>
    <cellStyle name="Millares 9 11 4" xfId="18515" xr:uid="{00000000-0005-0000-0000-0000624D0000}"/>
    <cellStyle name="Millares 9 12" xfId="6480" xr:uid="{00000000-0005-0000-0000-0000634D0000}"/>
    <cellStyle name="Millares 9 12 2" xfId="13058" xr:uid="{00000000-0005-0000-0000-0000644D0000}"/>
    <cellStyle name="Millares 9 12 3" xfId="19745" xr:uid="{00000000-0005-0000-0000-0000654D0000}"/>
    <cellStyle name="Millares 9 13" xfId="9712" xr:uid="{00000000-0005-0000-0000-0000664D0000}"/>
    <cellStyle name="Millares 9 14" xfId="16453" xr:uid="{00000000-0005-0000-0000-0000674D0000}"/>
    <cellStyle name="Millares 9 15" xfId="16517" xr:uid="{00000000-0005-0000-0000-0000684D0000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3" xfId="21765" xr:uid="{00000000-0005-0000-0000-00006D4D0000}"/>
    <cellStyle name="Millares 9 2 10 3" xfId="11850" xr:uid="{00000000-0005-0000-0000-00006E4D0000}"/>
    <cellStyle name="Millares 9 2 10 4" xfId="18537" xr:uid="{00000000-0005-0000-0000-00006F4D0000}"/>
    <cellStyle name="Millares 9 2 11" xfId="6490" xr:uid="{00000000-0005-0000-0000-0000704D0000}"/>
    <cellStyle name="Millares 9 2 11 2" xfId="13068" xr:uid="{00000000-0005-0000-0000-0000714D0000}"/>
    <cellStyle name="Millares 9 2 11 3" xfId="19755" xr:uid="{00000000-0005-0000-0000-0000724D0000}"/>
    <cellStyle name="Millares 9 2 12" xfId="9723" xr:uid="{00000000-0005-0000-0000-0000734D0000}"/>
    <cellStyle name="Millares 9 2 13" xfId="16468" xr:uid="{00000000-0005-0000-0000-0000744D0000}"/>
    <cellStyle name="Millares 9 2 14" xfId="16527" xr:uid="{00000000-0005-0000-0000-0000754D0000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3" xfId="19778" xr:uid="{00000000-0005-0000-0000-0000794D0000}"/>
    <cellStyle name="Millares 9 2 2 11" xfId="9748" xr:uid="{00000000-0005-0000-0000-00007A4D0000}"/>
    <cellStyle name="Millares 9 2 2 12" xfId="16486" xr:uid="{00000000-0005-0000-0000-00007B4D0000}"/>
    <cellStyle name="Millares 9 2 2 13" xfId="16550" xr:uid="{00000000-0005-0000-0000-00007C4D0000}"/>
    <cellStyle name="Millares 9 2 2 2" xfId="391" xr:uid="{00000000-0005-0000-0000-00007D4D0000}"/>
    <cellStyle name="Millares 9 2 2 2 10" xfId="9796" xr:uid="{00000000-0005-0000-0000-00007E4D0000}"/>
    <cellStyle name="Millares 9 2 2 2 11" xfId="16596" xr:uid="{00000000-0005-0000-0000-00007F4D0000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3" xfId="21714" xr:uid="{00000000-0005-0000-0000-0000864D0000}"/>
    <cellStyle name="Millares 9 2 2 2 2 2 2 2 3" xfId="11799" xr:uid="{00000000-0005-0000-0000-0000874D0000}"/>
    <cellStyle name="Millares 9 2 2 2 2 2 2 2 4" xfId="18486" xr:uid="{00000000-0005-0000-0000-0000884D0000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3" xfId="22945" xr:uid="{00000000-0005-0000-0000-00008C4D0000}"/>
    <cellStyle name="Millares 9 2 2 2 2 2 2 3 3" xfId="13030" xr:uid="{00000000-0005-0000-0000-00008D4D0000}"/>
    <cellStyle name="Millares 9 2 2 2 2 2 2 3 4" xfId="19717" xr:uid="{00000000-0005-0000-0000-00008E4D0000}"/>
    <cellStyle name="Millares 9 2 2 2 2 2 2 4" xfId="7232" xr:uid="{00000000-0005-0000-0000-00008F4D0000}"/>
    <cellStyle name="Millares 9 2 2 2 2 2 2 4 2" xfId="13810" xr:uid="{00000000-0005-0000-0000-0000904D0000}"/>
    <cellStyle name="Millares 9 2 2 2 2 2 2 4 3" xfId="20497" xr:uid="{00000000-0005-0000-0000-0000914D0000}"/>
    <cellStyle name="Millares 9 2 2 2 2 2 2 5" xfId="10493" xr:uid="{00000000-0005-0000-0000-0000924D0000}"/>
    <cellStyle name="Millares 9 2 2 2 2 2 2 6" xfId="17269" xr:uid="{00000000-0005-0000-0000-0000934D0000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3" xfId="21104" xr:uid="{00000000-0005-0000-0000-0000974D0000}"/>
    <cellStyle name="Millares 9 2 2 2 2 2 3 3" xfId="11121" xr:uid="{00000000-0005-0000-0000-0000984D0000}"/>
    <cellStyle name="Millares 9 2 2 2 2 2 3 4" xfId="17876" xr:uid="{00000000-0005-0000-0000-0000994D0000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3" xfId="22335" xr:uid="{00000000-0005-0000-0000-00009D4D0000}"/>
    <cellStyle name="Millares 9 2 2 2 2 2 4 3" xfId="12420" xr:uid="{00000000-0005-0000-0000-00009E4D0000}"/>
    <cellStyle name="Millares 9 2 2 2 2 2 4 4" xfId="19107" xr:uid="{00000000-0005-0000-0000-00009F4D0000}"/>
    <cellStyle name="Millares 9 2 2 2 2 2 5" xfId="6844" xr:uid="{00000000-0005-0000-0000-0000A04D0000}"/>
    <cellStyle name="Millares 9 2 2 2 2 2 5 2" xfId="13422" xr:uid="{00000000-0005-0000-0000-0000A14D0000}"/>
    <cellStyle name="Millares 9 2 2 2 2 2 5 3" xfId="20109" xr:uid="{00000000-0005-0000-0000-0000A24D0000}"/>
    <cellStyle name="Millares 9 2 2 2 2 2 6" xfId="10104" xr:uid="{00000000-0005-0000-0000-0000A34D0000}"/>
    <cellStyle name="Millares 9 2 2 2 2 2 7" xfId="16881" xr:uid="{00000000-0005-0000-0000-0000A44D0000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3" xfId="21470" xr:uid="{00000000-0005-0000-0000-0000A94D0000}"/>
    <cellStyle name="Millares 9 2 2 2 2 3 2 3" xfId="11534" xr:uid="{00000000-0005-0000-0000-0000AA4D0000}"/>
    <cellStyle name="Millares 9 2 2 2 2 3 2 4" xfId="18242" xr:uid="{00000000-0005-0000-0000-0000AB4D0000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3" xfId="22701" xr:uid="{00000000-0005-0000-0000-0000AF4D0000}"/>
    <cellStyle name="Millares 9 2 2 2 2 3 3 3" xfId="12786" xr:uid="{00000000-0005-0000-0000-0000B04D0000}"/>
    <cellStyle name="Millares 9 2 2 2 2 3 3 4" xfId="19473" xr:uid="{00000000-0005-0000-0000-0000B14D0000}"/>
    <cellStyle name="Millares 9 2 2 2 2 3 4" xfId="7039" xr:uid="{00000000-0005-0000-0000-0000B24D0000}"/>
    <cellStyle name="Millares 9 2 2 2 2 3 4 2" xfId="13617" xr:uid="{00000000-0005-0000-0000-0000B34D0000}"/>
    <cellStyle name="Millares 9 2 2 2 2 3 4 3" xfId="20304" xr:uid="{00000000-0005-0000-0000-0000B44D0000}"/>
    <cellStyle name="Millares 9 2 2 2 2 3 5" xfId="10300" xr:uid="{00000000-0005-0000-0000-0000B54D0000}"/>
    <cellStyle name="Millares 9 2 2 2 2 3 6" xfId="17076" xr:uid="{00000000-0005-0000-0000-0000B64D0000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3" xfId="20708" xr:uid="{00000000-0005-0000-0000-0000BA4D0000}"/>
    <cellStyle name="Millares 9 2 2 2 2 4 3" xfId="10705" xr:uid="{00000000-0005-0000-0000-0000BB4D0000}"/>
    <cellStyle name="Millares 9 2 2 2 2 4 4" xfId="17480" xr:uid="{00000000-0005-0000-0000-0000BC4D0000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3" xfId="21939" xr:uid="{00000000-0005-0000-0000-0000C04D0000}"/>
    <cellStyle name="Millares 9 2 2 2 2 5 3" xfId="12024" xr:uid="{00000000-0005-0000-0000-0000C14D0000}"/>
    <cellStyle name="Millares 9 2 2 2 2 5 4" xfId="18711" xr:uid="{00000000-0005-0000-0000-0000C24D0000}"/>
    <cellStyle name="Millares 9 2 2 2 2 6" xfId="6651" xr:uid="{00000000-0005-0000-0000-0000C34D0000}"/>
    <cellStyle name="Millares 9 2 2 2 2 6 2" xfId="13229" xr:uid="{00000000-0005-0000-0000-0000C44D0000}"/>
    <cellStyle name="Millares 9 2 2 2 2 6 3" xfId="19916" xr:uid="{00000000-0005-0000-0000-0000C54D0000}"/>
    <cellStyle name="Millares 9 2 2 2 2 7" xfId="9897" xr:uid="{00000000-0005-0000-0000-0000C64D0000}"/>
    <cellStyle name="Millares 9 2 2 2 2 8" xfId="16688" xr:uid="{00000000-0005-0000-0000-0000C74D0000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3" xfId="21196" xr:uid="{00000000-0005-0000-0000-0000CD4D0000}"/>
    <cellStyle name="Millares 9 2 2 2 3 2 2 3" xfId="11218" xr:uid="{00000000-0005-0000-0000-0000CE4D0000}"/>
    <cellStyle name="Millares 9 2 2 2 3 2 2 4" xfId="17968" xr:uid="{00000000-0005-0000-0000-0000CF4D0000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3" xfId="22427" xr:uid="{00000000-0005-0000-0000-0000D34D0000}"/>
    <cellStyle name="Millares 9 2 2 2 3 2 3 3" xfId="12512" xr:uid="{00000000-0005-0000-0000-0000D44D0000}"/>
    <cellStyle name="Millares 9 2 2 2 3 2 3 4" xfId="19199" xr:uid="{00000000-0005-0000-0000-0000D54D0000}"/>
    <cellStyle name="Millares 9 2 2 2 3 2 4" xfId="7140" xr:uid="{00000000-0005-0000-0000-0000D64D0000}"/>
    <cellStyle name="Millares 9 2 2 2 3 2 4 2" xfId="13718" xr:uid="{00000000-0005-0000-0000-0000D74D0000}"/>
    <cellStyle name="Millares 9 2 2 2 3 2 4 3" xfId="20405" xr:uid="{00000000-0005-0000-0000-0000D84D0000}"/>
    <cellStyle name="Millares 9 2 2 2 3 2 5" xfId="10401" xr:uid="{00000000-0005-0000-0000-0000D94D0000}"/>
    <cellStyle name="Millares 9 2 2 2 3 2 6" xfId="17177" xr:uid="{00000000-0005-0000-0000-0000DA4D0000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3" xfId="22853" xr:uid="{00000000-0005-0000-0000-0000DF4D0000}"/>
    <cellStyle name="Millares 9 2 2 2 3 3 2 3" xfId="12938" xr:uid="{00000000-0005-0000-0000-0000E04D0000}"/>
    <cellStyle name="Millares 9 2 2 2 3 3 2 4" xfId="19625" xr:uid="{00000000-0005-0000-0000-0000E14D0000}"/>
    <cellStyle name="Millares 9 2 2 2 3 3 3" xfId="8357" xr:uid="{00000000-0005-0000-0000-0000E24D0000}"/>
    <cellStyle name="Millares 9 2 2 2 3 3 3 2" xfId="14935" xr:uid="{00000000-0005-0000-0000-0000E34D0000}"/>
    <cellStyle name="Millares 9 2 2 2 3 3 3 3" xfId="21622" xr:uid="{00000000-0005-0000-0000-0000E44D0000}"/>
    <cellStyle name="Millares 9 2 2 2 3 3 4" xfId="11698" xr:uid="{00000000-0005-0000-0000-0000E54D0000}"/>
    <cellStyle name="Millares 9 2 2 2 3 3 5" xfId="18394" xr:uid="{00000000-0005-0000-0000-0000E64D0000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3" xfId="20800" xr:uid="{00000000-0005-0000-0000-0000EA4D0000}"/>
    <cellStyle name="Millares 9 2 2 2 3 4 3" xfId="10797" xr:uid="{00000000-0005-0000-0000-0000EB4D0000}"/>
    <cellStyle name="Millares 9 2 2 2 3 4 4" xfId="17572" xr:uid="{00000000-0005-0000-0000-0000EC4D0000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3" xfId="22031" xr:uid="{00000000-0005-0000-0000-0000F04D0000}"/>
    <cellStyle name="Millares 9 2 2 2 3 5 3" xfId="12116" xr:uid="{00000000-0005-0000-0000-0000F14D0000}"/>
    <cellStyle name="Millares 9 2 2 2 3 5 4" xfId="18803" xr:uid="{00000000-0005-0000-0000-0000F24D0000}"/>
    <cellStyle name="Millares 9 2 2 2 3 6" xfId="6752" xr:uid="{00000000-0005-0000-0000-0000F34D0000}"/>
    <cellStyle name="Millares 9 2 2 2 3 6 2" xfId="13330" xr:uid="{00000000-0005-0000-0000-0000F44D0000}"/>
    <cellStyle name="Millares 9 2 2 2 3 6 3" xfId="20017" xr:uid="{00000000-0005-0000-0000-0000F54D0000}"/>
    <cellStyle name="Millares 9 2 2 2 3 7" xfId="10004" xr:uid="{00000000-0005-0000-0000-0000F64D0000}"/>
    <cellStyle name="Millares 9 2 2 2 3 8" xfId="16789" xr:uid="{00000000-0005-0000-0000-0000F74D0000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3" xfId="22517" xr:uid="{00000000-0005-0000-0000-0000FD4D0000}"/>
    <cellStyle name="Millares 9 2 2 2 4 2 2 3" xfId="12602" xr:uid="{00000000-0005-0000-0000-0000FE4D0000}"/>
    <cellStyle name="Millares 9 2 2 2 4 2 2 4" xfId="19289" xr:uid="{00000000-0005-0000-0000-0000FF4D0000}"/>
    <cellStyle name="Millares 9 2 2 2 4 2 3" xfId="8021" xr:uid="{00000000-0005-0000-0000-0000004E0000}"/>
    <cellStyle name="Millares 9 2 2 2 4 2 3 2" xfId="14599" xr:uid="{00000000-0005-0000-0000-0000014E0000}"/>
    <cellStyle name="Millares 9 2 2 2 4 2 3 3" xfId="21286" xr:uid="{00000000-0005-0000-0000-0000024E0000}"/>
    <cellStyle name="Millares 9 2 2 2 4 2 4" xfId="11320" xr:uid="{00000000-0005-0000-0000-0000034E0000}"/>
    <cellStyle name="Millares 9 2 2 2 4 2 5" xfId="18058" xr:uid="{00000000-0005-0000-0000-0000044E0000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3" xfId="20890" xr:uid="{00000000-0005-0000-0000-0000084E0000}"/>
    <cellStyle name="Millares 9 2 2 2 4 3 3" xfId="10895" xr:uid="{00000000-0005-0000-0000-0000094E0000}"/>
    <cellStyle name="Millares 9 2 2 2 4 3 4" xfId="17662" xr:uid="{00000000-0005-0000-0000-00000A4E0000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3" xfId="22121" xr:uid="{00000000-0005-0000-0000-00000E4E0000}"/>
    <cellStyle name="Millares 9 2 2 2 4 4 3" xfId="12206" xr:uid="{00000000-0005-0000-0000-00000F4E0000}"/>
    <cellStyle name="Millares 9 2 2 2 4 4 4" xfId="18893" xr:uid="{00000000-0005-0000-0000-0000104E0000}"/>
    <cellStyle name="Millares 9 2 2 2 4 5" xfId="6947" xr:uid="{00000000-0005-0000-0000-0000114E0000}"/>
    <cellStyle name="Millares 9 2 2 2 4 5 2" xfId="13525" xr:uid="{00000000-0005-0000-0000-0000124E0000}"/>
    <cellStyle name="Millares 9 2 2 2 4 5 3" xfId="20212" xr:uid="{00000000-0005-0000-0000-0000134E0000}"/>
    <cellStyle name="Millares 9 2 2 2 4 6" xfId="10208" xr:uid="{00000000-0005-0000-0000-0000144E0000}"/>
    <cellStyle name="Millares 9 2 2 2 4 7" xfId="16984" xr:uid="{00000000-0005-0000-0000-0000154E0000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3" xfId="22229" xr:uid="{00000000-0005-0000-0000-00001A4E0000}"/>
    <cellStyle name="Millares 9 2 2 2 5 2 3" xfId="12314" xr:uid="{00000000-0005-0000-0000-00001B4E0000}"/>
    <cellStyle name="Millares 9 2 2 2 5 2 4" xfId="19001" xr:uid="{00000000-0005-0000-0000-00001C4E0000}"/>
    <cellStyle name="Millares 9 2 2 2 5 3" xfId="7733" xr:uid="{00000000-0005-0000-0000-00001D4E0000}"/>
    <cellStyle name="Millares 9 2 2 2 5 3 2" xfId="14311" xr:uid="{00000000-0005-0000-0000-00001E4E0000}"/>
    <cellStyle name="Millares 9 2 2 2 5 3 3" xfId="20998" xr:uid="{00000000-0005-0000-0000-00001F4E0000}"/>
    <cellStyle name="Millares 9 2 2 2 5 4" xfId="11014" xr:uid="{00000000-0005-0000-0000-0000204E0000}"/>
    <cellStyle name="Millares 9 2 2 2 5 5" xfId="17770" xr:uid="{00000000-0005-0000-0000-0000214E0000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3" xfId="22609" xr:uid="{00000000-0005-0000-0000-0000264E0000}"/>
    <cellStyle name="Millares 9 2 2 2 6 2 3" xfId="12694" xr:uid="{00000000-0005-0000-0000-0000274E0000}"/>
    <cellStyle name="Millares 9 2 2 2 6 2 4" xfId="19381" xr:uid="{00000000-0005-0000-0000-0000284E0000}"/>
    <cellStyle name="Millares 9 2 2 2 6 3" xfId="8113" xr:uid="{00000000-0005-0000-0000-0000294E0000}"/>
    <cellStyle name="Millares 9 2 2 2 6 3 2" xfId="14691" xr:uid="{00000000-0005-0000-0000-00002A4E0000}"/>
    <cellStyle name="Millares 9 2 2 2 6 3 3" xfId="21378" xr:uid="{00000000-0005-0000-0000-00002B4E0000}"/>
    <cellStyle name="Millares 9 2 2 2 6 4" xfId="11424" xr:uid="{00000000-0005-0000-0000-00002C4E0000}"/>
    <cellStyle name="Millares 9 2 2 2 6 5" xfId="18150" xr:uid="{00000000-0005-0000-0000-00002D4E0000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3" xfId="20602" xr:uid="{00000000-0005-0000-0000-0000314E0000}"/>
    <cellStyle name="Millares 9 2 2 2 7 3" xfId="10599" xr:uid="{00000000-0005-0000-0000-0000324E0000}"/>
    <cellStyle name="Millares 9 2 2 2 7 4" xfId="17374" xr:uid="{00000000-0005-0000-0000-0000334E0000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3" xfId="21833" xr:uid="{00000000-0005-0000-0000-0000374E0000}"/>
    <cellStyle name="Millares 9 2 2 2 8 3" xfId="11918" xr:uid="{00000000-0005-0000-0000-0000384E0000}"/>
    <cellStyle name="Millares 9 2 2 2 8 4" xfId="18605" xr:uid="{00000000-0005-0000-0000-0000394E0000}"/>
    <cellStyle name="Millares 9 2 2 2 9" xfId="6559" xr:uid="{00000000-0005-0000-0000-00003A4E0000}"/>
    <cellStyle name="Millares 9 2 2 2 9 2" xfId="13137" xr:uid="{00000000-0005-0000-0000-00003B4E0000}"/>
    <cellStyle name="Millares 9 2 2 2 9 3" xfId="19824" xr:uid="{00000000-0005-0000-0000-00003C4E0000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3" xfId="21669" xr:uid="{00000000-0005-0000-0000-0000434E0000}"/>
    <cellStyle name="Millares 9 2 2 3 2 2 2 3" xfId="11749" xr:uid="{00000000-0005-0000-0000-0000444E0000}"/>
    <cellStyle name="Millares 9 2 2 3 2 2 2 4" xfId="18441" xr:uid="{00000000-0005-0000-0000-0000454E0000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3" xfId="22900" xr:uid="{00000000-0005-0000-0000-0000494E0000}"/>
    <cellStyle name="Millares 9 2 2 3 2 2 3 3" xfId="12985" xr:uid="{00000000-0005-0000-0000-00004A4E0000}"/>
    <cellStyle name="Millares 9 2 2 3 2 2 3 4" xfId="19672" xr:uid="{00000000-0005-0000-0000-00004B4E0000}"/>
    <cellStyle name="Millares 9 2 2 3 2 2 4" xfId="7187" xr:uid="{00000000-0005-0000-0000-00004C4E0000}"/>
    <cellStyle name="Millares 9 2 2 3 2 2 4 2" xfId="13765" xr:uid="{00000000-0005-0000-0000-00004D4E0000}"/>
    <cellStyle name="Millares 9 2 2 3 2 2 4 3" xfId="20452" xr:uid="{00000000-0005-0000-0000-00004E4E0000}"/>
    <cellStyle name="Millares 9 2 2 3 2 2 5" xfId="10448" xr:uid="{00000000-0005-0000-0000-00004F4E0000}"/>
    <cellStyle name="Millares 9 2 2 3 2 2 6" xfId="17224" xr:uid="{00000000-0005-0000-0000-0000504E0000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3" xfId="21059" xr:uid="{00000000-0005-0000-0000-0000544E0000}"/>
    <cellStyle name="Millares 9 2 2 3 2 3 3" xfId="11075" xr:uid="{00000000-0005-0000-0000-0000554E0000}"/>
    <cellStyle name="Millares 9 2 2 3 2 3 4" xfId="17831" xr:uid="{00000000-0005-0000-0000-0000564E0000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3" xfId="22290" xr:uid="{00000000-0005-0000-0000-00005A4E0000}"/>
    <cellStyle name="Millares 9 2 2 3 2 4 3" xfId="12375" xr:uid="{00000000-0005-0000-0000-00005B4E0000}"/>
    <cellStyle name="Millares 9 2 2 3 2 4 4" xfId="19062" xr:uid="{00000000-0005-0000-0000-00005C4E0000}"/>
    <cellStyle name="Millares 9 2 2 3 2 5" xfId="6799" xr:uid="{00000000-0005-0000-0000-00005D4E0000}"/>
    <cellStyle name="Millares 9 2 2 3 2 5 2" xfId="13377" xr:uid="{00000000-0005-0000-0000-00005E4E0000}"/>
    <cellStyle name="Millares 9 2 2 3 2 5 3" xfId="20064" xr:uid="{00000000-0005-0000-0000-00005F4E0000}"/>
    <cellStyle name="Millares 9 2 2 3 2 6" xfId="10055" xr:uid="{00000000-0005-0000-0000-0000604E0000}"/>
    <cellStyle name="Millares 9 2 2 3 2 7" xfId="16836" xr:uid="{00000000-0005-0000-0000-0000614E0000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3" xfId="21425" xr:uid="{00000000-0005-0000-0000-0000664E0000}"/>
    <cellStyle name="Millares 9 2 2 3 3 2 3" xfId="11479" xr:uid="{00000000-0005-0000-0000-0000674E0000}"/>
    <cellStyle name="Millares 9 2 2 3 3 2 4" xfId="18197" xr:uid="{00000000-0005-0000-0000-0000684E0000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3" xfId="22656" xr:uid="{00000000-0005-0000-0000-00006C4E0000}"/>
    <cellStyle name="Millares 9 2 2 3 3 3 3" xfId="12741" xr:uid="{00000000-0005-0000-0000-00006D4E0000}"/>
    <cellStyle name="Millares 9 2 2 3 3 3 4" xfId="19428" xr:uid="{00000000-0005-0000-0000-00006E4E0000}"/>
    <cellStyle name="Millares 9 2 2 3 3 4" xfId="6994" xr:uid="{00000000-0005-0000-0000-00006F4E0000}"/>
    <cellStyle name="Millares 9 2 2 3 3 4 2" xfId="13572" xr:uid="{00000000-0005-0000-0000-0000704E0000}"/>
    <cellStyle name="Millares 9 2 2 3 3 4 3" xfId="20259" xr:uid="{00000000-0005-0000-0000-0000714E0000}"/>
    <cellStyle name="Millares 9 2 2 3 3 5" xfId="10255" xr:uid="{00000000-0005-0000-0000-0000724E0000}"/>
    <cellStyle name="Millares 9 2 2 3 3 6" xfId="17031" xr:uid="{00000000-0005-0000-0000-0000734E0000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3" xfId="20663" xr:uid="{00000000-0005-0000-0000-0000774E0000}"/>
    <cellStyle name="Millares 9 2 2 3 4 3" xfId="10660" xr:uid="{00000000-0005-0000-0000-0000784E0000}"/>
    <cellStyle name="Millares 9 2 2 3 4 4" xfId="17435" xr:uid="{00000000-0005-0000-0000-0000794E0000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3" xfId="21894" xr:uid="{00000000-0005-0000-0000-00007D4E0000}"/>
    <cellStyle name="Millares 9 2 2 3 5 3" xfId="11979" xr:uid="{00000000-0005-0000-0000-00007E4E0000}"/>
    <cellStyle name="Millares 9 2 2 3 5 4" xfId="18666" xr:uid="{00000000-0005-0000-0000-00007F4E0000}"/>
    <cellStyle name="Millares 9 2 2 3 6" xfId="6606" xr:uid="{00000000-0005-0000-0000-0000804E0000}"/>
    <cellStyle name="Millares 9 2 2 3 6 2" xfId="13184" xr:uid="{00000000-0005-0000-0000-0000814E0000}"/>
    <cellStyle name="Millares 9 2 2 3 6 3" xfId="19871" xr:uid="{00000000-0005-0000-0000-0000824E0000}"/>
    <cellStyle name="Millares 9 2 2 3 7" xfId="9846" xr:uid="{00000000-0005-0000-0000-0000834E0000}"/>
    <cellStyle name="Millares 9 2 2 3 8" xfId="16643" xr:uid="{00000000-0005-0000-0000-0000844E0000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3" xfId="21195" xr:uid="{00000000-0005-0000-0000-00008A4E0000}"/>
    <cellStyle name="Millares 9 2 2 4 2 2 3" xfId="11217" xr:uid="{00000000-0005-0000-0000-00008B4E0000}"/>
    <cellStyle name="Millares 9 2 2 4 2 2 4" xfId="17967" xr:uid="{00000000-0005-0000-0000-00008C4E00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3" xfId="22426" xr:uid="{00000000-0005-0000-0000-0000904E0000}"/>
    <cellStyle name="Millares 9 2 2 4 2 3 3" xfId="12511" xr:uid="{00000000-0005-0000-0000-0000914E0000}"/>
    <cellStyle name="Millares 9 2 2 4 2 3 4" xfId="19198" xr:uid="{00000000-0005-0000-0000-0000924E0000}"/>
    <cellStyle name="Millares 9 2 2 4 2 4" xfId="7094" xr:uid="{00000000-0005-0000-0000-0000934E0000}"/>
    <cellStyle name="Millares 9 2 2 4 2 4 2" xfId="13672" xr:uid="{00000000-0005-0000-0000-0000944E0000}"/>
    <cellStyle name="Millares 9 2 2 4 2 4 3" xfId="20359" xr:uid="{00000000-0005-0000-0000-0000954E0000}"/>
    <cellStyle name="Millares 9 2 2 4 2 5" xfId="10355" xr:uid="{00000000-0005-0000-0000-0000964E0000}"/>
    <cellStyle name="Millares 9 2 2 4 2 6" xfId="17131" xr:uid="{00000000-0005-0000-0000-0000974E0000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3" xfId="22807" xr:uid="{00000000-0005-0000-0000-00009C4E0000}"/>
    <cellStyle name="Millares 9 2 2 4 3 2 3" xfId="12892" xr:uid="{00000000-0005-0000-0000-00009D4E0000}"/>
    <cellStyle name="Millares 9 2 2 4 3 2 4" xfId="19579" xr:uid="{00000000-0005-0000-0000-00009E4E0000}"/>
    <cellStyle name="Millares 9 2 2 4 3 3" xfId="8311" xr:uid="{00000000-0005-0000-0000-00009F4E0000}"/>
    <cellStyle name="Millares 9 2 2 4 3 3 2" xfId="14889" xr:uid="{00000000-0005-0000-0000-0000A04E0000}"/>
    <cellStyle name="Millares 9 2 2 4 3 3 3" xfId="21576" xr:uid="{00000000-0005-0000-0000-0000A14E0000}"/>
    <cellStyle name="Millares 9 2 2 4 3 4" xfId="11645" xr:uid="{00000000-0005-0000-0000-0000A24E0000}"/>
    <cellStyle name="Millares 9 2 2 4 3 5" xfId="18348" xr:uid="{00000000-0005-0000-0000-0000A34E0000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3" xfId="20799" xr:uid="{00000000-0005-0000-0000-0000A74E0000}"/>
    <cellStyle name="Millares 9 2 2 4 4 3" xfId="10796" xr:uid="{00000000-0005-0000-0000-0000A84E0000}"/>
    <cellStyle name="Millares 9 2 2 4 4 4" xfId="17571" xr:uid="{00000000-0005-0000-0000-0000A94E0000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3" xfId="22030" xr:uid="{00000000-0005-0000-0000-0000AD4E0000}"/>
    <cellStyle name="Millares 9 2 2 4 5 3" xfId="12115" xr:uid="{00000000-0005-0000-0000-0000AE4E0000}"/>
    <cellStyle name="Millares 9 2 2 4 5 4" xfId="18802" xr:uid="{00000000-0005-0000-0000-0000AF4E0000}"/>
    <cellStyle name="Millares 9 2 2 4 6" xfId="6706" xr:uid="{00000000-0005-0000-0000-0000B04E0000}"/>
    <cellStyle name="Millares 9 2 2 4 6 2" xfId="13284" xr:uid="{00000000-0005-0000-0000-0000B14E0000}"/>
    <cellStyle name="Millares 9 2 2 4 6 3" xfId="19971" xr:uid="{00000000-0005-0000-0000-0000B24E0000}"/>
    <cellStyle name="Millares 9 2 2 4 7" xfId="9954" xr:uid="{00000000-0005-0000-0000-0000B34E0000}"/>
    <cellStyle name="Millares 9 2 2 4 8" xfId="16743" xr:uid="{00000000-0005-0000-0000-0000B44E0000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3" xfId="22472" xr:uid="{00000000-0005-0000-0000-0000BA4E0000}"/>
    <cellStyle name="Millares 9 2 2 5 2 2 3" xfId="12557" xr:uid="{00000000-0005-0000-0000-0000BB4E0000}"/>
    <cellStyle name="Millares 9 2 2 5 2 2 4" xfId="19244" xr:uid="{00000000-0005-0000-0000-0000BC4E0000}"/>
    <cellStyle name="Millares 9 2 2 5 2 3" xfId="7976" xr:uid="{00000000-0005-0000-0000-0000BD4E0000}"/>
    <cellStyle name="Millares 9 2 2 5 2 3 2" xfId="14554" xr:uid="{00000000-0005-0000-0000-0000BE4E0000}"/>
    <cellStyle name="Millares 9 2 2 5 2 3 3" xfId="21241" xr:uid="{00000000-0005-0000-0000-0000BF4E0000}"/>
    <cellStyle name="Millares 9 2 2 5 2 4" xfId="11272" xr:uid="{00000000-0005-0000-0000-0000C04E0000}"/>
    <cellStyle name="Millares 9 2 2 5 2 5" xfId="18013" xr:uid="{00000000-0005-0000-0000-0000C14E0000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3" xfId="20845" xr:uid="{00000000-0005-0000-0000-0000C54E0000}"/>
    <cellStyle name="Millares 9 2 2 5 3 3" xfId="10843" xr:uid="{00000000-0005-0000-0000-0000C64E0000}"/>
    <cellStyle name="Millares 9 2 2 5 3 4" xfId="17617" xr:uid="{00000000-0005-0000-0000-0000C74E0000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3" xfId="22076" xr:uid="{00000000-0005-0000-0000-0000CB4E0000}"/>
    <cellStyle name="Millares 9 2 2 5 4 3" xfId="12161" xr:uid="{00000000-0005-0000-0000-0000CC4E0000}"/>
    <cellStyle name="Millares 9 2 2 5 4 4" xfId="18848" xr:uid="{00000000-0005-0000-0000-0000CD4E0000}"/>
    <cellStyle name="Millares 9 2 2 5 5" xfId="6901" xr:uid="{00000000-0005-0000-0000-0000CE4E0000}"/>
    <cellStyle name="Millares 9 2 2 5 5 2" xfId="13479" xr:uid="{00000000-0005-0000-0000-0000CF4E0000}"/>
    <cellStyle name="Millares 9 2 2 5 5 3" xfId="20166" xr:uid="{00000000-0005-0000-0000-0000D04E0000}"/>
    <cellStyle name="Millares 9 2 2 5 6" xfId="10162" xr:uid="{00000000-0005-0000-0000-0000D14E0000}"/>
    <cellStyle name="Millares 9 2 2 5 7" xfId="16938" xr:uid="{00000000-0005-0000-0000-0000D24E0000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3" xfId="22184" xr:uid="{00000000-0005-0000-0000-0000D74E0000}"/>
    <cellStyle name="Millares 9 2 2 6 2 3" xfId="12269" xr:uid="{00000000-0005-0000-0000-0000D84E0000}"/>
    <cellStyle name="Millares 9 2 2 6 2 4" xfId="18956" xr:uid="{00000000-0005-0000-0000-0000D94E0000}"/>
    <cellStyle name="Millares 9 2 2 6 3" xfId="7688" xr:uid="{00000000-0005-0000-0000-0000DA4E0000}"/>
    <cellStyle name="Millares 9 2 2 6 3 2" xfId="14266" xr:uid="{00000000-0005-0000-0000-0000DB4E0000}"/>
    <cellStyle name="Millares 9 2 2 6 3 3" xfId="20953" xr:uid="{00000000-0005-0000-0000-0000DC4E0000}"/>
    <cellStyle name="Millares 9 2 2 6 4" xfId="10961" xr:uid="{00000000-0005-0000-0000-0000DD4E0000}"/>
    <cellStyle name="Millares 9 2 2 6 5" xfId="17725" xr:uid="{00000000-0005-0000-0000-0000DE4E0000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3" xfId="22564" xr:uid="{00000000-0005-0000-0000-0000E34E0000}"/>
    <cellStyle name="Millares 9 2 2 7 2 3" xfId="12649" xr:uid="{00000000-0005-0000-0000-0000E44E0000}"/>
    <cellStyle name="Millares 9 2 2 7 2 4" xfId="19336" xr:uid="{00000000-0005-0000-0000-0000E54E0000}"/>
    <cellStyle name="Millares 9 2 2 7 3" xfId="8068" xr:uid="{00000000-0005-0000-0000-0000E64E0000}"/>
    <cellStyle name="Millares 9 2 2 7 3 2" xfId="14646" xr:uid="{00000000-0005-0000-0000-0000E74E0000}"/>
    <cellStyle name="Millares 9 2 2 7 3 3" xfId="21333" xr:uid="{00000000-0005-0000-0000-0000E84E0000}"/>
    <cellStyle name="Millares 9 2 2 7 4" xfId="11370" xr:uid="{00000000-0005-0000-0000-0000E94E0000}"/>
    <cellStyle name="Millares 9 2 2 7 5" xfId="18105" xr:uid="{00000000-0005-0000-0000-0000EA4E0000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3" xfId="20557" xr:uid="{00000000-0005-0000-0000-0000EE4E0000}"/>
    <cellStyle name="Millares 9 2 2 8 3" xfId="10554" xr:uid="{00000000-0005-0000-0000-0000EF4E0000}"/>
    <cellStyle name="Millares 9 2 2 8 4" xfId="17329" xr:uid="{00000000-0005-0000-0000-0000F04E0000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3" xfId="21788" xr:uid="{00000000-0005-0000-0000-0000F44E0000}"/>
    <cellStyle name="Millares 9 2 2 9 3" xfId="11873" xr:uid="{00000000-0005-0000-0000-0000F54E0000}"/>
    <cellStyle name="Millares 9 2 2 9 4" xfId="18560" xr:uid="{00000000-0005-0000-0000-0000F64E0000}"/>
    <cellStyle name="Millares 9 2 3" xfId="305" xr:uid="{00000000-0005-0000-0000-0000F74E0000}"/>
    <cellStyle name="Millares 9 2 3 10" xfId="9773" xr:uid="{00000000-0005-0000-0000-0000F84E0000}"/>
    <cellStyle name="Millares 9 2 3 11" xfId="16574" xr:uid="{00000000-0005-0000-0000-0000F94E0000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3" xfId="21692" xr:uid="{00000000-0005-0000-0000-0000004F0000}"/>
    <cellStyle name="Millares 9 2 3 2 2 2 2 3" xfId="11775" xr:uid="{00000000-0005-0000-0000-0000014F0000}"/>
    <cellStyle name="Millares 9 2 3 2 2 2 2 4" xfId="18464" xr:uid="{00000000-0005-0000-0000-0000024F0000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3" xfId="22923" xr:uid="{00000000-0005-0000-0000-0000064F0000}"/>
    <cellStyle name="Millares 9 2 3 2 2 2 3 3" xfId="13008" xr:uid="{00000000-0005-0000-0000-0000074F0000}"/>
    <cellStyle name="Millares 9 2 3 2 2 2 3 4" xfId="19695" xr:uid="{00000000-0005-0000-0000-0000084F0000}"/>
    <cellStyle name="Millares 9 2 3 2 2 2 4" xfId="7210" xr:uid="{00000000-0005-0000-0000-0000094F0000}"/>
    <cellStyle name="Millares 9 2 3 2 2 2 4 2" xfId="13788" xr:uid="{00000000-0005-0000-0000-00000A4F0000}"/>
    <cellStyle name="Millares 9 2 3 2 2 2 4 3" xfId="20475" xr:uid="{00000000-0005-0000-0000-00000B4F0000}"/>
    <cellStyle name="Millares 9 2 3 2 2 2 5" xfId="10471" xr:uid="{00000000-0005-0000-0000-00000C4F0000}"/>
    <cellStyle name="Millares 9 2 3 2 2 2 6" xfId="17247" xr:uid="{00000000-0005-0000-0000-00000D4F0000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3" xfId="21082" xr:uid="{00000000-0005-0000-0000-0000114F0000}"/>
    <cellStyle name="Millares 9 2 3 2 2 3 3" xfId="11099" xr:uid="{00000000-0005-0000-0000-0000124F0000}"/>
    <cellStyle name="Millares 9 2 3 2 2 3 4" xfId="17854" xr:uid="{00000000-0005-0000-0000-0000134F0000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3" xfId="22313" xr:uid="{00000000-0005-0000-0000-0000174F0000}"/>
    <cellStyle name="Millares 9 2 3 2 2 4 3" xfId="12398" xr:uid="{00000000-0005-0000-0000-0000184F0000}"/>
    <cellStyle name="Millares 9 2 3 2 2 4 4" xfId="19085" xr:uid="{00000000-0005-0000-0000-0000194F0000}"/>
    <cellStyle name="Millares 9 2 3 2 2 5" xfId="6822" xr:uid="{00000000-0005-0000-0000-00001A4F0000}"/>
    <cellStyle name="Millares 9 2 3 2 2 5 2" xfId="13400" xr:uid="{00000000-0005-0000-0000-00001B4F0000}"/>
    <cellStyle name="Millares 9 2 3 2 2 5 3" xfId="20087" xr:uid="{00000000-0005-0000-0000-00001C4F0000}"/>
    <cellStyle name="Millares 9 2 3 2 2 6" xfId="10080" xr:uid="{00000000-0005-0000-0000-00001D4F0000}"/>
    <cellStyle name="Millares 9 2 3 2 2 7" xfId="16859" xr:uid="{00000000-0005-0000-0000-00001E4F0000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3" xfId="21448" xr:uid="{00000000-0005-0000-0000-0000234F0000}"/>
    <cellStyle name="Millares 9 2 3 2 3 2 3" xfId="11509" xr:uid="{00000000-0005-0000-0000-0000244F0000}"/>
    <cellStyle name="Millares 9 2 3 2 3 2 4" xfId="18220" xr:uid="{00000000-0005-0000-0000-0000254F0000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3" xfId="22679" xr:uid="{00000000-0005-0000-0000-0000294F0000}"/>
    <cellStyle name="Millares 9 2 3 2 3 3 3" xfId="12764" xr:uid="{00000000-0005-0000-0000-00002A4F0000}"/>
    <cellStyle name="Millares 9 2 3 2 3 3 4" xfId="19451" xr:uid="{00000000-0005-0000-0000-00002B4F0000}"/>
    <cellStyle name="Millares 9 2 3 2 3 4" xfId="7017" xr:uid="{00000000-0005-0000-0000-00002C4F0000}"/>
    <cellStyle name="Millares 9 2 3 2 3 4 2" xfId="13595" xr:uid="{00000000-0005-0000-0000-00002D4F0000}"/>
    <cellStyle name="Millares 9 2 3 2 3 4 3" xfId="20282" xr:uid="{00000000-0005-0000-0000-00002E4F0000}"/>
    <cellStyle name="Millares 9 2 3 2 3 5" xfId="10278" xr:uid="{00000000-0005-0000-0000-00002F4F0000}"/>
    <cellStyle name="Millares 9 2 3 2 3 6" xfId="17054" xr:uid="{00000000-0005-0000-0000-0000304F0000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3" xfId="20686" xr:uid="{00000000-0005-0000-0000-0000344F0000}"/>
    <cellStyle name="Millares 9 2 3 2 4 3" xfId="10683" xr:uid="{00000000-0005-0000-0000-0000354F0000}"/>
    <cellStyle name="Millares 9 2 3 2 4 4" xfId="17458" xr:uid="{00000000-0005-0000-0000-0000364F0000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3" xfId="21917" xr:uid="{00000000-0005-0000-0000-00003A4F0000}"/>
    <cellStyle name="Millares 9 2 3 2 5 3" xfId="12002" xr:uid="{00000000-0005-0000-0000-00003B4F0000}"/>
    <cellStyle name="Millares 9 2 3 2 5 4" xfId="18689" xr:uid="{00000000-0005-0000-0000-00003C4F0000}"/>
    <cellStyle name="Millares 9 2 3 2 6" xfId="6629" xr:uid="{00000000-0005-0000-0000-00003D4F0000}"/>
    <cellStyle name="Millares 9 2 3 2 6 2" xfId="13207" xr:uid="{00000000-0005-0000-0000-00003E4F0000}"/>
    <cellStyle name="Millares 9 2 3 2 6 3" xfId="19894" xr:uid="{00000000-0005-0000-0000-00003F4F0000}"/>
    <cellStyle name="Millares 9 2 3 2 7" xfId="9872" xr:uid="{00000000-0005-0000-0000-0000404F0000}"/>
    <cellStyle name="Millares 9 2 3 2 8" xfId="16666" xr:uid="{00000000-0005-0000-0000-0000414F0000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3" xfId="21197" xr:uid="{00000000-0005-0000-0000-0000474F0000}"/>
    <cellStyle name="Millares 9 2 3 3 2 2 3" xfId="11219" xr:uid="{00000000-0005-0000-0000-0000484F0000}"/>
    <cellStyle name="Millares 9 2 3 3 2 2 4" xfId="17969" xr:uid="{00000000-0005-0000-0000-0000494F0000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3" xfId="22428" xr:uid="{00000000-0005-0000-0000-00004D4F0000}"/>
    <cellStyle name="Millares 9 2 3 3 2 3 3" xfId="12513" xr:uid="{00000000-0005-0000-0000-00004E4F0000}"/>
    <cellStyle name="Millares 9 2 3 3 2 3 4" xfId="19200" xr:uid="{00000000-0005-0000-0000-00004F4F0000}"/>
    <cellStyle name="Millares 9 2 3 3 2 4" xfId="7118" xr:uid="{00000000-0005-0000-0000-0000504F0000}"/>
    <cellStyle name="Millares 9 2 3 3 2 4 2" xfId="13696" xr:uid="{00000000-0005-0000-0000-0000514F0000}"/>
    <cellStyle name="Millares 9 2 3 3 2 4 3" xfId="20383" xr:uid="{00000000-0005-0000-0000-0000524F0000}"/>
    <cellStyle name="Millares 9 2 3 3 2 5" xfId="10379" xr:uid="{00000000-0005-0000-0000-0000534F0000}"/>
    <cellStyle name="Millares 9 2 3 3 2 6" xfId="17155" xr:uid="{00000000-0005-0000-0000-0000544F000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3" xfId="22831" xr:uid="{00000000-0005-0000-0000-0000594F0000}"/>
    <cellStyle name="Millares 9 2 3 3 3 2 3" xfId="12916" xr:uid="{00000000-0005-0000-0000-00005A4F0000}"/>
    <cellStyle name="Millares 9 2 3 3 3 2 4" xfId="19603" xr:uid="{00000000-0005-0000-0000-00005B4F0000}"/>
    <cellStyle name="Millares 9 2 3 3 3 3" xfId="8335" xr:uid="{00000000-0005-0000-0000-00005C4F0000}"/>
    <cellStyle name="Millares 9 2 3 3 3 3 2" xfId="14913" xr:uid="{00000000-0005-0000-0000-00005D4F0000}"/>
    <cellStyle name="Millares 9 2 3 3 3 3 3" xfId="21600" xr:uid="{00000000-0005-0000-0000-00005E4F0000}"/>
    <cellStyle name="Millares 9 2 3 3 3 4" xfId="11670" xr:uid="{00000000-0005-0000-0000-00005F4F0000}"/>
    <cellStyle name="Millares 9 2 3 3 3 5" xfId="18372" xr:uid="{00000000-0005-0000-0000-0000604F0000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3" xfId="20801" xr:uid="{00000000-0005-0000-0000-0000644F0000}"/>
    <cellStyle name="Millares 9 2 3 3 4 3" xfId="10798" xr:uid="{00000000-0005-0000-0000-0000654F0000}"/>
    <cellStyle name="Millares 9 2 3 3 4 4" xfId="17573" xr:uid="{00000000-0005-0000-0000-0000664F0000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3" xfId="22032" xr:uid="{00000000-0005-0000-0000-00006A4F0000}"/>
    <cellStyle name="Millares 9 2 3 3 5 3" xfId="12117" xr:uid="{00000000-0005-0000-0000-00006B4F0000}"/>
    <cellStyle name="Millares 9 2 3 3 5 4" xfId="18804" xr:uid="{00000000-0005-0000-0000-00006C4F0000}"/>
    <cellStyle name="Millares 9 2 3 3 6" xfId="6730" xr:uid="{00000000-0005-0000-0000-00006D4F0000}"/>
    <cellStyle name="Millares 9 2 3 3 6 2" xfId="13308" xr:uid="{00000000-0005-0000-0000-00006E4F0000}"/>
    <cellStyle name="Millares 9 2 3 3 6 3" xfId="19995" xr:uid="{00000000-0005-0000-0000-00006F4F0000}"/>
    <cellStyle name="Millares 9 2 3 3 7" xfId="9979" xr:uid="{00000000-0005-0000-0000-0000704F0000}"/>
    <cellStyle name="Millares 9 2 3 3 8" xfId="16767" xr:uid="{00000000-0005-0000-0000-0000714F0000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3" xfId="22495" xr:uid="{00000000-0005-0000-0000-0000774F0000}"/>
    <cellStyle name="Millares 9 2 3 4 2 2 3" xfId="12580" xr:uid="{00000000-0005-0000-0000-0000784F0000}"/>
    <cellStyle name="Millares 9 2 3 4 2 2 4" xfId="19267" xr:uid="{00000000-0005-0000-0000-0000794F0000}"/>
    <cellStyle name="Millares 9 2 3 4 2 3" xfId="7999" xr:uid="{00000000-0005-0000-0000-00007A4F0000}"/>
    <cellStyle name="Millares 9 2 3 4 2 3 2" xfId="14577" xr:uid="{00000000-0005-0000-0000-00007B4F0000}"/>
    <cellStyle name="Millares 9 2 3 4 2 3 3" xfId="21264" xr:uid="{00000000-0005-0000-0000-00007C4F0000}"/>
    <cellStyle name="Millares 9 2 3 4 2 4" xfId="11296" xr:uid="{00000000-0005-0000-0000-00007D4F0000}"/>
    <cellStyle name="Millares 9 2 3 4 2 5" xfId="18036" xr:uid="{00000000-0005-0000-0000-00007E4F0000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3" xfId="20868" xr:uid="{00000000-0005-0000-0000-0000824F0000}"/>
    <cellStyle name="Millares 9 2 3 4 3 3" xfId="10871" xr:uid="{00000000-0005-0000-0000-0000834F0000}"/>
    <cellStyle name="Millares 9 2 3 4 3 4" xfId="17640" xr:uid="{00000000-0005-0000-0000-0000844F0000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3" xfId="22099" xr:uid="{00000000-0005-0000-0000-0000884F0000}"/>
    <cellStyle name="Millares 9 2 3 4 4 3" xfId="12184" xr:uid="{00000000-0005-0000-0000-0000894F0000}"/>
    <cellStyle name="Millares 9 2 3 4 4 4" xfId="18871" xr:uid="{00000000-0005-0000-0000-00008A4F0000}"/>
    <cellStyle name="Millares 9 2 3 4 5" xfId="6925" xr:uid="{00000000-0005-0000-0000-00008B4F0000}"/>
    <cellStyle name="Millares 9 2 3 4 5 2" xfId="13503" xr:uid="{00000000-0005-0000-0000-00008C4F0000}"/>
    <cellStyle name="Millares 9 2 3 4 5 3" xfId="20190" xr:uid="{00000000-0005-0000-0000-00008D4F0000}"/>
    <cellStyle name="Millares 9 2 3 4 6" xfId="10186" xr:uid="{00000000-0005-0000-0000-00008E4F0000}"/>
    <cellStyle name="Millares 9 2 3 4 7" xfId="16962" xr:uid="{00000000-0005-0000-0000-00008F4F0000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3" xfId="22207" xr:uid="{00000000-0005-0000-0000-0000944F0000}"/>
    <cellStyle name="Millares 9 2 3 5 2 3" xfId="12292" xr:uid="{00000000-0005-0000-0000-0000954F0000}"/>
    <cellStyle name="Millares 9 2 3 5 2 4" xfId="18979" xr:uid="{00000000-0005-0000-0000-0000964F0000}"/>
    <cellStyle name="Millares 9 2 3 5 3" xfId="7711" xr:uid="{00000000-0005-0000-0000-0000974F0000}"/>
    <cellStyle name="Millares 9 2 3 5 3 2" xfId="14289" xr:uid="{00000000-0005-0000-0000-0000984F0000}"/>
    <cellStyle name="Millares 9 2 3 5 3 3" xfId="20976" xr:uid="{00000000-0005-0000-0000-0000994F0000}"/>
    <cellStyle name="Millares 9 2 3 5 4" xfId="10987" xr:uid="{00000000-0005-0000-0000-00009A4F0000}"/>
    <cellStyle name="Millares 9 2 3 5 5" xfId="17748" xr:uid="{00000000-0005-0000-0000-00009B4F0000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3" xfId="22587" xr:uid="{00000000-0005-0000-0000-0000A04F0000}"/>
    <cellStyle name="Millares 9 2 3 6 2 3" xfId="12672" xr:uid="{00000000-0005-0000-0000-0000A14F0000}"/>
    <cellStyle name="Millares 9 2 3 6 2 4" xfId="19359" xr:uid="{00000000-0005-0000-0000-0000A24F0000}"/>
    <cellStyle name="Millares 9 2 3 6 3" xfId="8091" xr:uid="{00000000-0005-0000-0000-0000A34F0000}"/>
    <cellStyle name="Millares 9 2 3 6 3 2" xfId="14669" xr:uid="{00000000-0005-0000-0000-0000A44F0000}"/>
    <cellStyle name="Millares 9 2 3 6 3 3" xfId="21356" xr:uid="{00000000-0005-0000-0000-0000A54F0000}"/>
    <cellStyle name="Millares 9 2 3 6 4" xfId="11397" xr:uid="{00000000-0005-0000-0000-0000A64F0000}"/>
    <cellStyle name="Millares 9 2 3 6 5" xfId="18128" xr:uid="{00000000-0005-0000-0000-0000A74F0000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3" xfId="20580" xr:uid="{00000000-0005-0000-0000-0000AB4F0000}"/>
    <cellStyle name="Millares 9 2 3 7 3" xfId="10577" xr:uid="{00000000-0005-0000-0000-0000AC4F0000}"/>
    <cellStyle name="Millares 9 2 3 7 4" xfId="17352" xr:uid="{00000000-0005-0000-0000-0000AD4F0000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3" xfId="21811" xr:uid="{00000000-0005-0000-0000-0000B14F0000}"/>
    <cellStyle name="Millares 9 2 3 8 3" xfId="11896" xr:uid="{00000000-0005-0000-0000-0000B24F0000}"/>
    <cellStyle name="Millares 9 2 3 8 4" xfId="18583" xr:uid="{00000000-0005-0000-0000-0000B34F0000}"/>
    <cellStyle name="Millares 9 2 3 9" xfId="6537" xr:uid="{00000000-0005-0000-0000-0000B44F0000}"/>
    <cellStyle name="Millares 9 2 3 9 2" xfId="13115" xr:uid="{00000000-0005-0000-0000-0000B54F0000}"/>
    <cellStyle name="Millares 9 2 3 9 3" xfId="19802" xr:uid="{00000000-0005-0000-0000-0000B64F0000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3" xfId="21647" xr:uid="{00000000-0005-0000-0000-0000BD4F0000}"/>
    <cellStyle name="Millares 9 2 4 2 2 2 3" xfId="11724" xr:uid="{00000000-0005-0000-0000-0000BE4F0000}"/>
    <cellStyle name="Millares 9 2 4 2 2 2 4" xfId="18419" xr:uid="{00000000-0005-0000-0000-0000BF4F0000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3" xfId="22878" xr:uid="{00000000-0005-0000-0000-0000C34F0000}"/>
    <cellStyle name="Millares 9 2 4 2 2 3 3" xfId="12963" xr:uid="{00000000-0005-0000-0000-0000C44F0000}"/>
    <cellStyle name="Millares 9 2 4 2 2 3 4" xfId="19650" xr:uid="{00000000-0005-0000-0000-0000C54F0000}"/>
    <cellStyle name="Millares 9 2 4 2 2 4" xfId="7165" xr:uid="{00000000-0005-0000-0000-0000C64F0000}"/>
    <cellStyle name="Millares 9 2 4 2 2 4 2" xfId="13743" xr:uid="{00000000-0005-0000-0000-0000C74F0000}"/>
    <cellStyle name="Millares 9 2 4 2 2 4 3" xfId="20430" xr:uid="{00000000-0005-0000-0000-0000C84F0000}"/>
    <cellStyle name="Millares 9 2 4 2 2 5" xfId="10426" xr:uid="{00000000-0005-0000-0000-0000C94F0000}"/>
    <cellStyle name="Millares 9 2 4 2 2 6" xfId="17202" xr:uid="{00000000-0005-0000-0000-0000CA4F0000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3" xfId="21036" xr:uid="{00000000-0005-0000-0000-0000CE4F0000}"/>
    <cellStyle name="Millares 9 2 4 2 3 3" xfId="11052" xr:uid="{00000000-0005-0000-0000-0000CF4F0000}"/>
    <cellStyle name="Millares 9 2 4 2 3 4" xfId="17808" xr:uid="{00000000-0005-0000-0000-0000D04F000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3" xfId="22267" xr:uid="{00000000-0005-0000-0000-0000D44F0000}"/>
    <cellStyle name="Millares 9 2 4 2 4 3" xfId="12352" xr:uid="{00000000-0005-0000-0000-0000D54F0000}"/>
    <cellStyle name="Millares 9 2 4 2 4 4" xfId="19039" xr:uid="{00000000-0005-0000-0000-0000D64F0000}"/>
    <cellStyle name="Millares 9 2 4 2 5" xfId="6777" xr:uid="{00000000-0005-0000-0000-0000D74F0000}"/>
    <cellStyle name="Millares 9 2 4 2 5 2" xfId="13355" xr:uid="{00000000-0005-0000-0000-0000D84F0000}"/>
    <cellStyle name="Millares 9 2 4 2 5 3" xfId="20042" xr:uid="{00000000-0005-0000-0000-0000D94F0000}"/>
    <cellStyle name="Millares 9 2 4 2 6" xfId="10032" xr:uid="{00000000-0005-0000-0000-0000DA4F0000}"/>
    <cellStyle name="Millares 9 2 4 2 7" xfId="16814" xr:uid="{00000000-0005-0000-0000-0000DB4F0000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3" xfId="21403" xr:uid="{00000000-0005-0000-0000-0000E04F0000}"/>
    <cellStyle name="Millares 9 2 4 3 2 3" xfId="11451" xr:uid="{00000000-0005-0000-0000-0000E14F0000}"/>
    <cellStyle name="Millares 9 2 4 3 2 4" xfId="18175" xr:uid="{00000000-0005-0000-0000-0000E24F0000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3" xfId="22634" xr:uid="{00000000-0005-0000-0000-0000E64F0000}"/>
    <cellStyle name="Millares 9 2 4 3 3 3" xfId="12719" xr:uid="{00000000-0005-0000-0000-0000E74F0000}"/>
    <cellStyle name="Millares 9 2 4 3 3 4" xfId="19406" xr:uid="{00000000-0005-0000-0000-0000E84F0000}"/>
    <cellStyle name="Millares 9 2 4 3 4" xfId="6972" xr:uid="{00000000-0005-0000-0000-0000E94F0000}"/>
    <cellStyle name="Millares 9 2 4 3 4 2" xfId="13550" xr:uid="{00000000-0005-0000-0000-0000EA4F0000}"/>
    <cellStyle name="Millares 9 2 4 3 4 3" xfId="20237" xr:uid="{00000000-0005-0000-0000-0000EB4F0000}"/>
    <cellStyle name="Millares 9 2 4 3 5" xfId="10233" xr:uid="{00000000-0005-0000-0000-0000EC4F0000}"/>
    <cellStyle name="Millares 9 2 4 3 6" xfId="17009" xr:uid="{00000000-0005-0000-0000-0000ED4F0000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3" xfId="20640" xr:uid="{00000000-0005-0000-0000-0000F14F0000}"/>
    <cellStyle name="Millares 9 2 4 4 3" xfId="10637" xr:uid="{00000000-0005-0000-0000-0000F24F0000}"/>
    <cellStyle name="Millares 9 2 4 4 4" xfId="17412" xr:uid="{00000000-0005-0000-0000-0000F34F0000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3" xfId="21871" xr:uid="{00000000-0005-0000-0000-0000F74F0000}"/>
    <cellStyle name="Millares 9 2 4 5 3" xfId="11956" xr:uid="{00000000-0005-0000-0000-0000F84F0000}"/>
    <cellStyle name="Millares 9 2 4 5 4" xfId="18643" xr:uid="{00000000-0005-0000-0000-0000F94F0000}"/>
    <cellStyle name="Millares 9 2 4 6" xfId="6584" xr:uid="{00000000-0005-0000-0000-0000FA4F0000}"/>
    <cellStyle name="Millares 9 2 4 6 2" xfId="13162" xr:uid="{00000000-0005-0000-0000-0000FB4F0000}"/>
    <cellStyle name="Millares 9 2 4 6 3" xfId="19849" xr:uid="{00000000-0005-0000-0000-0000FC4F0000}"/>
    <cellStyle name="Millares 9 2 4 7" xfId="9822" xr:uid="{00000000-0005-0000-0000-0000FD4F0000}"/>
    <cellStyle name="Millares 9 2 4 8" xfId="16621" xr:uid="{00000000-0005-0000-0000-0000FE4F0000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3" xfId="21194" xr:uid="{00000000-0005-0000-0000-000004500000}"/>
    <cellStyle name="Millares 9 2 5 2 2 3" xfId="11216" xr:uid="{00000000-0005-0000-0000-000005500000}"/>
    <cellStyle name="Millares 9 2 5 2 2 4" xfId="17966" xr:uid="{00000000-0005-0000-0000-000006500000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3" xfId="22425" xr:uid="{00000000-0005-0000-0000-00000A500000}"/>
    <cellStyle name="Millares 9 2 5 2 3 3" xfId="12510" xr:uid="{00000000-0005-0000-0000-00000B500000}"/>
    <cellStyle name="Millares 9 2 5 2 3 4" xfId="19197" xr:uid="{00000000-0005-0000-0000-00000C500000}"/>
    <cellStyle name="Millares 9 2 5 2 4" xfId="7071" xr:uid="{00000000-0005-0000-0000-00000D500000}"/>
    <cellStyle name="Millares 9 2 5 2 4 2" xfId="13649" xr:uid="{00000000-0005-0000-0000-00000E500000}"/>
    <cellStyle name="Millares 9 2 5 2 4 3" xfId="20336" xr:uid="{00000000-0005-0000-0000-00000F500000}"/>
    <cellStyle name="Millares 9 2 5 2 5" xfId="10332" xr:uid="{00000000-0005-0000-0000-000010500000}"/>
    <cellStyle name="Millares 9 2 5 2 6" xfId="17108" xr:uid="{00000000-0005-0000-0000-000011500000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3" xfId="22784" xr:uid="{00000000-0005-0000-0000-000016500000}"/>
    <cellStyle name="Millares 9 2 5 3 2 3" xfId="12869" xr:uid="{00000000-0005-0000-0000-000017500000}"/>
    <cellStyle name="Millares 9 2 5 3 2 4" xfId="19556" xr:uid="{00000000-0005-0000-0000-000018500000}"/>
    <cellStyle name="Millares 9 2 5 3 3" xfId="8288" xr:uid="{00000000-0005-0000-0000-000019500000}"/>
    <cellStyle name="Millares 9 2 5 3 3 2" xfId="14866" xr:uid="{00000000-0005-0000-0000-00001A500000}"/>
    <cellStyle name="Millares 9 2 5 3 3 3" xfId="21553" xr:uid="{00000000-0005-0000-0000-00001B500000}"/>
    <cellStyle name="Millares 9 2 5 3 4" xfId="11619" xr:uid="{00000000-0005-0000-0000-00001C500000}"/>
    <cellStyle name="Millares 9 2 5 3 5" xfId="18325" xr:uid="{00000000-0005-0000-0000-00001D500000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3" xfId="20798" xr:uid="{00000000-0005-0000-0000-000021500000}"/>
    <cellStyle name="Millares 9 2 5 4 3" xfId="10795" xr:uid="{00000000-0005-0000-0000-000022500000}"/>
    <cellStyle name="Millares 9 2 5 4 4" xfId="17570" xr:uid="{00000000-0005-0000-0000-000023500000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3" xfId="22029" xr:uid="{00000000-0005-0000-0000-000027500000}"/>
    <cellStyle name="Millares 9 2 5 5 3" xfId="12114" xr:uid="{00000000-0005-0000-0000-000028500000}"/>
    <cellStyle name="Millares 9 2 5 5 4" xfId="18801" xr:uid="{00000000-0005-0000-0000-000029500000}"/>
    <cellStyle name="Millares 9 2 5 6" xfId="6683" xr:uid="{00000000-0005-0000-0000-00002A500000}"/>
    <cellStyle name="Millares 9 2 5 6 2" xfId="13261" xr:uid="{00000000-0005-0000-0000-00002B500000}"/>
    <cellStyle name="Millares 9 2 5 6 3" xfId="19948" xr:uid="{00000000-0005-0000-0000-00002C500000}"/>
    <cellStyle name="Millares 9 2 5 7" xfId="9929" xr:uid="{00000000-0005-0000-0000-00002D500000}"/>
    <cellStyle name="Millares 9 2 5 8" xfId="16720" xr:uid="{00000000-0005-0000-0000-00002E500000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3" xfId="22450" xr:uid="{00000000-0005-0000-0000-000034500000}"/>
    <cellStyle name="Millares 9 2 6 2 2 3" xfId="12535" xr:uid="{00000000-0005-0000-0000-000035500000}"/>
    <cellStyle name="Millares 9 2 6 2 2 4" xfId="19222" xr:uid="{00000000-0005-0000-0000-000036500000}"/>
    <cellStyle name="Millares 9 2 6 2 3" xfId="7954" xr:uid="{00000000-0005-0000-0000-000037500000}"/>
    <cellStyle name="Millares 9 2 6 2 3 2" xfId="14532" xr:uid="{00000000-0005-0000-0000-000038500000}"/>
    <cellStyle name="Millares 9 2 6 2 3 3" xfId="21219" xr:uid="{00000000-0005-0000-0000-000039500000}"/>
    <cellStyle name="Millares 9 2 6 2 4" xfId="11248" xr:uid="{00000000-0005-0000-0000-00003A500000}"/>
    <cellStyle name="Millares 9 2 6 2 5" xfId="17991" xr:uid="{00000000-0005-0000-0000-00003B500000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3" xfId="20823" xr:uid="{00000000-0005-0000-0000-00003F500000}"/>
    <cellStyle name="Millares 9 2 6 3 3" xfId="10821" xr:uid="{00000000-0005-0000-0000-000040500000}"/>
    <cellStyle name="Millares 9 2 6 3 4" xfId="17595" xr:uid="{00000000-0005-0000-0000-000041500000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3" xfId="22054" xr:uid="{00000000-0005-0000-0000-000045500000}"/>
    <cellStyle name="Millares 9 2 6 4 3" xfId="12139" xr:uid="{00000000-0005-0000-0000-000046500000}"/>
    <cellStyle name="Millares 9 2 6 4 4" xfId="18826" xr:uid="{00000000-0005-0000-0000-000047500000}"/>
    <cellStyle name="Millares 9 2 6 5" xfId="6878" xr:uid="{00000000-0005-0000-0000-000048500000}"/>
    <cellStyle name="Millares 9 2 6 5 2" xfId="13456" xr:uid="{00000000-0005-0000-0000-000049500000}"/>
    <cellStyle name="Millares 9 2 6 5 3" xfId="20143" xr:uid="{00000000-0005-0000-0000-00004A500000}"/>
    <cellStyle name="Millares 9 2 6 6" xfId="10139" xr:uid="{00000000-0005-0000-0000-00004B500000}"/>
    <cellStyle name="Millares 9 2 6 7" xfId="16915" xr:uid="{00000000-0005-0000-0000-00004C500000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3" xfId="22161" xr:uid="{00000000-0005-0000-0000-000051500000}"/>
    <cellStyle name="Millares 9 2 7 2 3" xfId="12246" xr:uid="{00000000-0005-0000-0000-000052500000}"/>
    <cellStyle name="Millares 9 2 7 2 4" xfId="18933" xr:uid="{00000000-0005-0000-0000-000053500000}"/>
    <cellStyle name="Millares 9 2 7 3" xfId="7665" xr:uid="{00000000-0005-0000-0000-000054500000}"/>
    <cellStyle name="Millares 9 2 7 3 2" xfId="14243" xr:uid="{00000000-0005-0000-0000-000055500000}"/>
    <cellStyle name="Millares 9 2 7 3 3" xfId="20930" xr:uid="{00000000-0005-0000-0000-000056500000}"/>
    <cellStyle name="Millares 9 2 7 4" xfId="10937" xr:uid="{00000000-0005-0000-0000-000057500000}"/>
    <cellStyle name="Millares 9 2 7 5" xfId="17702" xr:uid="{00000000-0005-0000-0000-000058500000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3" xfId="22542" xr:uid="{00000000-0005-0000-0000-00005D500000}"/>
    <cellStyle name="Millares 9 2 8 2 3" xfId="12627" xr:uid="{00000000-0005-0000-0000-00005E500000}"/>
    <cellStyle name="Millares 9 2 8 2 4" xfId="19314" xr:uid="{00000000-0005-0000-0000-00005F500000}"/>
    <cellStyle name="Millares 9 2 8 3" xfId="8046" xr:uid="{00000000-0005-0000-0000-000060500000}"/>
    <cellStyle name="Millares 9 2 8 3 2" xfId="14624" xr:uid="{00000000-0005-0000-0000-000061500000}"/>
    <cellStyle name="Millares 9 2 8 3 3" xfId="21311" xr:uid="{00000000-0005-0000-0000-000062500000}"/>
    <cellStyle name="Millares 9 2 8 4" xfId="11347" xr:uid="{00000000-0005-0000-0000-000063500000}"/>
    <cellStyle name="Millares 9 2 8 5" xfId="18083" xr:uid="{00000000-0005-0000-0000-000064500000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3" xfId="20534" xr:uid="{00000000-0005-0000-0000-000068500000}"/>
    <cellStyle name="Millares 9 2 9 3" xfId="10531" xr:uid="{00000000-0005-0000-0000-000069500000}"/>
    <cellStyle name="Millares 9 2 9 4" xfId="17306" xr:uid="{00000000-0005-0000-0000-00006A50000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3" xfId="19768" xr:uid="{00000000-0005-0000-0000-00006E500000}"/>
    <cellStyle name="Millares 9 3 11" xfId="9737" xr:uid="{00000000-0005-0000-0000-00006F500000}"/>
    <cellStyle name="Millares 9 3 12" xfId="16540" xr:uid="{00000000-0005-0000-0000-000070500000}"/>
    <cellStyle name="Millares 9 3 2" xfId="351" xr:uid="{00000000-0005-0000-0000-000071500000}"/>
    <cellStyle name="Millares 9 3 2 10" xfId="9786" xr:uid="{00000000-0005-0000-0000-000072500000}"/>
    <cellStyle name="Millares 9 3 2 11" xfId="16586" xr:uid="{00000000-0005-0000-0000-00007350000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3" xfId="21704" xr:uid="{00000000-0005-0000-0000-00007A500000}"/>
    <cellStyle name="Millares 9 3 2 2 2 2 2 3" xfId="11789" xr:uid="{00000000-0005-0000-0000-00007B500000}"/>
    <cellStyle name="Millares 9 3 2 2 2 2 2 4" xfId="18476" xr:uid="{00000000-0005-0000-0000-00007C500000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3" xfId="22935" xr:uid="{00000000-0005-0000-0000-000080500000}"/>
    <cellStyle name="Millares 9 3 2 2 2 2 3 3" xfId="13020" xr:uid="{00000000-0005-0000-0000-000081500000}"/>
    <cellStyle name="Millares 9 3 2 2 2 2 3 4" xfId="19707" xr:uid="{00000000-0005-0000-0000-000082500000}"/>
    <cellStyle name="Millares 9 3 2 2 2 2 4" xfId="7222" xr:uid="{00000000-0005-0000-0000-000083500000}"/>
    <cellStyle name="Millares 9 3 2 2 2 2 4 2" xfId="13800" xr:uid="{00000000-0005-0000-0000-000084500000}"/>
    <cellStyle name="Millares 9 3 2 2 2 2 4 3" xfId="20487" xr:uid="{00000000-0005-0000-0000-000085500000}"/>
    <cellStyle name="Millares 9 3 2 2 2 2 5" xfId="10483" xr:uid="{00000000-0005-0000-0000-000086500000}"/>
    <cellStyle name="Millares 9 3 2 2 2 2 6" xfId="17259" xr:uid="{00000000-0005-0000-0000-000087500000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3" xfId="21094" xr:uid="{00000000-0005-0000-0000-00008B500000}"/>
    <cellStyle name="Millares 9 3 2 2 2 3 3" xfId="11111" xr:uid="{00000000-0005-0000-0000-00008C500000}"/>
    <cellStyle name="Millares 9 3 2 2 2 3 4" xfId="17866" xr:uid="{00000000-0005-0000-0000-00008D500000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3" xfId="22325" xr:uid="{00000000-0005-0000-0000-000091500000}"/>
    <cellStyle name="Millares 9 3 2 2 2 4 3" xfId="12410" xr:uid="{00000000-0005-0000-0000-000092500000}"/>
    <cellStyle name="Millares 9 3 2 2 2 4 4" xfId="19097" xr:uid="{00000000-0005-0000-0000-000093500000}"/>
    <cellStyle name="Millares 9 3 2 2 2 5" xfId="6834" xr:uid="{00000000-0005-0000-0000-000094500000}"/>
    <cellStyle name="Millares 9 3 2 2 2 5 2" xfId="13412" xr:uid="{00000000-0005-0000-0000-000095500000}"/>
    <cellStyle name="Millares 9 3 2 2 2 5 3" xfId="20099" xr:uid="{00000000-0005-0000-0000-000096500000}"/>
    <cellStyle name="Millares 9 3 2 2 2 6" xfId="10094" xr:uid="{00000000-0005-0000-0000-000097500000}"/>
    <cellStyle name="Millares 9 3 2 2 2 7" xfId="16871" xr:uid="{00000000-0005-0000-0000-000098500000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3" xfId="21460" xr:uid="{00000000-0005-0000-0000-00009D500000}"/>
    <cellStyle name="Millares 9 3 2 2 3 2 3" xfId="11523" xr:uid="{00000000-0005-0000-0000-00009E500000}"/>
    <cellStyle name="Millares 9 3 2 2 3 2 4" xfId="18232" xr:uid="{00000000-0005-0000-0000-00009F500000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3" xfId="22691" xr:uid="{00000000-0005-0000-0000-0000A3500000}"/>
    <cellStyle name="Millares 9 3 2 2 3 3 3" xfId="12776" xr:uid="{00000000-0005-0000-0000-0000A4500000}"/>
    <cellStyle name="Millares 9 3 2 2 3 3 4" xfId="19463" xr:uid="{00000000-0005-0000-0000-0000A5500000}"/>
    <cellStyle name="Millares 9 3 2 2 3 4" xfId="7029" xr:uid="{00000000-0005-0000-0000-0000A6500000}"/>
    <cellStyle name="Millares 9 3 2 2 3 4 2" xfId="13607" xr:uid="{00000000-0005-0000-0000-0000A7500000}"/>
    <cellStyle name="Millares 9 3 2 2 3 4 3" xfId="20294" xr:uid="{00000000-0005-0000-0000-0000A8500000}"/>
    <cellStyle name="Millares 9 3 2 2 3 5" xfId="10290" xr:uid="{00000000-0005-0000-0000-0000A9500000}"/>
    <cellStyle name="Millares 9 3 2 2 3 6" xfId="17066" xr:uid="{00000000-0005-0000-0000-0000AA5000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3" xfId="20698" xr:uid="{00000000-0005-0000-0000-0000AE500000}"/>
    <cellStyle name="Millares 9 3 2 2 4 3" xfId="10695" xr:uid="{00000000-0005-0000-0000-0000AF500000}"/>
    <cellStyle name="Millares 9 3 2 2 4 4" xfId="17470" xr:uid="{00000000-0005-0000-0000-0000B0500000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3" xfId="21929" xr:uid="{00000000-0005-0000-0000-0000B4500000}"/>
    <cellStyle name="Millares 9 3 2 2 5 3" xfId="12014" xr:uid="{00000000-0005-0000-0000-0000B5500000}"/>
    <cellStyle name="Millares 9 3 2 2 5 4" xfId="18701" xr:uid="{00000000-0005-0000-0000-0000B6500000}"/>
    <cellStyle name="Millares 9 3 2 2 6" xfId="6641" xr:uid="{00000000-0005-0000-0000-0000B7500000}"/>
    <cellStyle name="Millares 9 3 2 2 6 2" xfId="13219" xr:uid="{00000000-0005-0000-0000-0000B8500000}"/>
    <cellStyle name="Millares 9 3 2 2 6 3" xfId="19906" xr:uid="{00000000-0005-0000-0000-0000B9500000}"/>
    <cellStyle name="Millares 9 3 2 2 7" xfId="9885" xr:uid="{00000000-0005-0000-0000-0000BA500000}"/>
    <cellStyle name="Millares 9 3 2 2 8" xfId="16678" xr:uid="{00000000-0005-0000-0000-0000BB500000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3" xfId="21199" xr:uid="{00000000-0005-0000-0000-0000C1500000}"/>
    <cellStyle name="Millares 9 3 2 3 2 2 3" xfId="11221" xr:uid="{00000000-0005-0000-0000-0000C2500000}"/>
    <cellStyle name="Millares 9 3 2 3 2 2 4" xfId="17971" xr:uid="{00000000-0005-0000-0000-0000C3500000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3" xfId="22430" xr:uid="{00000000-0005-0000-0000-0000C7500000}"/>
    <cellStyle name="Millares 9 3 2 3 2 3 3" xfId="12515" xr:uid="{00000000-0005-0000-0000-0000C8500000}"/>
    <cellStyle name="Millares 9 3 2 3 2 3 4" xfId="19202" xr:uid="{00000000-0005-0000-0000-0000C9500000}"/>
    <cellStyle name="Millares 9 3 2 3 2 4" xfId="7130" xr:uid="{00000000-0005-0000-0000-0000CA500000}"/>
    <cellStyle name="Millares 9 3 2 3 2 4 2" xfId="13708" xr:uid="{00000000-0005-0000-0000-0000CB500000}"/>
    <cellStyle name="Millares 9 3 2 3 2 4 3" xfId="20395" xr:uid="{00000000-0005-0000-0000-0000CC500000}"/>
    <cellStyle name="Millares 9 3 2 3 2 5" xfId="10391" xr:uid="{00000000-0005-0000-0000-0000CD500000}"/>
    <cellStyle name="Millares 9 3 2 3 2 6" xfId="17167" xr:uid="{00000000-0005-0000-0000-0000CE500000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3" xfId="22843" xr:uid="{00000000-0005-0000-0000-0000D3500000}"/>
    <cellStyle name="Millares 9 3 2 3 3 2 3" xfId="12928" xr:uid="{00000000-0005-0000-0000-0000D4500000}"/>
    <cellStyle name="Millares 9 3 2 3 3 2 4" xfId="19615" xr:uid="{00000000-0005-0000-0000-0000D5500000}"/>
    <cellStyle name="Millares 9 3 2 3 3 3" xfId="8347" xr:uid="{00000000-0005-0000-0000-0000D6500000}"/>
    <cellStyle name="Millares 9 3 2 3 3 3 2" xfId="14925" xr:uid="{00000000-0005-0000-0000-0000D7500000}"/>
    <cellStyle name="Millares 9 3 2 3 3 3 3" xfId="21612" xr:uid="{00000000-0005-0000-0000-0000D8500000}"/>
    <cellStyle name="Millares 9 3 2 3 3 4" xfId="11686" xr:uid="{00000000-0005-0000-0000-0000D9500000}"/>
    <cellStyle name="Millares 9 3 2 3 3 5" xfId="18384" xr:uid="{00000000-0005-0000-0000-0000DA500000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3" xfId="20803" xr:uid="{00000000-0005-0000-0000-0000DE500000}"/>
    <cellStyle name="Millares 9 3 2 3 4 3" xfId="10800" xr:uid="{00000000-0005-0000-0000-0000DF500000}"/>
    <cellStyle name="Millares 9 3 2 3 4 4" xfId="17575" xr:uid="{00000000-0005-0000-0000-0000E0500000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3" xfId="22034" xr:uid="{00000000-0005-0000-0000-0000E4500000}"/>
    <cellStyle name="Millares 9 3 2 3 5 3" xfId="12119" xr:uid="{00000000-0005-0000-0000-0000E5500000}"/>
    <cellStyle name="Millares 9 3 2 3 5 4" xfId="18806" xr:uid="{00000000-0005-0000-0000-0000E6500000}"/>
    <cellStyle name="Millares 9 3 2 3 6" xfId="6742" xr:uid="{00000000-0005-0000-0000-0000E7500000}"/>
    <cellStyle name="Millares 9 3 2 3 6 2" xfId="13320" xr:uid="{00000000-0005-0000-0000-0000E8500000}"/>
    <cellStyle name="Millares 9 3 2 3 6 3" xfId="20007" xr:uid="{00000000-0005-0000-0000-0000E9500000}"/>
    <cellStyle name="Millares 9 3 2 3 7" xfId="9992" xr:uid="{00000000-0005-0000-0000-0000EA500000}"/>
    <cellStyle name="Millares 9 3 2 3 8" xfId="16779" xr:uid="{00000000-0005-0000-0000-0000EB500000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3" xfId="22507" xr:uid="{00000000-0005-0000-0000-0000F1500000}"/>
    <cellStyle name="Millares 9 3 2 4 2 2 3" xfId="12592" xr:uid="{00000000-0005-0000-0000-0000F2500000}"/>
    <cellStyle name="Millares 9 3 2 4 2 2 4" xfId="19279" xr:uid="{00000000-0005-0000-0000-0000F3500000}"/>
    <cellStyle name="Millares 9 3 2 4 2 3" xfId="8011" xr:uid="{00000000-0005-0000-0000-0000F4500000}"/>
    <cellStyle name="Millares 9 3 2 4 2 3 2" xfId="14589" xr:uid="{00000000-0005-0000-0000-0000F5500000}"/>
    <cellStyle name="Millares 9 3 2 4 2 3 3" xfId="21276" xr:uid="{00000000-0005-0000-0000-0000F6500000}"/>
    <cellStyle name="Millares 9 3 2 4 2 4" xfId="11310" xr:uid="{00000000-0005-0000-0000-0000F7500000}"/>
    <cellStyle name="Millares 9 3 2 4 2 5" xfId="18048" xr:uid="{00000000-0005-0000-0000-0000F8500000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3" xfId="20880" xr:uid="{00000000-0005-0000-0000-0000FC500000}"/>
    <cellStyle name="Millares 9 3 2 4 3 3" xfId="10884" xr:uid="{00000000-0005-0000-0000-0000FD500000}"/>
    <cellStyle name="Millares 9 3 2 4 3 4" xfId="17652" xr:uid="{00000000-0005-0000-0000-0000FE500000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3" xfId="22111" xr:uid="{00000000-0005-0000-0000-000002510000}"/>
    <cellStyle name="Millares 9 3 2 4 4 3" xfId="12196" xr:uid="{00000000-0005-0000-0000-000003510000}"/>
    <cellStyle name="Millares 9 3 2 4 4 4" xfId="18883" xr:uid="{00000000-0005-0000-0000-000004510000}"/>
    <cellStyle name="Millares 9 3 2 4 5" xfId="6937" xr:uid="{00000000-0005-0000-0000-000005510000}"/>
    <cellStyle name="Millares 9 3 2 4 5 2" xfId="13515" xr:uid="{00000000-0005-0000-0000-000006510000}"/>
    <cellStyle name="Millares 9 3 2 4 5 3" xfId="20202" xr:uid="{00000000-0005-0000-0000-000007510000}"/>
    <cellStyle name="Millares 9 3 2 4 6" xfId="10198" xr:uid="{00000000-0005-0000-0000-000008510000}"/>
    <cellStyle name="Millares 9 3 2 4 7" xfId="16974" xr:uid="{00000000-0005-0000-0000-000009510000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3" xfId="22219" xr:uid="{00000000-0005-0000-0000-00000E510000}"/>
    <cellStyle name="Millares 9 3 2 5 2 3" xfId="12304" xr:uid="{00000000-0005-0000-0000-00000F510000}"/>
    <cellStyle name="Millares 9 3 2 5 2 4" xfId="18991" xr:uid="{00000000-0005-0000-0000-000010510000}"/>
    <cellStyle name="Millares 9 3 2 5 3" xfId="7723" xr:uid="{00000000-0005-0000-0000-000011510000}"/>
    <cellStyle name="Millares 9 3 2 5 3 2" xfId="14301" xr:uid="{00000000-0005-0000-0000-000012510000}"/>
    <cellStyle name="Millares 9 3 2 5 3 3" xfId="20988" xr:uid="{00000000-0005-0000-0000-000013510000}"/>
    <cellStyle name="Millares 9 3 2 5 4" xfId="11002" xr:uid="{00000000-0005-0000-0000-000014510000}"/>
    <cellStyle name="Millares 9 3 2 5 5" xfId="17760" xr:uid="{00000000-0005-0000-0000-000015510000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3" xfId="22599" xr:uid="{00000000-0005-0000-0000-00001A510000}"/>
    <cellStyle name="Millares 9 3 2 6 2 3" xfId="12684" xr:uid="{00000000-0005-0000-0000-00001B510000}"/>
    <cellStyle name="Millares 9 3 2 6 2 4" xfId="19371" xr:uid="{00000000-0005-0000-0000-00001C510000}"/>
    <cellStyle name="Millares 9 3 2 6 3" xfId="8103" xr:uid="{00000000-0005-0000-0000-00001D510000}"/>
    <cellStyle name="Millares 9 3 2 6 3 2" xfId="14681" xr:uid="{00000000-0005-0000-0000-00001E510000}"/>
    <cellStyle name="Millares 9 3 2 6 3 3" xfId="21368" xr:uid="{00000000-0005-0000-0000-00001F510000}"/>
    <cellStyle name="Millares 9 3 2 6 4" xfId="11411" xr:uid="{00000000-0005-0000-0000-000020510000}"/>
    <cellStyle name="Millares 9 3 2 6 5" xfId="18140" xr:uid="{00000000-0005-0000-0000-000021510000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3" xfId="20592" xr:uid="{00000000-0005-0000-0000-000025510000}"/>
    <cellStyle name="Millares 9 3 2 7 3" xfId="10589" xr:uid="{00000000-0005-0000-0000-000026510000}"/>
    <cellStyle name="Millares 9 3 2 7 4" xfId="17364" xr:uid="{00000000-0005-0000-0000-000027510000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3" xfId="21823" xr:uid="{00000000-0005-0000-0000-00002B510000}"/>
    <cellStyle name="Millares 9 3 2 8 3" xfId="11908" xr:uid="{00000000-0005-0000-0000-00002C510000}"/>
    <cellStyle name="Millares 9 3 2 8 4" xfId="18595" xr:uid="{00000000-0005-0000-0000-00002D510000}"/>
    <cellStyle name="Millares 9 3 2 9" xfId="6549" xr:uid="{00000000-0005-0000-0000-00002E510000}"/>
    <cellStyle name="Millares 9 3 2 9 2" xfId="13127" xr:uid="{00000000-0005-0000-0000-00002F510000}"/>
    <cellStyle name="Millares 9 3 2 9 3" xfId="19814" xr:uid="{00000000-0005-0000-0000-000030510000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3" xfId="21659" xr:uid="{00000000-0005-0000-0000-000037510000}"/>
    <cellStyle name="Millares 9 3 3 2 2 2 3" xfId="11737" xr:uid="{00000000-0005-0000-0000-000038510000}"/>
    <cellStyle name="Millares 9 3 3 2 2 2 4" xfId="18431" xr:uid="{00000000-0005-0000-0000-000039510000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3" xfId="22890" xr:uid="{00000000-0005-0000-0000-00003D510000}"/>
    <cellStyle name="Millares 9 3 3 2 2 3 3" xfId="12975" xr:uid="{00000000-0005-0000-0000-00003E510000}"/>
    <cellStyle name="Millares 9 3 3 2 2 3 4" xfId="19662" xr:uid="{00000000-0005-0000-0000-00003F510000}"/>
    <cellStyle name="Millares 9 3 3 2 2 4" xfId="7177" xr:uid="{00000000-0005-0000-0000-000040510000}"/>
    <cellStyle name="Millares 9 3 3 2 2 4 2" xfId="13755" xr:uid="{00000000-0005-0000-0000-000041510000}"/>
    <cellStyle name="Millares 9 3 3 2 2 4 3" xfId="20442" xr:uid="{00000000-0005-0000-0000-000042510000}"/>
    <cellStyle name="Millares 9 3 3 2 2 5" xfId="10438" xr:uid="{00000000-0005-0000-0000-000043510000}"/>
    <cellStyle name="Millares 9 3 3 2 2 6" xfId="17214" xr:uid="{00000000-0005-0000-0000-000044510000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3" xfId="21049" xr:uid="{00000000-0005-0000-0000-000048510000}"/>
    <cellStyle name="Millares 9 3 3 2 3 3" xfId="11065" xr:uid="{00000000-0005-0000-0000-000049510000}"/>
    <cellStyle name="Millares 9 3 3 2 3 4" xfId="17821" xr:uid="{00000000-0005-0000-0000-00004A510000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3" xfId="22280" xr:uid="{00000000-0005-0000-0000-00004E510000}"/>
    <cellStyle name="Millares 9 3 3 2 4 3" xfId="12365" xr:uid="{00000000-0005-0000-0000-00004F510000}"/>
    <cellStyle name="Millares 9 3 3 2 4 4" xfId="19052" xr:uid="{00000000-0005-0000-0000-000050510000}"/>
    <cellStyle name="Millares 9 3 3 2 5" xfId="6789" xr:uid="{00000000-0005-0000-0000-000051510000}"/>
    <cellStyle name="Millares 9 3 3 2 5 2" xfId="13367" xr:uid="{00000000-0005-0000-0000-000052510000}"/>
    <cellStyle name="Millares 9 3 3 2 5 3" xfId="20054" xr:uid="{00000000-0005-0000-0000-000053510000}"/>
    <cellStyle name="Millares 9 3 3 2 6" xfId="10044" xr:uid="{00000000-0005-0000-0000-000054510000}"/>
    <cellStyle name="Millares 9 3 3 2 7" xfId="16826" xr:uid="{00000000-0005-0000-0000-000055510000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3" xfId="21415" xr:uid="{00000000-0005-0000-0000-00005A510000}"/>
    <cellStyle name="Millares 9 3 3 3 2 3" xfId="11466" xr:uid="{00000000-0005-0000-0000-00005B510000}"/>
    <cellStyle name="Millares 9 3 3 3 2 4" xfId="18187" xr:uid="{00000000-0005-0000-0000-00005C510000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3" xfId="22646" xr:uid="{00000000-0005-0000-0000-000060510000}"/>
    <cellStyle name="Millares 9 3 3 3 3 3" xfId="12731" xr:uid="{00000000-0005-0000-0000-000061510000}"/>
    <cellStyle name="Millares 9 3 3 3 3 4" xfId="19418" xr:uid="{00000000-0005-0000-0000-000062510000}"/>
    <cellStyle name="Millares 9 3 3 3 4" xfId="6984" xr:uid="{00000000-0005-0000-0000-000063510000}"/>
    <cellStyle name="Millares 9 3 3 3 4 2" xfId="13562" xr:uid="{00000000-0005-0000-0000-000064510000}"/>
    <cellStyle name="Millares 9 3 3 3 4 3" xfId="20249" xr:uid="{00000000-0005-0000-0000-000065510000}"/>
    <cellStyle name="Millares 9 3 3 3 5" xfId="10245" xr:uid="{00000000-0005-0000-0000-000066510000}"/>
    <cellStyle name="Millares 9 3 3 3 6" xfId="17021" xr:uid="{00000000-0005-0000-0000-000067510000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3" xfId="20653" xr:uid="{00000000-0005-0000-0000-00006B510000}"/>
    <cellStyle name="Millares 9 3 3 4 3" xfId="10650" xr:uid="{00000000-0005-0000-0000-00006C510000}"/>
    <cellStyle name="Millares 9 3 3 4 4" xfId="17425" xr:uid="{00000000-0005-0000-0000-00006D510000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3" xfId="21884" xr:uid="{00000000-0005-0000-0000-000071510000}"/>
    <cellStyle name="Millares 9 3 3 5 3" xfId="11969" xr:uid="{00000000-0005-0000-0000-000072510000}"/>
    <cellStyle name="Millares 9 3 3 5 4" xfId="18656" xr:uid="{00000000-0005-0000-0000-000073510000}"/>
    <cellStyle name="Millares 9 3 3 6" xfId="6596" xr:uid="{00000000-0005-0000-0000-000074510000}"/>
    <cellStyle name="Millares 9 3 3 6 2" xfId="13174" xr:uid="{00000000-0005-0000-0000-000075510000}"/>
    <cellStyle name="Millares 9 3 3 6 3" xfId="19861" xr:uid="{00000000-0005-0000-0000-000076510000}"/>
    <cellStyle name="Millares 9 3 3 7" xfId="9835" xr:uid="{00000000-0005-0000-0000-000077510000}"/>
    <cellStyle name="Millares 9 3 3 8" xfId="16633" xr:uid="{00000000-0005-0000-0000-000078510000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3" xfId="21198" xr:uid="{00000000-0005-0000-0000-00007E510000}"/>
    <cellStyle name="Millares 9 3 4 2 2 3" xfId="11220" xr:uid="{00000000-0005-0000-0000-00007F510000}"/>
    <cellStyle name="Millares 9 3 4 2 2 4" xfId="17970" xr:uid="{00000000-0005-0000-0000-000080510000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3" xfId="22429" xr:uid="{00000000-0005-0000-0000-000084510000}"/>
    <cellStyle name="Millares 9 3 4 2 3 3" xfId="12514" xr:uid="{00000000-0005-0000-0000-000085510000}"/>
    <cellStyle name="Millares 9 3 4 2 3 4" xfId="19201" xr:uid="{00000000-0005-0000-0000-000086510000}"/>
    <cellStyle name="Millares 9 3 4 2 4" xfId="7084" xr:uid="{00000000-0005-0000-0000-000087510000}"/>
    <cellStyle name="Millares 9 3 4 2 4 2" xfId="13662" xr:uid="{00000000-0005-0000-0000-000088510000}"/>
    <cellStyle name="Millares 9 3 4 2 4 3" xfId="20349" xr:uid="{00000000-0005-0000-0000-000089510000}"/>
    <cellStyle name="Millares 9 3 4 2 5" xfId="10345" xr:uid="{00000000-0005-0000-0000-00008A510000}"/>
    <cellStyle name="Millares 9 3 4 2 6" xfId="17121" xr:uid="{00000000-0005-0000-0000-00008B510000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3" xfId="22797" xr:uid="{00000000-0005-0000-0000-000090510000}"/>
    <cellStyle name="Millares 9 3 4 3 2 3" xfId="12882" xr:uid="{00000000-0005-0000-0000-000091510000}"/>
    <cellStyle name="Millares 9 3 4 3 2 4" xfId="19569" xr:uid="{00000000-0005-0000-0000-000092510000}"/>
    <cellStyle name="Millares 9 3 4 3 3" xfId="8301" xr:uid="{00000000-0005-0000-0000-000093510000}"/>
    <cellStyle name="Millares 9 3 4 3 3 2" xfId="14879" xr:uid="{00000000-0005-0000-0000-000094510000}"/>
    <cellStyle name="Millares 9 3 4 3 3 3" xfId="21566" xr:uid="{00000000-0005-0000-0000-000095510000}"/>
    <cellStyle name="Millares 9 3 4 3 4" xfId="11635" xr:uid="{00000000-0005-0000-0000-000096510000}"/>
    <cellStyle name="Millares 9 3 4 3 5" xfId="18338" xr:uid="{00000000-0005-0000-0000-000097510000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3" xfId="20802" xr:uid="{00000000-0005-0000-0000-00009B510000}"/>
    <cellStyle name="Millares 9 3 4 4 3" xfId="10799" xr:uid="{00000000-0005-0000-0000-00009C510000}"/>
    <cellStyle name="Millares 9 3 4 4 4" xfId="17574" xr:uid="{00000000-0005-0000-0000-00009D510000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3" xfId="22033" xr:uid="{00000000-0005-0000-0000-0000A1510000}"/>
    <cellStyle name="Millares 9 3 4 5 3" xfId="12118" xr:uid="{00000000-0005-0000-0000-0000A2510000}"/>
    <cellStyle name="Millares 9 3 4 5 4" xfId="18805" xr:uid="{00000000-0005-0000-0000-0000A3510000}"/>
    <cellStyle name="Millares 9 3 4 6" xfId="6696" xr:uid="{00000000-0005-0000-0000-0000A4510000}"/>
    <cellStyle name="Millares 9 3 4 6 2" xfId="13274" xr:uid="{00000000-0005-0000-0000-0000A5510000}"/>
    <cellStyle name="Millares 9 3 4 6 3" xfId="19961" xr:uid="{00000000-0005-0000-0000-0000A6510000}"/>
    <cellStyle name="Millares 9 3 4 7" xfId="9944" xr:uid="{00000000-0005-0000-0000-0000A7510000}"/>
    <cellStyle name="Millares 9 3 4 8" xfId="16733" xr:uid="{00000000-0005-0000-0000-0000A8510000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3" xfId="22462" xr:uid="{00000000-0005-0000-0000-0000AE510000}"/>
    <cellStyle name="Millares 9 3 5 2 2 3" xfId="12547" xr:uid="{00000000-0005-0000-0000-0000AF510000}"/>
    <cellStyle name="Millares 9 3 5 2 2 4" xfId="19234" xr:uid="{00000000-0005-0000-0000-0000B0510000}"/>
    <cellStyle name="Millares 9 3 5 2 3" xfId="7966" xr:uid="{00000000-0005-0000-0000-0000B1510000}"/>
    <cellStyle name="Millares 9 3 5 2 3 2" xfId="14544" xr:uid="{00000000-0005-0000-0000-0000B2510000}"/>
    <cellStyle name="Millares 9 3 5 2 3 3" xfId="21231" xr:uid="{00000000-0005-0000-0000-0000B3510000}"/>
    <cellStyle name="Millares 9 3 5 2 4" xfId="11260" xr:uid="{00000000-0005-0000-0000-0000B4510000}"/>
    <cellStyle name="Millares 9 3 5 2 5" xfId="18003" xr:uid="{00000000-0005-0000-0000-0000B5510000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3" xfId="20835" xr:uid="{00000000-0005-0000-0000-0000B9510000}"/>
    <cellStyle name="Millares 9 3 5 3 3" xfId="10833" xr:uid="{00000000-0005-0000-0000-0000BA510000}"/>
    <cellStyle name="Millares 9 3 5 3 4" xfId="17607" xr:uid="{00000000-0005-0000-0000-0000BB510000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3" xfId="22066" xr:uid="{00000000-0005-0000-0000-0000BF510000}"/>
    <cellStyle name="Millares 9 3 5 4 3" xfId="12151" xr:uid="{00000000-0005-0000-0000-0000C0510000}"/>
    <cellStyle name="Millares 9 3 5 4 4" xfId="18838" xr:uid="{00000000-0005-0000-0000-0000C1510000}"/>
    <cellStyle name="Millares 9 3 5 5" xfId="6891" xr:uid="{00000000-0005-0000-0000-0000C2510000}"/>
    <cellStyle name="Millares 9 3 5 5 2" xfId="13469" xr:uid="{00000000-0005-0000-0000-0000C3510000}"/>
    <cellStyle name="Millares 9 3 5 5 3" xfId="20156" xr:uid="{00000000-0005-0000-0000-0000C4510000}"/>
    <cellStyle name="Millares 9 3 5 6" xfId="10152" xr:uid="{00000000-0005-0000-0000-0000C5510000}"/>
    <cellStyle name="Millares 9 3 5 7" xfId="16928" xr:uid="{00000000-0005-0000-0000-0000C651000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3" xfId="22174" xr:uid="{00000000-0005-0000-0000-0000CB510000}"/>
    <cellStyle name="Millares 9 3 6 2 3" xfId="12259" xr:uid="{00000000-0005-0000-0000-0000CC510000}"/>
    <cellStyle name="Millares 9 3 6 2 4" xfId="18946" xr:uid="{00000000-0005-0000-0000-0000CD510000}"/>
    <cellStyle name="Millares 9 3 6 3" xfId="7678" xr:uid="{00000000-0005-0000-0000-0000CE510000}"/>
    <cellStyle name="Millares 9 3 6 3 2" xfId="14256" xr:uid="{00000000-0005-0000-0000-0000CF510000}"/>
    <cellStyle name="Millares 9 3 6 3 3" xfId="20943" xr:uid="{00000000-0005-0000-0000-0000D0510000}"/>
    <cellStyle name="Millares 9 3 6 4" xfId="10950" xr:uid="{00000000-0005-0000-0000-0000D1510000}"/>
    <cellStyle name="Millares 9 3 6 5" xfId="17715" xr:uid="{00000000-0005-0000-0000-0000D2510000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3" xfId="22554" xr:uid="{00000000-0005-0000-0000-0000D7510000}"/>
    <cellStyle name="Millares 9 3 7 2 3" xfId="12639" xr:uid="{00000000-0005-0000-0000-0000D8510000}"/>
    <cellStyle name="Millares 9 3 7 2 4" xfId="19326" xr:uid="{00000000-0005-0000-0000-0000D9510000}"/>
    <cellStyle name="Millares 9 3 7 3" xfId="8058" xr:uid="{00000000-0005-0000-0000-0000DA510000}"/>
    <cellStyle name="Millares 9 3 7 3 2" xfId="14636" xr:uid="{00000000-0005-0000-0000-0000DB510000}"/>
    <cellStyle name="Millares 9 3 7 3 3" xfId="21323" xr:uid="{00000000-0005-0000-0000-0000DC510000}"/>
    <cellStyle name="Millares 9 3 7 4" xfId="11360" xr:uid="{00000000-0005-0000-0000-0000DD510000}"/>
    <cellStyle name="Millares 9 3 7 5" xfId="18095" xr:uid="{00000000-0005-0000-0000-0000DE510000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3" xfId="20547" xr:uid="{00000000-0005-0000-0000-0000E2510000}"/>
    <cellStyle name="Millares 9 3 8 3" xfId="10544" xr:uid="{00000000-0005-0000-0000-0000E3510000}"/>
    <cellStyle name="Millares 9 3 8 4" xfId="17319" xr:uid="{00000000-0005-0000-0000-0000E4510000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3" xfId="21778" xr:uid="{00000000-0005-0000-0000-0000E8510000}"/>
    <cellStyle name="Millares 9 3 9 3" xfId="11863" xr:uid="{00000000-0005-0000-0000-0000E9510000}"/>
    <cellStyle name="Millares 9 3 9 4" xfId="18550" xr:uid="{00000000-0005-0000-0000-0000EA510000}"/>
    <cellStyle name="Millares 9 4" xfId="265" xr:uid="{00000000-0005-0000-0000-0000EB510000}"/>
    <cellStyle name="Millares 9 4 10" xfId="9762" xr:uid="{00000000-0005-0000-0000-0000EC510000}"/>
    <cellStyle name="Millares 9 4 11" xfId="16564" xr:uid="{00000000-0005-0000-0000-0000ED510000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3" xfId="21682" xr:uid="{00000000-0005-0000-0000-0000F4510000}"/>
    <cellStyle name="Millares 9 4 2 2 2 2 3" xfId="11765" xr:uid="{00000000-0005-0000-0000-0000F5510000}"/>
    <cellStyle name="Millares 9 4 2 2 2 2 4" xfId="18454" xr:uid="{00000000-0005-0000-0000-0000F6510000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3" xfId="22913" xr:uid="{00000000-0005-0000-0000-0000FA510000}"/>
    <cellStyle name="Millares 9 4 2 2 2 3 3" xfId="12998" xr:uid="{00000000-0005-0000-0000-0000FB510000}"/>
    <cellStyle name="Millares 9 4 2 2 2 3 4" xfId="19685" xr:uid="{00000000-0005-0000-0000-0000FC510000}"/>
    <cellStyle name="Millares 9 4 2 2 2 4" xfId="7200" xr:uid="{00000000-0005-0000-0000-0000FD510000}"/>
    <cellStyle name="Millares 9 4 2 2 2 4 2" xfId="13778" xr:uid="{00000000-0005-0000-0000-0000FE510000}"/>
    <cellStyle name="Millares 9 4 2 2 2 4 3" xfId="20465" xr:uid="{00000000-0005-0000-0000-0000FF510000}"/>
    <cellStyle name="Millares 9 4 2 2 2 5" xfId="10461" xr:uid="{00000000-0005-0000-0000-000000520000}"/>
    <cellStyle name="Millares 9 4 2 2 2 6" xfId="17237" xr:uid="{00000000-0005-0000-0000-000001520000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3" xfId="21026" xr:uid="{00000000-0005-0000-0000-000005520000}"/>
    <cellStyle name="Millares 9 4 2 2 3 3" xfId="11042" xr:uid="{00000000-0005-0000-0000-000006520000}"/>
    <cellStyle name="Millares 9 4 2 2 3 4" xfId="17798" xr:uid="{00000000-0005-0000-0000-000007520000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3" xfId="22257" xr:uid="{00000000-0005-0000-0000-00000B520000}"/>
    <cellStyle name="Millares 9 4 2 2 4 3" xfId="12342" xr:uid="{00000000-0005-0000-0000-00000C520000}"/>
    <cellStyle name="Millares 9 4 2 2 4 4" xfId="19029" xr:uid="{00000000-0005-0000-0000-00000D520000}"/>
    <cellStyle name="Millares 9 4 2 2 5" xfId="6812" xr:uid="{00000000-0005-0000-0000-00000E520000}"/>
    <cellStyle name="Millares 9 4 2 2 5 2" xfId="13390" xr:uid="{00000000-0005-0000-0000-00000F520000}"/>
    <cellStyle name="Millares 9 4 2 2 5 3" xfId="20077" xr:uid="{00000000-0005-0000-0000-000010520000}"/>
    <cellStyle name="Millares 9 4 2 2 6" xfId="10069" xr:uid="{00000000-0005-0000-0000-000011520000}"/>
    <cellStyle name="Millares 9 4 2 2 7" xfId="16849" xr:uid="{00000000-0005-0000-0000-000012520000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3" xfId="21438" xr:uid="{00000000-0005-0000-0000-000017520000}"/>
    <cellStyle name="Millares 9 4 2 3 2 3" xfId="11496" xr:uid="{00000000-0005-0000-0000-000018520000}"/>
    <cellStyle name="Millares 9 4 2 3 2 4" xfId="18210" xr:uid="{00000000-0005-0000-0000-000019520000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3" xfId="22669" xr:uid="{00000000-0005-0000-0000-00001D520000}"/>
    <cellStyle name="Millares 9 4 2 3 3 3" xfId="12754" xr:uid="{00000000-0005-0000-0000-00001E520000}"/>
    <cellStyle name="Millares 9 4 2 3 3 4" xfId="19441" xr:uid="{00000000-0005-0000-0000-00001F520000}"/>
    <cellStyle name="Millares 9 4 2 3 4" xfId="7007" xr:uid="{00000000-0005-0000-0000-000020520000}"/>
    <cellStyle name="Millares 9 4 2 3 4 2" xfId="13585" xr:uid="{00000000-0005-0000-0000-000021520000}"/>
    <cellStyle name="Millares 9 4 2 3 4 3" xfId="20272" xr:uid="{00000000-0005-0000-0000-000022520000}"/>
    <cellStyle name="Millares 9 4 2 3 5" xfId="10268" xr:uid="{00000000-0005-0000-0000-000023520000}"/>
    <cellStyle name="Millares 9 4 2 3 6" xfId="17044" xr:uid="{00000000-0005-0000-0000-00002452000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3" xfId="20630" xr:uid="{00000000-0005-0000-0000-000028520000}"/>
    <cellStyle name="Millares 9 4 2 4 3" xfId="10627" xr:uid="{00000000-0005-0000-0000-000029520000}"/>
    <cellStyle name="Millares 9 4 2 4 4" xfId="17402" xr:uid="{00000000-0005-0000-0000-00002A520000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3" xfId="21861" xr:uid="{00000000-0005-0000-0000-00002E520000}"/>
    <cellStyle name="Millares 9 4 2 5 3" xfId="11946" xr:uid="{00000000-0005-0000-0000-00002F520000}"/>
    <cellStyle name="Millares 9 4 2 5 4" xfId="18633" xr:uid="{00000000-0005-0000-0000-000030520000}"/>
    <cellStyle name="Millares 9 4 2 6" xfId="6619" xr:uid="{00000000-0005-0000-0000-000031520000}"/>
    <cellStyle name="Millares 9 4 2 6 2" xfId="13197" xr:uid="{00000000-0005-0000-0000-000032520000}"/>
    <cellStyle name="Millares 9 4 2 6 3" xfId="19884" xr:uid="{00000000-0005-0000-0000-000033520000}"/>
    <cellStyle name="Millares 9 4 2 7" xfId="9860" xr:uid="{00000000-0005-0000-0000-000034520000}"/>
    <cellStyle name="Millares 9 4 2 8" xfId="16656" xr:uid="{00000000-0005-0000-0000-000035520000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3" xfId="21200" xr:uid="{00000000-0005-0000-0000-00003B520000}"/>
    <cellStyle name="Millares 9 4 3 2 2 3" xfId="11222" xr:uid="{00000000-0005-0000-0000-00003C520000}"/>
    <cellStyle name="Millares 9 4 3 2 2 4" xfId="17972" xr:uid="{00000000-0005-0000-0000-00003D520000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3" xfId="22431" xr:uid="{00000000-0005-0000-0000-000041520000}"/>
    <cellStyle name="Millares 9 4 3 2 3 3" xfId="12516" xr:uid="{00000000-0005-0000-0000-000042520000}"/>
    <cellStyle name="Millares 9 4 3 2 3 4" xfId="19203" xr:uid="{00000000-0005-0000-0000-000043520000}"/>
    <cellStyle name="Millares 9 4 3 2 4" xfId="7108" xr:uid="{00000000-0005-0000-0000-000044520000}"/>
    <cellStyle name="Millares 9 4 3 2 4 2" xfId="13686" xr:uid="{00000000-0005-0000-0000-000045520000}"/>
    <cellStyle name="Millares 9 4 3 2 4 3" xfId="20373" xr:uid="{00000000-0005-0000-0000-000046520000}"/>
    <cellStyle name="Millares 9 4 3 2 5" xfId="10369" xr:uid="{00000000-0005-0000-0000-000047520000}"/>
    <cellStyle name="Millares 9 4 3 2 6" xfId="17145" xr:uid="{00000000-0005-0000-0000-000048520000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3" xfId="22821" xr:uid="{00000000-0005-0000-0000-00004D520000}"/>
    <cellStyle name="Millares 9 4 3 3 2 3" xfId="12906" xr:uid="{00000000-0005-0000-0000-00004E520000}"/>
    <cellStyle name="Millares 9 4 3 3 2 4" xfId="19593" xr:uid="{00000000-0005-0000-0000-00004F520000}"/>
    <cellStyle name="Millares 9 4 3 3 3" xfId="8325" xr:uid="{00000000-0005-0000-0000-000050520000}"/>
    <cellStyle name="Millares 9 4 3 3 3 2" xfId="14903" xr:uid="{00000000-0005-0000-0000-000051520000}"/>
    <cellStyle name="Millares 9 4 3 3 3 3" xfId="21590" xr:uid="{00000000-0005-0000-0000-000052520000}"/>
    <cellStyle name="Millares 9 4 3 3 4" xfId="11660" xr:uid="{00000000-0005-0000-0000-000053520000}"/>
    <cellStyle name="Millares 9 4 3 3 5" xfId="18362" xr:uid="{00000000-0005-0000-0000-000054520000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3" xfId="20804" xr:uid="{00000000-0005-0000-0000-000058520000}"/>
    <cellStyle name="Millares 9 4 3 4 3" xfId="10801" xr:uid="{00000000-0005-0000-0000-000059520000}"/>
    <cellStyle name="Millares 9 4 3 4 4" xfId="17576" xr:uid="{00000000-0005-0000-0000-00005A520000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3" xfId="22035" xr:uid="{00000000-0005-0000-0000-00005E520000}"/>
    <cellStyle name="Millares 9 4 3 5 3" xfId="12120" xr:uid="{00000000-0005-0000-0000-00005F520000}"/>
    <cellStyle name="Millares 9 4 3 5 4" xfId="18807" xr:uid="{00000000-0005-0000-0000-000060520000}"/>
    <cellStyle name="Millares 9 4 3 6" xfId="6720" xr:uid="{00000000-0005-0000-0000-000061520000}"/>
    <cellStyle name="Millares 9 4 3 6 2" xfId="13298" xr:uid="{00000000-0005-0000-0000-000062520000}"/>
    <cellStyle name="Millares 9 4 3 6 3" xfId="19985" xr:uid="{00000000-0005-0000-0000-000063520000}"/>
    <cellStyle name="Millares 9 4 3 7" xfId="9968" xr:uid="{00000000-0005-0000-0000-000064520000}"/>
    <cellStyle name="Millares 9 4 3 8" xfId="16757" xr:uid="{00000000-0005-0000-0000-000065520000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3" xfId="22485" xr:uid="{00000000-0005-0000-0000-00006B520000}"/>
    <cellStyle name="Millares 9 4 4 2 2 3" xfId="12570" xr:uid="{00000000-0005-0000-0000-00006C520000}"/>
    <cellStyle name="Millares 9 4 4 2 2 4" xfId="19257" xr:uid="{00000000-0005-0000-0000-00006D520000}"/>
    <cellStyle name="Millares 9 4 4 2 3" xfId="7989" xr:uid="{00000000-0005-0000-0000-00006E520000}"/>
    <cellStyle name="Millares 9 4 4 2 3 2" xfId="14567" xr:uid="{00000000-0005-0000-0000-00006F520000}"/>
    <cellStyle name="Millares 9 4 4 2 3 3" xfId="21254" xr:uid="{00000000-0005-0000-0000-000070520000}"/>
    <cellStyle name="Millares 9 4 4 2 4" xfId="11286" xr:uid="{00000000-0005-0000-0000-000071520000}"/>
    <cellStyle name="Millares 9 4 4 2 5" xfId="18026" xr:uid="{00000000-0005-0000-0000-000072520000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3" xfId="20858" xr:uid="{00000000-0005-0000-0000-000076520000}"/>
    <cellStyle name="Millares 9 4 4 3 3" xfId="10858" xr:uid="{00000000-0005-0000-0000-000077520000}"/>
    <cellStyle name="Millares 9 4 4 3 4" xfId="17630" xr:uid="{00000000-0005-0000-0000-000078520000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3" xfId="22089" xr:uid="{00000000-0005-0000-0000-00007C520000}"/>
    <cellStyle name="Millares 9 4 4 4 3" xfId="12174" xr:uid="{00000000-0005-0000-0000-00007D520000}"/>
    <cellStyle name="Millares 9 4 4 4 4" xfId="18861" xr:uid="{00000000-0005-0000-0000-00007E520000}"/>
    <cellStyle name="Millares 9 4 4 5" xfId="6915" xr:uid="{00000000-0005-0000-0000-00007F520000}"/>
    <cellStyle name="Millares 9 4 4 5 2" xfId="13493" xr:uid="{00000000-0005-0000-0000-000080520000}"/>
    <cellStyle name="Millares 9 4 4 5 3" xfId="20180" xr:uid="{00000000-0005-0000-0000-000081520000}"/>
    <cellStyle name="Millares 9 4 4 6" xfId="10176" xr:uid="{00000000-0005-0000-0000-000082520000}"/>
    <cellStyle name="Millares 9 4 4 7" xfId="16952" xr:uid="{00000000-0005-0000-0000-00008352000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3" xfId="22151" xr:uid="{00000000-0005-0000-0000-000088520000}"/>
    <cellStyle name="Millares 9 4 5 2 3" xfId="12236" xr:uid="{00000000-0005-0000-0000-000089520000}"/>
    <cellStyle name="Millares 9 4 5 2 4" xfId="18923" xr:uid="{00000000-0005-0000-0000-00008A520000}"/>
    <cellStyle name="Millares 9 4 5 3" xfId="7655" xr:uid="{00000000-0005-0000-0000-00008B520000}"/>
    <cellStyle name="Millares 9 4 5 3 2" xfId="14233" xr:uid="{00000000-0005-0000-0000-00008C520000}"/>
    <cellStyle name="Millares 9 4 5 3 3" xfId="20920" xr:uid="{00000000-0005-0000-0000-00008D520000}"/>
    <cellStyle name="Millares 9 4 5 4" xfId="10926" xr:uid="{00000000-0005-0000-0000-00008E520000}"/>
    <cellStyle name="Millares 9 4 5 5" xfId="17692" xr:uid="{00000000-0005-0000-0000-00008F520000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3" xfId="22577" xr:uid="{00000000-0005-0000-0000-000094520000}"/>
    <cellStyle name="Millares 9 4 6 2 3" xfId="12662" xr:uid="{00000000-0005-0000-0000-000095520000}"/>
    <cellStyle name="Millares 9 4 6 2 4" xfId="19349" xr:uid="{00000000-0005-0000-0000-000096520000}"/>
    <cellStyle name="Millares 9 4 6 3" xfId="8081" xr:uid="{00000000-0005-0000-0000-000097520000}"/>
    <cellStyle name="Millares 9 4 6 3 2" xfId="14659" xr:uid="{00000000-0005-0000-0000-000098520000}"/>
    <cellStyle name="Millares 9 4 6 3 3" xfId="21346" xr:uid="{00000000-0005-0000-0000-000099520000}"/>
    <cellStyle name="Millares 9 4 6 4" xfId="11385" xr:uid="{00000000-0005-0000-0000-00009A520000}"/>
    <cellStyle name="Millares 9 4 6 5" xfId="18118" xr:uid="{00000000-0005-0000-0000-00009B520000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3" xfId="20524" xr:uid="{00000000-0005-0000-0000-00009F520000}"/>
    <cellStyle name="Millares 9 4 7 3" xfId="10521" xr:uid="{00000000-0005-0000-0000-0000A0520000}"/>
    <cellStyle name="Millares 9 4 7 4" xfId="17296" xr:uid="{00000000-0005-0000-0000-0000A1520000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3" xfId="21755" xr:uid="{00000000-0005-0000-0000-0000A5520000}"/>
    <cellStyle name="Millares 9 4 8 3" xfId="11840" xr:uid="{00000000-0005-0000-0000-0000A6520000}"/>
    <cellStyle name="Millares 9 4 8 4" xfId="18527" xr:uid="{00000000-0005-0000-0000-0000A7520000}"/>
    <cellStyle name="Millares 9 4 9" xfId="6527" xr:uid="{00000000-0005-0000-0000-0000A8520000}"/>
    <cellStyle name="Millares 9 4 9 2" xfId="13105" xr:uid="{00000000-0005-0000-0000-0000A9520000}"/>
    <cellStyle name="Millares 9 4 9 3" xfId="19792" xr:uid="{00000000-0005-0000-0000-0000AA520000}"/>
    <cellStyle name="Millares 9 5" xfId="446" xr:uid="{00000000-0005-0000-0000-0000AB520000}"/>
    <cellStyle name="Millares 9 5 10" xfId="16611" xr:uid="{00000000-0005-0000-0000-0000AC520000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3" xfId="21072" xr:uid="{00000000-0005-0000-0000-0000B2520000}"/>
    <cellStyle name="Millares 9 5 2 2 2 3" xfId="11089" xr:uid="{00000000-0005-0000-0000-0000B3520000}"/>
    <cellStyle name="Millares 9 5 2 2 2 4" xfId="17844" xr:uid="{00000000-0005-0000-0000-0000B4520000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3" xfId="22303" xr:uid="{00000000-0005-0000-0000-0000B8520000}"/>
    <cellStyle name="Millares 9 5 2 2 3 3" xfId="12388" xr:uid="{00000000-0005-0000-0000-0000B9520000}"/>
    <cellStyle name="Millares 9 5 2 2 3 4" xfId="19075" xr:uid="{00000000-0005-0000-0000-0000BA520000}"/>
    <cellStyle name="Millares 9 5 2 2 4" xfId="7155" xr:uid="{00000000-0005-0000-0000-0000BB520000}"/>
    <cellStyle name="Millares 9 5 2 2 4 2" xfId="13733" xr:uid="{00000000-0005-0000-0000-0000BC520000}"/>
    <cellStyle name="Millares 9 5 2 2 4 3" xfId="20420" xr:uid="{00000000-0005-0000-0000-0000BD520000}"/>
    <cellStyle name="Millares 9 5 2 2 5" xfId="10416" xr:uid="{00000000-0005-0000-0000-0000BE520000}"/>
    <cellStyle name="Millares 9 5 2 2 6" xfId="17192" xr:uid="{00000000-0005-0000-0000-0000BF520000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3" xfId="22868" xr:uid="{00000000-0005-0000-0000-0000C4520000}"/>
    <cellStyle name="Millares 9 5 2 3 2 3" xfId="12953" xr:uid="{00000000-0005-0000-0000-0000C5520000}"/>
    <cellStyle name="Millares 9 5 2 3 2 4" xfId="19640" xr:uid="{00000000-0005-0000-0000-0000C6520000}"/>
    <cellStyle name="Millares 9 5 2 3 3" xfId="8372" xr:uid="{00000000-0005-0000-0000-0000C7520000}"/>
    <cellStyle name="Millares 9 5 2 3 3 2" xfId="14950" xr:uid="{00000000-0005-0000-0000-0000C8520000}"/>
    <cellStyle name="Millares 9 5 2 3 3 3" xfId="21637" xr:uid="{00000000-0005-0000-0000-0000C9520000}"/>
    <cellStyle name="Millares 9 5 2 3 4" xfId="11714" xr:uid="{00000000-0005-0000-0000-0000CA520000}"/>
    <cellStyle name="Millares 9 5 2 3 5" xfId="18409" xr:uid="{00000000-0005-0000-0000-0000CB520000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3" xfId="20676" xr:uid="{00000000-0005-0000-0000-0000CF520000}"/>
    <cellStyle name="Millares 9 5 2 4 3" xfId="10673" xr:uid="{00000000-0005-0000-0000-0000D0520000}"/>
    <cellStyle name="Millares 9 5 2 4 4" xfId="17448" xr:uid="{00000000-0005-0000-0000-0000D1520000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3" xfId="21907" xr:uid="{00000000-0005-0000-0000-0000D5520000}"/>
    <cellStyle name="Millares 9 5 2 5 3" xfId="11992" xr:uid="{00000000-0005-0000-0000-0000D6520000}"/>
    <cellStyle name="Millares 9 5 2 5 4" xfId="18679" xr:uid="{00000000-0005-0000-0000-0000D7520000}"/>
    <cellStyle name="Millares 9 5 2 6" xfId="6767" xr:uid="{00000000-0005-0000-0000-0000D8520000}"/>
    <cellStyle name="Millares 9 5 2 6 2" xfId="13345" xr:uid="{00000000-0005-0000-0000-0000D9520000}"/>
    <cellStyle name="Millares 9 5 2 6 3" xfId="20032" xr:uid="{00000000-0005-0000-0000-0000DA520000}"/>
    <cellStyle name="Millares 9 5 2 7" xfId="10021" xr:uid="{00000000-0005-0000-0000-0000DB520000}"/>
    <cellStyle name="Millares 9 5 2 8" xfId="16804" xr:uid="{00000000-0005-0000-0000-0000DC520000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3" xfId="20966" xr:uid="{00000000-0005-0000-0000-0000E1520000}"/>
    <cellStyle name="Millares 9 5 3 2 3" xfId="10977" xr:uid="{00000000-0005-0000-0000-0000E2520000}"/>
    <cellStyle name="Millares 9 5 3 2 4" xfId="17738" xr:uid="{00000000-0005-0000-0000-0000E3520000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3" xfId="22197" xr:uid="{00000000-0005-0000-0000-0000E7520000}"/>
    <cellStyle name="Millares 9 5 3 3 3" xfId="12282" xr:uid="{00000000-0005-0000-0000-0000E8520000}"/>
    <cellStyle name="Millares 9 5 3 3 4" xfId="18969" xr:uid="{00000000-0005-0000-0000-0000E9520000}"/>
    <cellStyle name="Millares 9 5 3 4" xfId="6962" xr:uid="{00000000-0005-0000-0000-0000EA520000}"/>
    <cellStyle name="Millares 9 5 3 4 2" xfId="13540" xr:uid="{00000000-0005-0000-0000-0000EB520000}"/>
    <cellStyle name="Millares 9 5 3 4 3" xfId="20227" xr:uid="{00000000-0005-0000-0000-0000EC520000}"/>
    <cellStyle name="Millares 9 5 3 5" xfId="10223" xr:uid="{00000000-0005-0000-0000-0000ED520000}"/>
    <cellStyle name="Millares 9 5 3 6" xfId="16999" xr:uid="{00000000-0005-0000-0000-0000EE520000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3" xfId="22624" xr:uid="{00000000-0005-0000-0000-0000F3520000}"/>
    <cellStyle name="Millares 9 5 4 2 3" xfId="12709" xr:uid="{00000000-0005-0000-0000-0000F4520000}"/>
    <cellStyle name="Millares 9 5 4 2 4" xfId="19396" xr:uid="{00000000-0005-0000-0000-0000F5520000}"/>
    <cellStyle name="Millares 9 5 4 3" xfId="8128" xr:uid="{00000000-0005-0000-0000-0000F6520000}"/>
    <cellStyle name="Millares 9 5 4 3 2" xfId="14706" xr:uid="{00000000-0005-0000-0000-0000F7520000}"/>
    <cellStyle name="Millares 9 5 4 3 3" xfId="21393" xr:uid="{00000000-0005-0000-0000-0000F8520000}"/>
    <cellStyle name="Millares 9 5 4 4" xfId="11441" xr:uid="{00000000-0005-0000-0000-0000F9520000}"/>
    <cellStyle name="Millares 9 5 4 5" xfId="18165" xr:uid="{00000000-0005-0000-0000-0000FA520000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3" xfId="20570" xr:uid="{00000000-0005-0000-0000-0000FE520000}"/>
    <cellStyle name="Millares 9 5 5 3" xfId="10567" xr:uid="{00000000-0005-0000-0000-0000FF520000}"/>
    <cellStyle name="Millares 9 5 5 4" xfId="17342" xr:uid="{00000000-0005-0000-0000-000000530000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3" xfId="21801" xr:uid="{00000000-0005-0000-0000-000004530000}"/>
    <cellStyle name="Millares 9 5 6 3" xfId="11886" xr:uid="{00000000-0005-0000-0000-000005530000}"/>
    <cellStyle name="Millares 9 5 6 4" xfId="18573" xr:uid="{00000000-0005-0000-0000-000006530000}"/>
    <cellStyle name="Millares 9 5 7" xfId="6574" xr:uid="{00000000-0005-0000-0000-000007530000}"/>
    <cellStyle name="Millares 9 5 7 2" xfId="13152" xr:uid="{00000000-0005-0000-0000-000008530000}"/>
    <cellStyle name="Millares 9 5 7 3" xfId="19839" xr:uid="{00000000-0005-0000-0000-000009530000}"/>
    <cellStyle name="Millares 9 5 8" xfId="9812" xr:uid="{00000000-0005-0000-0000-00000A530000}"/>
    <cellStyle name="Millares 9 5 9" xfId="11131" xr:uid="{00000000-0005-0000-0000-00000B530000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3" xfId="21014" xr:uid="{00000000-0005-0000-0000-000011530000}"/>
    <cellStyle name="Millares 9 6 2 2 3" xfId="11030" xr:uid="{00000000-0005-0000-0000-000012530000}"/>
    <cellStyle name="Millares 9 6 2 2 4" xfId="17786" xr:uid="{00000000-0005-0000-0000-000013530000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3" xfId="22245" xr:uid="{00000000-0005-0000-0000-000017530000}"/>
    <cellStyle name="Millares 9 6 2 3 3" xfId="12330" xr:uid="{00000000-0005-0000-0000-000018530000}"/>
    <cellStyle name="Millares 9 6 2 3 4" xfId="19017" xr:uid="{00000000-0005-0000-0000-000019530000}"/>
    <cellStyle name="Millares 9 6 2 4" xfId="7061" xr:uid="{00000000-0005-0000-0000-00001A530000}"/>
    <cellStyle name="Millares 9 6 2 4 2" xfId="13639" xr:uid="{00000000-0005-0000-0000-00001B530000}"/>
    <cellStyle name="Millares 9 6 2 4 3" xfId="20326" xr:uid="{00000000-0005-0000-0000-00001C530000}"/>
    <cellStyle name="Millares 9 6 2 5" xfId="10322" xr:uid="{00000000-0005-0000-0000-00001D530000}"/>
    <cellStyle name="Millares 9 6 2 6" xfId="17098" xr:uid="{00000000-0005-0000-0000-00001E530000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3" xfId="22774" xr:uid="{00000000-0005-0000-0000-000023530000}"/>
    <cellStyle name="Millares 9 6 3 2 3" xfId="12859" xr:uid="{00000000-0005-0000-0000-000024530000}"/>
    <cellStyle name="Millares 9 6 3 2 4" xfId="19546" xr:uid="{00000000-0005-0000-0000-000025530000}"/>
    <cellStyle name="Millares 9 6 3 3" xfId="8278" xr:uid="{00000000-0005-0000-0000-000026530000}"/>
    <cellStyle name="Millares 9 6 3 3 2" xfId="14856" xr:uid="{00000000-0005-0000-0000-000027530000}"/>
    <cellStyle name="Millares 9 6 3 3 3" xfId="21543" xr:uid="{00000000-0005-0000-0000-000028530000}"/>
    <cellStyle name="Millares 9 6 3 4" xfId="11608" xr:uid="{00000000-0005-0000-0000-000029530000}"/>
    <cellStyle name="Millares 9 6 3 5" xfId="18315" xr:uid="{00000000-0005-0000-0000-00002A530000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3" xfId="20618" xr:uid="{00000000-0005-0000-0000-00002E530000}"/>
    <cellStyle name="Millares 9 6 4 3" xfId="10615" xr:uid="{00000000-0005-0000-0000-00002F530000}"/>
    <cellStyle name="Millares 9 6 4 4" xfId="17390" xr:uid="{00000000-0005-0000-0000-000030530000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3" xfId="21849" xr:uid="{00000000-0005-0000-0000-000034530000}"/>
    <cellStyle name="Millares 9 6 5 3" xfId="11934" xr:uid="{00000000-0005-0000-0000-000035530000}"/>
    <cellStyle name="Millares 9 6 5 4" xfId="18621" xr:uid="{00000000-0005-0000-0000-000036530000}"/>
    <cellStyle name="Millares 9 6 6" xfId="6673" xr:uid="{00000000-0005-0000-0000-000037530000}"/>
    <cellStyle name="Millares 9 6 6 2" xfId="13251" xr:uid="{00000000-0005-0000-0000-000038530000}"/>
    <cellStyle name="Millares 9 6 6 3" xfId="19938" xr:uid="{00000000-0005-0000-0000-000039530000}"/>
    <cellStyle name="Millares 9 6 7" xfId="9919" xr:uid="{00000000-0005-0000-0000-00003A530000}"/>
    <cellStyle name="Millares 9 6 8" xfId="16710" xr:uid="{00000000-0005-0000-0000-00003B530000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3" xfId="22424" xr:uid="{00000000-0005-0000-0000-000041530000}"/>
    <cellStyle name="Millares 9 7 2 2 3" xfId="12509" xr:uid="{00000000-0005-0000-0000-000042530000}"/>
    <cellStyle name="Millares 9 7 2 2 4" xfId="19196" xr:uid="{00000000-0005-0000-0000-000043530000}"/>
    <cellStyle name="Millares 9 7 2 3" xfId="7928" xr:uid="{00000000-0005-0000-0000-000044530000}"/>
    <cellStyle name="Millares 9 7 2 3 2" xfId="14506" xr:uid="{00000000-0005-0000-0000-000045530000}"/>
    <cellStyle name="Millares 9 7 2 3 3" xfId="21193" xr:uid="{00000000-0005-0000-0000-000046530000}"/>
    <cellStyle name="Millares 9 7 2 4" xfId="11215" xr:uid="{00000000-0005-0000-0000-000047530000}"/>
    <cellStyle name="Millares 9 7 2 5" xfId="17965" xr:uid="{00000000-0005-0000-0000-000048530000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3" xfId="20797" xr:uid="{00000000-0005-0000-0000-00004C530000}"/>
    <cellStyle name="Millares 9 7 3 3" xfId="10794" xr:uid="{00000000-0005-0000-0000-00004D530000}"/>
    <cellStyle name="Millares 9 7 3 4" xfId="17569" xr:uid="{00000000-0005-0000-0000-00004E530000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3" xfId="22028" xr:uid="{00000000-0005-0000-0000-000052530000}"/>
    <cellStyle name="Millares 9 7 4 3" xfId="12113" xr:uid="{00000000-0005-0000-0000-000053530000}"/>
    <cellStyle name="Millares 9 7 4 4" xfId="18800" xr:uid="{00000000-0005-0000-0000-000054530000}"/>
    <cellStyle name="Millares 9 7 5" xfId="6868" xr:uid="{00000000-0005-0000-0000-000055530000}"/>
    <cellStyle name="Millares 9 7 5 2" xfId="13446" xr:uid="{00000000-0005-0000-0000-000056530000}"/>
    <cellStyle name="Millares 9 7 5 3" xfId="20133" xr:uid="{00000000-0005-0000-0000-000057530000}"/>
    <cellStyle name="Millares 9 7 6" xfId="10129" xr:uid="{00000000-0005-0000-0000-000058530000}"/>
    <cellStyle name="Millares 9 7 7" xfId="16905" xr:uid="{00000000-0005-0000-0000-00005953000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3" xfId="22440" xr:uid="{00000000-0005-0000-0000-00005F530000}"/>
    <cellStyle name="Millares 9 8 2 2 3" xfId="12525" xr:uid="{00000000-0005-0000-0000-000060530000}"/>
    <cellStyle name="Millares 9 8 2 2 4" xfId="19212" xr:uid="{00000000-0005-0000-0000-000061530000}"/>
    <cellStyle name="Millares 9 8 2 3" xfId="7944" xr:uid="{00000000-0005-0000-0000-000062530000}"/>
    <cellStyle name="Millares 9 8 2 3 2" xfId="14522" xr:uid="{00000000-0005-0000-0000-000063530000}"/>
    <cellStyle name="Millares 9 8 2 3 3" xfId="21209" xr:uid="{00000000-0005-0000-0000-000064530000}"/>
    <cellStyle name="Millares 9 8 2 4" xfId="11237" xr:uid="{00000000-0005-0000-0000-000065530000}"/>
    <cellStyle name="Millares 9 8 2 5" xfId="17981" xr:uid="{00000000-0005-0000-0000-000066530000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3" xfId="22044" xr:uid="{00000000-0005-0000-0000-00006A530000}"/>
    <cellStyle name="Millares 9 8 3 3" xfId="12129" xr:uid="{00000000-0005-0000-0000-00006B530000}"/>
    <cellStyle name="Millares 9 8 3 4" xfId="18816" xr:uid="{00000000-0005-0000-0000-00006C530000}"/>
    <cellStyle name="Millares 9 8 4" xfId="7548" xr:uid="{00000000-0005-0000-0000-00006D530000}"/>
    <cellStyle name="Millares 9 8 4 2" xfId="14126" xr:uid="{00000000-0005-0000-0000-00006E530000}"/>
    <cellStyle name="Millares 9 8 4 3" xfId="20813" xr:uid="{00000000-0005-0000-0000-00006F530000}"/>
    <cellStyle name="Millares 9 8 5" xfId="10810" xr:uid="{00000000-0005-0000-0000-000070530000}"/>
    <cellStyle name="Millares 9 8 6" xfId="17585" xr:uid="{00000000-0005-0000-0000-000071530000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3" xfId="22139" xr:uid="{00000000-0005-0000-0000-000076530000}"/>
    <cellStyle name="Millares 9 9 2 3" xfId="12224" xr:uid="{00000000-0005-0000-0000-000077530000}"/>
    <cellStyle name="Millares 9 9 2 4" xfId="18911" xr:uid="{00000000-0005-0000-0000-000078530000}"/>
    <cellStyle name="Millares 9 9 3" xfId="7643" xr:uid="{00000000-0005-0000-0000-000079530000}"/>
    <cellStyle name="Millares 9 9 3 2" xfId="14221" xr:uid="{00000000-0005-0000-0000-00007A530000}"/>
    <cellStyle name="Millares 9 9 3 3" xfId="20908" xr:uid="{00000000-0005-0000-0000-00007B530000}"/>
    <cellStyle name="Millares 9 9 4" xfId="10914" xr:uid="{00000000-0005-0000-0000-00007C530000}"/>
    <cellStyle name="Millares 9 9 5" xfId="17680" xr:uid="{00000000-0005-0000-0000-00007D530000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3" xfId="20510" xr:uid="{00000000-0005-0000-0000-000081530000}"/>
    <cellStyle name="Moneda 2 3" xfId="10506" xr:uid="{00000000-0005-0000-0000-000082530000}"/>
    <cellStyle name="Moneda 2 4" xfId="17282" xr:uid="{00000000-0005-0000-0000-000083530000}"/>
    <cellStyle name="Moneda 3" xfId="9696" xr:uid="{00000000-0005-0000-0000-000084530000}"/>
    <cellStyle name="Moneda 3 2" xfId="16501" xr:uid="{00000000-0005-0000-0000-000085530000}"/>
    <cellStyle name="Moneda 4" xfId="16275" xr:uid="{00000000-0005-0000-0000-000086530000}"/>
    <cellStyle name="Moneda 5" xfId="22962" xr:uid="{00000000-0005-0000-0000-000087530000}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1" xfId="16443" xr:uid="{00000000-0005-0000-0000-000090530000}"/>
    <cellStyle name="Normal 10 12" xfId="16315" xr:uid="{00000000-0005-0000-0000-000091530000}"/>
    <cellStyle name="Normal 10 2" xfId="123" xr:uid="{00000000-0005-0000-0000-000092530000}"/>
    <cellStyle name="Normal 10 2 10" xfId="9838" xr:uid="{00000000-0005-0000-0000-000093530000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3" xfId="1455" xr:uid="{00000000-0005-0000-0000-000099530000}"/>
    <cellStyle name="Normal 10 2 2 2 3" xfId="1107" xr:uid="{00000000-0005-0000-0000-00009A530000}"/>
    <cellStyle name="Normal 10 2 2 2 3 2" xfId="3327" xr:uid="{00000000-0005-0000-0000-00009B530000}"/>
    <cellStyle name="Normal 10 2 2 2 3 3" xfId="4865" xr:uid="{00000000-0005-0000-0000-00009C530000}"/>
    <cellStyle name="Normal 10 2 2 2 4" xfId="2535" xr:uid="{00000000-0005-0000-0000-00009D530000}"/>
    <cellStyle name="Normal 10 2 2 2 4 2" xfId="3764" xr:uid="{00000000-0005-0000-0000-00009E530000}"/>
    <cellStyle name="Normal 10 2 2 2 5" xfId="2927" xr:uid="{00000000-0005-0000-0000-00009F530000}"/>
    <cellStyle name="Normal 10 2 2 2 6" xfId="4109" xr:uid="{00000000-0005-0000-0000-0000A0530000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3" xfId="4287" xr:uid="{00000000-0005-0000-0000-0000A4530000}"/>
    <cellStyle name="Normal 10 2 2 4" xfId="934" xr:uid="{00000000-0005-0000-0000-0000A5530000}"/>
    <cellStyle name="Normal 10 2 2 4 2" xfId="3326" xr:uid="{00000000-0005-0000-0000-0000A6530000}"/>
    <cellStyle name="Normal 10 2 2 4 3" xfId="4692" xr:uid="{00000000-0005-0000-0000-0000A7530000}"/>
    <cellStyle name="Normal 10 2 2 5" xfId="2364" xr:uid="{00000000-0005-0000-0000-0000A8530000}"/>
    <cellStyle name="Normal 10 2 2 5 2" xfId="3592" xr:uid="{00000000-0005-0000-0000-0000A9530000}"/>
    <cellStyle name="Normal 10 2 2 6" xfId="2756" xr:uid="{00000000-0005-0000-0000-0000AA530000}"/>
    <cellStyle name="Normal 10 2 2 7" xfId="3937" xr:uid="{00000000-0005-0000-0000-0000AB530000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3" xfId="4374" xr:uid="{00000000-0005-0000-0000-0000B0530000}"/>
    <cellStyle name="Normal 10 2 3 3" xfId="1022" xr:uid="{00000000-0005-0000-0000-0000B1530000}"/>
    <cellStyle name="Normal 10 2 3 3 2" xfId="3328" xr:uid="{00000000-0005-0000-0000-0000B2530000}"/>
    <cellStyle name="Normal 10 2 3 3 3" xfId="4780" xr:uid="{00000000-0005-0000-0000-0000B3530000}"/>
    <cellStyle name="Normal 10 2 3 4" xfId="2450" xr:uid="{00000000-0005-0000-0000-0000B4530000}"/>
    <cellStyle name="Normal 10 2 3 4 2" xfId="3679" xr:uid="{00000000-0005-0000-0000-0000B5530000}"/>
    <cellStyle name="Normal 10 2 3 5" xfId="2842" xr:uid="{00000000-0005-0000-0000-0000B6530000}"/>
    <cellStyle name="Normal 10 2 3 6" xfId="4024" xr:uid="{00000000-0005-0000-0000-0000B7530000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3" xfId="4202" xr:uid="{00000000-0005-0000-0000-0000BB530000}"/>
    <cellStyle name="Normal 10 2 5" xfId="848" xr:uid="{00000000-0005-0000-0000-0000BC530000}"/>
    <cellStyle name="Normal 10 2 5 2" xfId="3325" xr:uid="{00000000-0005-0000-0000-0000BD530000}"/>
    <cellStyle name="Normal 10 2 5 3" xfId="4606" xr:uid="{00000000-0005-0000-0000-0000BE530000}"/>
    <cellStyle name="Normal 10 2 6" xfId="2279" xr:uid="{00000000-0005-0000-0000-0000BF530000}"/>
    <cellStyle name="Normal 10 2 6 2" xfId="3507" xr:uid="{00000000-0005-0000-0000-0000C0530000}"/>
    <cellStyle name="Normal 10 2 7" xfId="2670" xr:uid="{00000000-0005-0000-0000-0000C1530000}"/>
    <cellStyle name="Normal 10 2 8" xfId="3852" xr:uid="{00000000-0005-0000-0000-0000C2530000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3" xfId="4419" xr:uid="{00000000-0005-0000-0000-0000C9530000}"/>
    <cellStyle name="Normal 10 3 2 3" xfId="1067" xr:uid="{00000000-0005-0000-0000-0000CA530000}"/>
    <cellStyle name="Normal 10 3 2 3 2" xfId="3330" xr:uid="{00000000-0005-0000-0000-0000CB530000}"/>
    <cellStyle name="Normal 10 3 2 3 3" xfId="4825" xr:uid="{00000000-0005-0000-0000-0000CC530000}"/>
    <cellStyle name="Normal 10 3 2 4" xfId="2495" xr:uid="{00000000-0005-0000-0000-0000CD530000}"/>
    <cellStyle name="Normal 10 3 2 4 2" xfId="3724" xr:uid="{00000000-0005-0000-0000-0000CE530000}"/>
    <cellStyle name="Normal 10 3 2 5" xfId="2887" xr:uid="{00000000-0005-0000-0000-0000CF530000}"/>
    <cellStyle name="Normal 10 3 2 6" xfId="4069" xr:uid="{00000000-0005-0000-0000-0000D0530000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3" xfId="4247" xr:uid="{00000000-0005-0000-0000-0000D4530000}"/>
    <cellStyle name="Normal 10 3 4" xfId="894" xr:uid="{00000000-0005-0000-0000-0000D5530000}"/>
    <cellStyle name="Normal 10 3 4 2" xfId="3329" xr:uid="{00000000-0005-0000-0000-0000D6530000}"/>
    <cellStyle name="Normal 10 3 4 3" xfId="4652" xr:uid="{00000000-0005-0000-0000-0000D7530000}"/>
    <cellStyle name="Normal 10 3 5" xfId="2324" xr:uid="{00000000-0005-0000-0000-0000D8530000}"/>
    <cellStyle name="Normal 10 3 5 2" xfId="3552" xr:uid="{00000000-0005-0000-0000-0000D9530000}"/>
    <cellStyle name="Normal 10 3 6" xfId="2716" xr:uid="{00000000-0005-0000-0000-0000DA530000}"/>
    <cellStyle name="Normal 10 3 7" xfId="3897" xr:uid="{00000000-0005-0000-0000-0000DB530000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3" xfId="4334" xr:uid="{00000000-0005-0000-0000-0000E0530000}"/>
    <cellStyle name="Normal 10 4 3" xfId="982" xr:uid="{00000000-0005-0000-0000-0000E1530000}"/>
    <cellStyle name="Normal 10 4 3 2" xfId="3331" xr:uid="{00000000-0005-0000-0000-0000E2530000}"/>
    <cellStyle name="Normal 10 4 3 3" xfId="4740" xr:uid="{00000000-0005-0000-0000-0000E3530000}"/>
    <cellStyle name="Normal 10 4 4" xfId="2410" xr:uid="{00000000-0005-0000-0000-0000E4530000}"/>
    <cellStyle name="Normal 10 4 4 2" xfId="3639" xr:uid="{00000000-0005-0000-0000-0000E5530000}"/>
    <cellStyle name="Normal 10 4 5" xfId="2630" xr:uid="{00000000-0005-0000-0000-0000E6530000}"/>
    <cellStyle name="Normal 10 4 6" xfId="3984" xr:uid="{00000000-0005-0000-0000-0000E7530000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3" xfId="4916" xr:uid="{00000000-0005-0000-0000-0000EB530000}"/>
    <cellStyle name="Normal 10 5 3" xfId="2802" xr:uid="{00000000-0005-0000-0000-0000EC530000}"/>
    <cellStyle name="Normal 10 5 4" xfId="4162" xr:uid="{00000000-0005-0000-0000-0000ED530000}"/>
    <cellStyle name="Normal 10 6" xfId="808" xr:uid="{00000000-0005-0000-0000-0000EE530000}"/>
    <cellStyle name="Normal 10 6 2" xfId="2977" xr:uid="{00000000-0005-0000-0000-0000EF530000}"/>
    <cellStyle name="Normal 10 6 3" xfId="4566" xr:uid="{00000000-0005-0000-0000-0000F0530000}"/>
    <cellStyle name="Normal 10 7" xfId="2211" xr:uid="{00000000-0005-0000-0000-0000F1530000}"/>
    <cellStyle name="Normal 10 7 2" xfId="3324" xr:uid="{00000000-0005-0000-0000-0000F2530000}"/>
    <cellStyle name="Normal 10 8" xfId="2239" xr:uid="{00000000-0005-0000-0000-0000F3530000}"/>
    <cellStyle name="Normal 10 8 2" xfId="3467" xr:uid="{00000000-0005-0000-0000-0000F4530000}"/>
    <cellStyle name="Normal 10 9" xfId="2587" xr:uid="{00000000-0005-0000-0000-0000F5530000}"/>
    <cellStyle name="Normal 11" xfId="90" xr:uid="{00000000-0005-0000-0000-0000F6530000}"/>
    <cellStyle name="Normal 11 10" xfId="3814" xr:uid="{00000000-0005-0000-0000-0000F7530000}"/>
    <cellStyle name="Normal 11 11" xfId="16279" xr:uid="{00000000-0005-0000-0000-0000F8530000}"/>
    <cellStyle name="Normal 11 12" xfId="16341" xr:uid="{00000000-0005-0000-0000-0000F9530000}"/>
    <cellStyle name="Normal 11 2" xfId="125" xr:uid="{00000000-0005-0000-0000-0000FA530000}"/>
    <cellStyle name="Normal 11 2 10" xfId="11685" xr:uid="{00000000-0005-0000-0000-0000FB530000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3" xfId="4459" xr:uid="{00000000-0005-0000-0000-000001540000}"/>
    <cellStyle name="Normal 11 2 2 2 3" xfId="1109" xr:uid="{00000000-0005-0000-0000-000002540000}"/>
    <cellStyle name="Normal 11 2 2 2 3 2" xfId="3335" xr:uid="{00000000-0005-0000-0000-000003540000}"/>
    <cellStyle name="Normal 11 2 2 2 3 3" xfId="4867" xr:uid="{00000000-0005-0000-0000-000004540000}"/>
    <cellStyle name="Normal 11 2 2 2 4" xfId="2537" xr:uid="{00000000-0005-0000-0000-000005540000}"/>
    <cellStyle name="Normal 11 2 2 2 4 2" xfId="3766" xr:uid="{00000000-0005-0000-0000-000006540000}"/>
    <cellStyle name="Normal 11 2 2 2 5" xfId="2929" xr:uid="{00000000-0005-0000-0000-000007540000}"/>
    <cellStyle name="Normal 11 2 2 2 6" xfId="4111" xr:uid="{00000000-0005-0000-0000-000008540000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3" xfId="4289" xr:uid="{00000000-0005-0000-0000-00000C540000}"/>
    <cellStyle name="Normal 11 2 2 4" xfId="936" xr:uid="{00000000-0005-0000-0000-00000D540000}"/>
    <cellStyle name="Normal 11 2 2 4 2" xfId="3334" xr:uid="{00000000-0005-0000-0000-00000E540000}"/>
    <cellStyle name="Normal 11 2 2 4 3" xfId="4694" xr:uid="{00000000-0005-0000-0000-00000F540000}"/>
    <cellStyle name="Normal 11 2 2 5" xfId="2366" xr:uid="{00000000-0005-0000-0000-000010540000}"/>
    <cellStyle name="Normal 11 2 2 5 2" xfId="3594" xr:uid="{00000000-0005-0000-0000-000011540000}"/>
    <cellStyle name="Normal 11 2 2 6" xfId="2758" xr:uid="{00000000-0005-0000-0000-000012540000}"/>
    <cellStyle name="Normal 11 2 2 7" xfId="3939" xr:uid="{00000000-0005-0000-0000-000013540000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3" xfId="4376" xr:uid="{00000000-0005-0000-0000-000018540000}"/>
    <cellStyle name="Normal 11 2 3 3" xfId="1024" xr:uid="{00000000-0005-0000-0000-000019540000}"/>
    <cellStyle name="Normal 11 2 3 3 2" xfId="3336" xr:uid="{00000000-0005-0000-0000-00001A540000}"/>
    <cellStyle name="Normal 11 2 3 3 3" xfId="4782" xr:uid="{00000000-0005-0000-0000-00001B540000}"/>
    <cellStyle name="Normal 11 2 3 4" xfId="2452" xr:uid="{00000000-0005-0000-0000-00001C540000}"/>
    <cellStyle name="Normal 11 2 3 4 2" xfId="3681" xr:uid="{00000000-0005-0000-0000-00001D540000}"/>
    <cellStyle name="Normal 11 2 3 5" xfId="2844" xr:uid="{00000000-0005-0000-0000-00001E540000}"/>
    <cellStyle name="Normal 11 2 3 6" xfId="4026" xr:uid="{00000000-0005-0000-0000-00001F540000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3" xfId="4204" xr:uid="{00000000-0005-0000-0000-000023540000}"/>
    <cellStyle name="Normal 11 2 5" xfId="850" xr:uid="{00000000-0005-0000-0000-000024540000}"/>
    <cellStyle name="Normal 11 2 5 2" xfId="3333" xr:uid="{00000000-0005-0000-0000-000025540000}"/>
    <cellStyle name="Normal 11 2 5 3" xfId="4608" xr:uid="{00000000-0005-0000-0000-000026540000}"/>
    <cellStyle name="Normal 11 2 6" xfId="2281" xr:uid="{00000000-0005-0000-0000-000027540000}"/>
    <cellStyle name="Normal 11 2 6 2" xfId="3509" xr:uid="{00000000-0005-0000-0000-000028540000}"/>
    <cellStyle name="Normal 11 2 7" xfId="2672" xr:uid="{00000000-0005-0000-0000-000029540000}"/>
    <cellStyle name="Normal 11 2 8" xfId="3854" xr:uid="{00000000-0005-0000-0000-00002A540000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3" xfId="4421" xr:uid="{00000000-0005-0000-0000-000031540000}"/>
    <cellStyle name="Normal 11 3 2 3" xfId="1069" xr:uid="{00000000-0005-0000-0000-000032540000}"/>
    <cellStyle name="Normal 11 3 2 3 2" xfId="3338" xr:uid="{00000000-0005-0000-0000-000033540000}"/>
    <cellStyle name="Normal 11 3 2 3 3" xfId="4827" xr:uid="{00000000-0005-0000-0000-000034540000}"/>
    <cellStyle name="Normal 11 3 2 4" xfId="2497" xr:uid="{00000000-0005-0000-0000-000035540000}"/>
    <cellStyle name="Normal 11 3 2 4 2" xfId="3726" xr:uid="{00000000-0005-0000-0000-000036540000}"/>
    <cellStyle name="Normal 11 3 2 5" xfId="2889" xr:uid="{00000000-0005-0000-0000-000037540000}"/>
    <cellStyle name="Normal 11 3 2 6" xfId="4071" xr:uid="{00000000-0005-0000-0000-000038540000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3" xfId="4249" xr:uid="{00000000-0005-0000-0000-00003C540000}"/>
    <cellStyle name="Normal 11 3 4" xfId="896" xr:uid="{00000000-0005-0000-0000-00003D540000}"/>
    <cellStyle name="Normal 11 3 4 2" xfId="3337" xr:uid="{00000000-0005-0000-0000-00003E540000}"/>
    <cellStyle name="Normal 11 3 4 3" xfId="4654" xr:uid="{00000000-0005-0000-0000-00003F540000}"/>
    <cellStyle name="Normal 11 3 5" xfId="2326" xr:uid="{00000000-0005-0000-0000-000040540000}"/>
    <cellStyle name="Normal 11 3 5 2" xfId="3554" xr:uid="{00000000-0005-0000-0000-000041540000}"/>
    <cellStyle name="Normal 11 3 6" xfId="2718" xr:uid="{00000000-0005-0000-0000-000042540000}"/>
    <cellStyle name="Normal 11 3 7" xfId="3899" xr:uid="{00000000-0005-0000-0000-000043540000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3" xfId="4336" xr:uid="{00000000-0005-0000-0000-000048540000}"/>
    <cellStyle name="Normal 11 4 3" xfId="984" xr:uid="{00000000-0005-0000-0000-000049540000}"/>
    <cellStyle name="Normal 11 4 3 2" xfId="3339" xr:uid="{00000000-0005-0000-0000-00004A540000}"/>
    <cellStyle name="Normal 11 4 3 3" xfId="4742" xr:uid="{00000000-0005-0000-0000-00004B540000}"/>
    <cellStyle name="Normal 11 4 4" xfId="2412" xr:uid="{00000000-0005-0000-0000-00004C540000}"/>
    <cellStyle name="Normal 11 4 4 2" xfId="3641" xr:uid="{00000000-0005-0000-0000-00004D540000}"/>
    <cellStyle name="Normal 11 4 5" xfId="2632" xr:uid="{00000000-0005-0000-0000-00004E540000}"/>
    <cellStyle name="Normal 11 4 6" xfId="3986" xr:uid="{00000000-0005-0000-0000-00004F540000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3" xfId="4918" xr:uid="{00000000-0005-0000-0000-000053540000}"/>
    <cellStyle name="Normal 11 5 3" xfId="2804" xr:uid="{00000000-0005-0000-0000-000054540000}"/>
    <cellStyle name="Normal 11 5 4" xfId="4164" xr:uid="{00000000-0005-0000-0000-000055540000}"/>
    <cellStyle name="Normal 11 6" xfId="810" xr:uid="{00000000-0005-0000-0000-000056540000}"/>
    <cellStyle name="Normal 11 6 2" xfId="2979" xr:uid="{00000000-0005-0000-0000-000057540000}"/>
    <cellStyle name="Normal 11 6 3" xfId="4568" xr:uid="{00000000-0005-0000-0000-000058540000}"/>
    <cellStyle name="Normal 11 7" xfId="2212" xr:uid="{00000000-0005-0000-0000-000059540000}"/>
    <cellStyle name="Normal 11 7 2" xfId="3332" xr:uid="{00000000-0005-0000-0000-00005A540000}"/>
    <cellStyle name="Normal 11 8" xfId="2241" xr:uid="{00000000-0005-0000-0000-00005B540000}"/>
    <cellStyle name="Normal 11 8 2" xfId="3469" xr:uid="{00000000-0005-0000-0000-00005C540000}"/>
    <cellStyle name="Normal 11 9" xfId="2589" xr:uid="{00000000-0005-0000-0000-00005D540000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2" xfId="216" xr:uid="{00000000-0005-0000-0000-000061540000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3" xfId="4461" xr:uid="{00000000-0005-0000-0000-000066540000}"/>
    <cellStyle name="Normal 12 2 2 3" xfId="1111" xr:uid="{00000000-0005-0000-0000-000067540000}"/>
    <cellStyle name="Normal 12 2 2 3 2" xfId="3342" xr:uid="{00000000-0005-0000-0000-000068540000}"/>
    <cellStyle name="Normal 12 2 2 3 3" xfId="4869" xr:uid="{00000000-0005-0000-0000-000069540000}"/>
    <cellStyle name="Normal 12 2 2 4" xfId="2539" xr:uid="{00000000-0005-0000-0000-00006A540000}"/>
    <cellStyle name="Normal 12 2 2 4 2" xfId="3768" xr:uid="{00000000-0005-0000-0000-00006B540000}"/>
    <cellStyle name="Normal 12 2 2 5" xfId="2931" xr:uid="{00000000-0005-0000-0000-00006C540000}"/>
    <cellStyle name="Normal 12 2 2 6" xfId="4113" xr:uid="{00000000-0005-0000-0000-00006D54000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3" xfId="4291" xr:uid="{00000000-0005-0000-0000-000071540000}"/>
    <cellStyle name="Normal 12 2 4" xfId="938" xr:uid="{00000000-0005-0000-0000-000072540000}"/>
    <cellStyle name="Normal 12 2 4 2" xfId="3341" xr:uid="{00000000-0005-0000-0000-000073540000}"/>
    <cellStyle name="Normal 12 2 4 3" xfId="4696" xr:uid="{00000000-0005-0000-0000-000074540000}"/>
    <cellStyle name="Normal 12 2 5" xfId="2368" xr:uid="{00000000-0005-0000-0000-000075540000}"/>
    <cellStyle name="Normal 12 2 5 2" xfId="3596" xr:uid="{00000000-0005-0000-0000-000076540000}"/>
    <cellStyle name="Normal 12 2 6" xfId="2760" xr:uid="{00000000-0005-0000-0000-000077540000}"/>
    <cellStyle name="Normal 12 2 7" xfId="3941" xr:uid="{00000000-0005-0000-0000-000078540000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3" xfId="4378" xr:uid="{00000000-0005-0000-0000-00007F540000}"/>
    <cellStyle name="Normal 12 3 3" xfId="1026" xr:uid="{00000000-0005-0000-0000-000080540000}"/>
    <cellStyle name="Normal 12 3 3 2" xfId="3343" xr:uid="{00000000-0005-0000-0000-000081540000}"/>
    <cellStyle name="Normal 12 3 3 3" xfId="4784" xr:uid="{00000000-0005-0000-0000-000082540000}"/>
    <cellStyle name="Normal 12 3 4" xfId="2454" xr:uid="{00000000-0005-0000-0000-000083540000}"/>
    <cellStyle name="Normal 12 3 4 2" xfId="3683" xr:uid="{00000000-0005-0000-0000-000084540000}"/>
    <cellStyle name="Normal 12 3 5" xfId="2674" xr:uid="{00000000-0005-0000-0000-000085540000}"/>
    <cellStyle name="Normal 12 3 6" xfId="4028" xr:uid="{00000000-0005-0000-0000-000086540000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3" xfId="4960" xr:uid="{00000000-0005-0000-0000-00008A540000}"/>
    <cellStyle name="Normal 12 4 3" xfId="2846" xr:uid="{00000000-0005-0000-0000-00008B540000}"/>
    <cellStyle name="Normal 12 4 4" xfId="4206" xr:uid="{00000000-0005-0000-0000-00008C540000}"/>
    <cellStyle name="Normal 12 5" xfId="852" xr:uid="{00000000-0005-0000-0000-00008D540000}"/>
    <cellStyle name="Normal 12 5 2" xfId="2981" xr:uid="{00000000-0005-0000-0000-00008E540000}"/>
    <cellStyle name="Normal 12 5 3" xfId="4610" xr:uid="{00000000-0005-0000-0000-00008F540000}"/>
    <cellStyle name="Normal 12 6" xfId="2213" xr:uid="{00000000-0005-0000-0000-000090540000}"/>
    <cellStyle name="Normal 12 6 2" xfId="3340" xr:uid="{00000000-0005-0000-0000-000091540000}"/>
    <cellStyle name="Normal 12 7" xfId="2283" xr:uid="{00000000-0005-0000-0000-000092540000}"/>
    <cellStyle name="Normal 12 7 2" xfId="3511" xr:uid="{00000000-0005-0000-0000-000093540000}"/>
    <cellStyle name="Normal 12 8" xfId="2591" xr:uid="{00000000-0005-0000-0000-000094540000}"/>
    <cellStyle name="Normal 12 9" xfId="3856" xr:uid="{00000000-0005-0000-0000-000095540000}"/>
    <cellStyle name="Normal 13" xfId="129" xr:uid="{00000000-0005-0000-0000-000096540000}"/>
    <cellStyle name="Normal 13 10" xfId="16393" xr:uid="{00000000-0005-0000-0000-000097540000}"/>
    <cellStyle name="Normal 13 2" xfId="218" xr:uid="{00000000-0005-0000-0000-000098540000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3" xfId="4463" xr:uid="{00000000-0005-0000-0000-00009D540000}"/>
    <cellStyle name="Normal 13 2 2 3" xfId="1113" xr:uid="{00000000-0005-0000-0000-00009E540000}"/>
    <cellStyle name="Normal 13 2 2 3 2" xfId="3346" xr:uid="{00000000-0005-0000-0000-00009F540000}"/>
    <cellStyle name="Normal 13 2 2 3 3" xfId="4871" xr:uid="{00000000-0005-0000-0000-0000A0540000}"/>
    <cellStyle name="Normal 13 2 2 4" xfId="2541" xr:uid="{00000000-0005-0000-0000-0000A1540000}"/>
    <cellStyle name="Normal 13 2 2 4 2" xfId="3770" xr:uid="{00000000-0005-0000-0000-0000A2540000}"/>
    <cellStyle name="Normal 13 2 2 5" xfId="2933" xr:uid="{00000000-0005-0000-0000-0000A3540000}"/>
    <cellStyle name="Normal 13 2 2 6" xfId="4115" xr:uid="{00000000-0005-0000-0000-0000A4540000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3" xfId="4293" xr:uid="{00000000-0005-0000-0000-0000A8540000}"/>
    <cellStyle name="Normal 13 2 4" xfId="940" xr:uid="{00000000-0005-0000-0000-0000A9540000}"/>
    <cellStyle name="Normal 13 2 4 2" xfId="3345" xr:uid="{00000000-0005-0000-0000-0000AA540000}"/>
    <cellStyle name="Normal 13 2 4 3" xfId="4698" xr:uid="{00000000-0005-0000-0000-0000AB540000}"/>
    <cellStyle name="Normal 13 2 5" xfId="2370" xr:uid="{00000000-0005-0000-0000-0000AC540000}"/>
    <cellStyle name="Normal 13 2 5 2" xfId="3598" xr:uid="{00000000-0005-0000-0000-0000AD540000}"/>
    <cellStyle name="Normal 13 2 6" xfId="2762" xr:uid="{00000000-0005-0000-0000-0000AE540000}"/>
    <cellStyle name="Normal 13 2 7" xfId="3943" xr:uid="{00000000-0005-0000-0000-0000AF540000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3" xfId="4380" xr:uid="{00000000-0005-0000-0000-0000B6540000}"/>
    <cellStyle name="Normal 13 3 3" xfId="1028" xr:uid="{00000000-0005-0000-0000-0000B7540000}"/>
    <cellStyle name="Normal 13 3 3 2" xfId="3347" xr:uid="{00000000-0005-0000-0000-0000B8540000}"/>
    <cellStyle name="Normal 13 3 3 3" xfId="4786" xr:uid="{00000000-0005-0000-0000-0000B9540000}"/>
    <cellStyle name="Normal 13 3 4" xfId="2456" xr:uid="{00000000-0005-0000-0000-0000BA540000}"/>
    <cellStyle name="Normal 13 3 4 2" xfId="3685" xr:uid="{00000000-0005-0000-0000-0000BB540000}"/>
    <cellStyle name="Normal 13 3 5" xfId="2848" xr:uid="{00000000-0005-0000-0000-0000BC540000}"/>
    <cellStyle name="Normal 13 3 6" xfId="4030" xr:uid="{00000000-0005-0000-0000-0000BD540000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3" xfId="4208" xr:uid="{00000000-0005-0000-0000-0000C1540000}"/>
    <cellStyle name="Normal 13 5" xfId="854" xr:uid="{00000000-0005-0000-0000-0000C2540000}"/>
    <cellStyle name="Normal 13 5 2" xfId="3344" xr:uid="{00000000-0005-0000-0000-0000C3540000}"/>
    <cellStyle name="Normal 13 5 3" xfId="4612" xr:uid="{00000000-0005-0000-0000-0000C4540000}"/>
    <cellStyle name="Normal 13 6" xfId="2285" xr:uid="{00000000-0005-0000-0000-0000C5540000}"/>
    <cellStyle name="Normal 13 6 2" xfId="3513" xr:uid="{00000000-0005-0000-0000-0000C6540000}"/>
    <cellStyle name="Normal 13 7" xfId="2676" xr:uid="{00000000-0005-0000-0000-0000C7540000}"/>
    <cellStyle name="Normal 13 8" xfId="3858" xr:uid="{00000000-0005-0000-0000-0000C8540000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3" xfId="4382" xr:uid="{00000000-0005-0000-0000-0000D5540000}"/>
    <cellStyle name="Normal 15 2 3" xfId="1030" xr:uid="{00000000-0005-0000-0000-0000D6540000}"/>
    <cellStyle name="Normal 15 2 3 2" xfId="3349" xr:uid="{00000000-0005-0000-0000-0000D7540000}"/>
    <cellStyle name="Normal 15 2 3 3" xfId="4788" xr:uid="{00000000-0005-0000-0000-0000D8540000}"/>
    <cellStyle name="Normal 15 2 4" xfId="2458" xr:uid="{00000000-0005-0000-0000-0000D9540000}"/>
    <cellStyle name="Normal 15 2 4 2" xfId="3687" xr:uid="{00000000-0005-0000-0000-0000DA540000}"/>
    <cellStyle name="Normal 15 2 5" xfId="2850" xr:uid="{00000000-0005-0000-0000-0000DB540000}"/>
    <cellStyle name="Normal 15 2 6" xfId="4032" xr:uid="{00000000-0005-0000-0000-0000DC540000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3" xfId="4210" xr:uid="{00000000-0005-0000-0000-0000E0540000}"/>
    <cellStyle name="Normal 15 4" xfId="856" xr:uid="{00000000-0005-0000-0000-0000E1540000}"/>
    <cellStyle name="Normal 15 4 2" xfId="3348" xr:uid="{00000000-0005-0000-0000-0000E2540000}"/>
    <cellStyle name="Normal 15 4 3" xfId="4614" xr:uid="{00000000-0005-0000-0000-0000E3540000}"/>
    <cellStyle name="Normal 15 5" xfId="2287" xr:uid="{00000000-0005-0000-0000-0000E4540000}"/>
    <cellStyle name="Normal 15 5 2" xfId="3515" xr:uid="{00000000-0005-0000-0000-0000E5540000}"/>
    <cellStyle name="Normal 15 6" xfId="2678" xr:uid="{00000000-0005-0000-0000-0000E6540000}"/>
    <cellStyle name="Normal 15 7" xfId="3860" xr:uid="{00000000-0005-0000-0000-0000E7540000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3" xfId="4465" xr:uid="{00000000-0005-0000-0000-0000EF540000}"/>
    <cellStyle name="Normal 16 2 3" xfId="1115" xr:uid="{00000000-0005-0000-0000-0000F0540000}"/>
    <cellStyle name="Normal 16 2 3 2" xfId="3351" xr:uid="{00000000-0005-0000-0000-0000F1540000}"/>
    <cellStyle name="Normal 16 2 3 3" xfId="4873" xr:uid="{00000000-0005-0000-0000-0000F2540000}"/>
    <cellStyle name="Normal 16 2 4" xfId="2543" xr:uid="{00000000-0005-0000-0000-0000F3540000}"/>
    <cellStyle name="Normal 16 2 4 2" xfId="3772" xr:uid="{00000000-0005-0000-0000-0000F4540000}"/>
    <cellStyle name="Normal 16 2 5" xfId="2935" xr:uid="{00000000-0005-0000-0000-0000F5540000}"/>
    <cellStyle name="Normal 16 2 6" xfId="4117" xr:uid="{00000000-0005-0000-0000-0000F6540000}"/>
    <cellStyle name="Normal 16 2 7" xfId="11508" xr:uid="{00000000-0005-0000-0000-0000F7540000}"/>
    <cellStyle name="Normal 16 2 8" xfId="16419" xr:uid="{00000000-0005-0000-0000-0000F8540000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3" xfId="4295" xr:uid="{00000000-0005-0000-0000-0000FC540000}"/>
    <cellStyle name="Normal 16 4" xfId="942" xr:uid="{00000000-0005-0000-0000-0000FD540000}"/>
    <cellStyle name="Normal 16 4 2" xfId="3350" xr:uid="{00000000-0005-0000-0000-0000FE540000}"/>
    <cellStyle name="Normal 16 4 3" xfId="4700" xr:uid="{00000000-0005-0000-0000-0000FF540000}"/>
    <cellStyle name="Normal 16 5" xfId="2372" xr:uid="{00000000-0005-0000-0000-000000550000}"/>
    <cellStyle name="Normal 16 5 2" xfId="3600" xr:uid="{00000000-0005-0000-0000-000001550000}"/>
    <cellStyle name="Normal 16 6" xfId="2764" xr:uid="{00000000-0005-0000-0000-000002550000}"/>
    <cellStyle name="Normal 16 7" xfId="3945" xr:uid="{00000000-0005-0000-0000-000003550000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3" xfId="4297" xr:uid="{00000000-0005-0000-0000-00000E550000}"/>
    <cellStyle name="Normal 18 2 4" xfId="16489" xr:uid="{00000000-0005-0000-0000-00000F550000}"/>
    <cellStyle name="Normal 18 2 5" xfId="9933" xr:uid="{00000000-0005-0000-0000-000010550000}"/>
    <cellStyle name="Normal 18 3" xfId="944" xr:uid="{00000000-0005-0000-0000-000011550000}"/>
    <cellStyle name="Normal 18 3 2" xfId="3602" xr:uid="{00000000-0005-0000-0000-000012550000}"/>
    <cellStyle name="Normal 18 3 3" xfId="4702" xr:uid="{00000000-0005-0000-0000-000013550000}"/>
    <cellStyle name="Normal 18 4" xfId="2937" xr:uid="{00000000-0005-0000-0000-000014550000}"/>
    <cellStyle name="Normal 18 5" xfId="3947" xr:uid="{00000000-0005-0000-0000-000015550000}"/>
    <cellStyle name="Normal 18 6" xfId="16388" xr:uid="{00000000-0005-0000-0000-000016550000}"/>
    <cellStyle name="Normal 18 7" xfId="16295" xr:uid="{00000000-0005-0000-0000-000017550000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3" xfId="4467" xr:uid="{00000000-0005-0000-0000-00001C550000}"/>
    <cellStyle name="Normal 19 2 4" xfId="16448" xr:uid="{00000000-0005-0000-0000-00001D550000}"/>
    <cellStyle name="Normal 19 2 5" xfId="16372" xr:uid="{00000000-0005-0000-0000-00001E550000}"/>
    <cellStyle name="Normal 19 3" xfId="1117" xr:uid="{00000000-0005-0000-0000-00001F550000}"/>
    <cellStyle name="Normal 19 3 2" xfId="4875" xr:uid="{00000000-0005-0000-0000-000020550000}"/>
    <cellStyle name="Normal 19 4" xfId="4119" xr:uid="{00000000-0005-0000-0000-000021550000}"/>
    <cellStyle name="Normal 19 5" xfId="10848" xr:uid="{00000000-0005-0000-0000-000022550000}"/>
    <cellStyle name="Normal 19 6" xfId="9775" xr:uid="{00000000-0005-0000-0000-000023550000}"/>
    <cellStyle name="Normal 2" xfId="3" xr:uid="{00000000-0005-0000-0000-000024550000}"/>
    <cellStyle name="Normal 2 10" xfId="3776" xr:uid="{00000000-0005-0000-0000-000025550000}"/>
    <cellStyle name="Normal 2 11" xfId="4474" xr:uid="{00000000-0005-0000-0000-000026550000}"/>
    <cellStyle name="Normal 2 12" xfId="56" xr:uid="{00000000-0005-0000-0000-000027550000}"/>
    <cellStyle name="Normal 2 13" xfId="16425" xr:uid="{00000000-0005-0000-0000-000028550000}"/>
    <cellStyle name="Normal 2 14" xfId="22968" xr:uid="{68E37A81-DC1C-4BB3-8231-93DD4E2CEBA4}"/>
    <cellStyle name="Normal 2 2" xfId="92" xr:uid="{00000000-0005-0000-0000-000029550000}"/>
    <cellStyle name="Normal 2 2 10" xfId="10010" xr:uid="{00000000-0005-0000-0000-00002A550000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3" xfId="4423" xr:uid="{00000000-0005-0000-0000-000030550000}"/>
    <cellStyle name="Normal 2 2 2 2 3" xfId="1071" xr:uid="{00000000-0005-0000-0000-000031550000}"/>
    <cellStyle name="Normal 2 2 2 2 3 2" xfId="3355" xr:uid="{00000000-0005-0000-0000-000032550000}"/>
    <cellStyle name="Normal 2 2 2 2 3 3" xfId="4829" xr:uid="{00000000-0005-0000-0000-000033550000}"/>
    <cellStyle name="Normal 2 2 2 2 4" xfId="2499" xr:uid="{00000000-0005-0000-0000-000034550000}"/>
    <cellStyle name="Normal 2 2 2 2 4 2" xfId="3728" xr:uid="{00000000-0005-0000-0000-000035550000}"/>
    <cellStyle name="Normal 2 2 2 2 5" xfId="2891" xr:uid="{00000000-0005-0000-0000-000036550000}"/>
    <cellStyle name="Normal 2 2 2 2 6" xfId="4073" xr:uid="{00000000-0005-0000-0000-00003755000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3" xfId="4251" xr:uid="{00000000-0005-0000-0000-00003B550000}"/>
    <cellStyle name="Normal 2 2 2 4" xfId="898" xr:uid="{00000000-0005-0000-0000-00003C550000}"/>
    <cellStyle name="Normal 2 2 2 4 2" xfId="3354" xr:uid="{00000000-0005-0000-0000-00003D550000}"/>
    <cellStyle name="Normal 2 2 2 4 3" xfId="4656" xr:uid="{00000000-0005-0000-0000-00003E550000}"/>
    <cellStyle name="Normal 2 2 2 5" xfId="2328" xr:uid="{00000000-0005-0000-0000-00003F550000}"/>
    <cellStyle name="Normal 2 2 2 5 2" xfId="3556" xr:uid="{00000000-0005-0000-0000-000040550000}"/>
    <cellStyle name="Normal 2 2 2 6" xfId="2720" xr:uid="{00000000-0005-0000-0000-000041550000}"/>
    <cellStyle name="Normal 2 2 2 7" xfId="3901" xr:uid="{00000000-0005-0000-0000-000042550000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3" xfId="4338" xr:uid="{00000000-0005-0000-0000-000047550000}"/>
    <cellStyle name="Normal 2 2 3 3" xfId="986" xr:uid="{00000000-0005-0000-0000-000048550000}"/>
    <cellStyle name="Normal 2 2 3 3 2" xfId="3356" xr:uid="{00000000-0005-0000-0000-000049550000}"/>
    <cellStyle name="Normal 2 2 3 3 3" xfId="4744" xr:uid="{00000000-0005-0000-0000-00004A550000}"/>
    <cellStyle name="Normal 2 2 3 4" xfId="2414" xr:uid="{00000000-0005-0000-0000-00004B550000}"/>
    <cellStyle name="Normal 2 2 3 4 2" xfId="3643" xr:uid="{00000000-0005-0000-0000-00004C550000}"/>
    <cellStyle name="Normal 2 2 3 5" xfId="2806" xr:uid="{00000000-0005-0000-0000-00004D550000}"/>
    <cellStyle name="Normal 2 2 3 6" xfId="3988" xr:uid="{00000000-0005-0000-0000-00004E550000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3" xfId="4166" xr:uid="{00000000-0005-0000-0000-000052550000}"/>
    <cellStyle name="Normal 2 2 5" xfId="812" xr:uid="{00000000-0005-0000-0000-000053550000}"/>
    <cellStyle name="Normal 2 2 5 2" xfId="3353" xr:uid="{00000000-0005-0000-0000-000054550000}"/>
    <cellStyle name="Normal 2 2 5 3" xfId="4570" xr:uid="{00000000-0005-0000-0000-000055550000}"/>
    <cellStyle name="Normal 2 2 6" xfId="2243" xr:uid="{00000000-0005-0000-0000-000056550000}"/>
    <cellStyle name="Normal 2 2 6 2" xfId="3471" xr:uid="{00000000-0005-0000-0000-000057550000}"/>
    <cellStyle name="Normal 2 2 7" xfId="2634" xr:uid="{00000000-0005-0000-0000-000058550000}"/>
    <cellStyle name="Normal 2 2 8" xfId="3816" xr:uid="{00000000-0005-0000-0000-000059550000}"/>
    <cellStyle name="Normal 2 2 9" xfId="16348" xr:uid="{00000000-0005-0000-0000-00005A550000}"/>
    <cellStyle name="Normal 2 3" xfId="147" xr:uid="{00000000-0005-0000-0000-00005B550000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3" xfId="4395" xr:uid="{00000000-0005-0000-0000-000060550000}"/>
    <cellStyle name="Normal 2 3 2 3" xfId="1043" xr:uid="{00000000-0005-0000-0000-000061550000}"/>
    <cellStyle name="Normal 2 3 2 3 2" xfId="3358" xr:uid="{00000000-0005-0000-0000-000062550000}"/>
    <cellStyle name="Normal 2 3 2 3 3" xfId="4801" xr:uid="{00000000-0005-0000-0000-000063550000}"/>
    <cellStyle name="Normal 2 3 2 4" xfId="2471" xr:uid="{00000000-0005-0000-0000-000064550000}"/>
    <cellStyle name="Normal 2 3 2 4 2" xfId="3700" xr:uid="{00000000-0005-0000-0000-000065550000}"/>
    <cellStyle name="Normal 2 3 2 5" xfId="2863" xr:uid="{00000000-0005-0000-0000-000066550000}"/>
    <cellStyle name="Normal 2 3 2 6" xfId="4045" xr:uid="{00000000-0005-0000-0000-000067550000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3" xfId="4223" xr:uid="{00000000-0005-0000-0000-00006B550000}"/>
    <cellStyle name="Normal 2 3 4" xfId="870" xr:uid="{00000000-0005-0000-0000-00006C550000}"/>
    <cellStyle name="Normal 2 3 4 2" xfId="3357" xr:uid="{00000000-0005-0000-0000-00006D550000}"/>
    <cellStyle name="Normal 2 3 4 3" xfId="4628" xr:uid="{00000000-0005-0000-0000-00006E550000}"/>
    <cellStyle name="Normal 2 3 5" xfId="2300" xr:uid="{00000000-0005-0000-0000-00006F550000}"/>
    <cellStyle name="Normal 2 3 5 2" xfId="3528" xr:uid="{00000000-0005-0000-0000-000070550000}"/>
    <cellStyle name="Normal 2 3 6" xfId="2692" xr:uid="{00000000-0005-0000-0000-000071550000}"/>
    <cellStyle name="Normal 2 3 7" xfId="3873" xr:uid="{00000000-0005-0000-0000-000072550000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3" xfId="4310" xr:uid="{00000000-0005-0000-0000-000079550000}"/>
    <cellStyle name="Normal 2 4 3" xfId="958" xr:uid="{00000000-0005-0000-0000-00007A550000}"/>
    <cellStyle name="Normal 2 4 3 2" xfId="3359" xr:uid="{00000000-0005-0000-0000-00007B550000}"/>
    <cellStyle name="Normal 2 4 3 3" xfId="4716" xr:uid="{00000000-0005-0000-0000-00007C550000}"/>
    <cellStyle name="Normal 2 4 4" xfId="2386" xr:uid="{00000000-0005-0000-0000-00007D550000}"/>
    <cellStyle name="Normal 2 4 4 2" xfId="3615" xr:uid="{00000000-0005-0000-0000-00007E550000}"/>
    <cellStyle name="Normal 2 4 5" xfId="2593" xr:uid="{00000000-0005-0000-0000-00007F550000}"/>
    <cellStyle name="Normal 2 4 6" xfId="3960" xr:uid="{00000000-0005-0000-0000-000080550000}"/>
    <cellStyle name="Normal 2 4 7" xfId="16362" xr:uid="{00000000-0005-0000-0000-000081550000}"/>
    <cellStyle name="Normal 2 4 8" xfId="16427" xr:uid="{00000000-0005-0000-0000-000082550000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3" xfId="4892" xr:uid="{00000000-0005-0000-0000-000086550000}"/>
    <cellStyle name="Normal 2 5 3" xfId="2766" xr:uid="{00000000-0005-0000-0000-000087550000}"/>
    <cellStyle name="Normal 2 5 4" xfId="4138" xr:uid="{00000000-0005-0000-0000-000088550000}"/>
    <cellStyle name="Normal 2 5 5" xfId="11754" xr:uid="{00000000-0005-0000-0000-000089550000}"/>
    <cellStyle name="Normal 2 5 6" xfId="10876" xr:uid="{00000000-0005-0000-0000-00008A550000}"/>
    <cellStyle name="Normal 2 6" xfId="416" xr:uid="{00000000-0005-0000-0000-00008B550000}"/>
    <cellStyle name="Normal 2 6 2" xfId="2958" xr:uid="{00000000-0005-0000-0000-00008C550000}"/>
    <cellStyle name="Normal 2 6 3" xfId="4135" xr:uid="{00000000-0005-0000-0000-00008D550000}"/>
    <cellStyle name="Normal 2 6 4" xfId="2012" xr:uid="{00000000-0005-0000-0000-00008E550000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3" xfId="4529" xr:uid="{00000000-0005-0000-0000-000093550000}"/>
    <cellStyle name="Normal 2 8" xfId="68" xr:uid="{00000000-0005-0000-0000-000094550000}"/>
    <cellStyle name="Normal 2 8 2" xfId="3431" xr:uid="{00000000-0005-0000-0000-000095550000}"/>
    <cellStyle name="Normal 2 9" xfId="2568" xr:uid="{00000000-0005-0000-0000-000096550000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3" xfId="16470" xr:uid="{00000000-0005-0000-0000-00009A550000}"/>
    <cellStyle name="Normal 20 2 4" xfId="10929" xr:uid="{00000000-0005-0000-0000-00009B550000}"/>
    <cellStyle name="Normal 20 3" xfId="4121" xr:uid="{00000000-0005-0000-0000-00009C550000}"/>
    <cellStyle name="Normal 20 4" xfId="16450" xr:uid="{00000000-0005-0000-0000-00009D550000}"/>
    <cellStyle name="Normal 20 5" xfId="16337" xr:uid="{00000000-0005-0000-0000-00009E550000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3" xfId="9984" xr:uid="{00000000-0005-0000-0000-0000A2550000}"/>
    <cellStyle name="Normal 21 2 4" xfId="16312" xr:uid="{00000000-0005-0000-0000-0000A3550000}"/>
    <cellStyle name="Normal 21 3" xfId="4469" xr:uid="{00000000-0005-0000-0000-0000A4550000}"/>
    <cellStyle name="Normal 21 4" xfId="16333" xr:uid="{00000000-0005-0000-0000-0000A5550000}"/>
    <cellStyle name="Normal 21 5" xfId="16354" xr:uid="{00000000-0005-0000-0000-0000A6550000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3" xfId="16283" xr:uid="{00000000-0005-0000-0000-0000AB550000}"/>
    <cellStyle name="Normal 22 4" xfId="16335" xr:uid="{00000000-0005-0000-0000-0000AC550000}"/>
    <cellStyle name="Normal 23" xfId="759" xr:uid="{00000000-0005-0000-0000-0000AD550000}"/>
    <cellStyle name="Normal 23 2" xfId="1471" xr:uid="{00000000-0005-0000-0000-0000AE550000}"/>
    <cellStyle name="Normal 23 3" xfId="11432" xr:uid="{00000000-0005-0000-0000-0000AF550000}"/>
    <cellStyle name="Normal 23 4" xfId="16376" xr:uid="{00000000-0005-0000-0000-0000B0550000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3" xfId="9765" xr:uid="{00000000-0005-0000-0000-0000B5550000}"/>
    <cellStyle name="Normal 24 4" xfId="11674" xr:uid="{00000000-0005-0000-0000-0000B6550000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3" xfId="16292" xr:uid="{00000000-0005-0000-0000-0000BB550000}"/>
    <cellStyle name="Normal 25 4" xfId="11524" xr:uid="{00000000-0005-0000-0000-0000BC550000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3" xfId="10022" xr:uid="{00000000-0005-0000-0000-0000C1550000}"/>
    <cellStyle name="Normal 26 4" xfId="16460" xr:uid="{00000000-0005-0000-0000-0000C255000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3" xfId="9715" xr:uid="{00000000-0005-0000-0000-0000C7550000}"/>
    <cellStyle name="Normal 27 4" xfId="16302" xr:uid="{00000000-0005-0000-0000-0000C8550000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22967" xr:uid="{F62738F9-951C-4674-B179-75A164AFA612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2" xfId="9697" xr:uid="{00000000-0005-0000-0000-0000E2550000}"/>
    <cellStyle name="Normal 32 2" xfId="16502" xr:uid="{00000000-0005-0000-0000-0000E3550000}"/>
    <cellStyle name="Normal 32 3" xfId="10972" xr:uid="{00000000-0005-0000-0000-0000E455000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6" xfId="22965" xr:uid="{5EE463D1-6115-49B1-91F9-6478777D5778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1" xfId="2575" xr:uid="{00000000-0005-0000-0000-0000F1550000}"/>
    <cellStyle name="Normal 4 2 12" xfId="3800" xr:uid="{00000000-0005-0000-0000-0000F2550000}"/>
    <cellStyle name="Normal 4 2 2" xfId="87" xr:uid="{00000000-0005-0000-0000-0000F3550000}"/>
    <cellStyle name="Normal 4 2 2 10" xfId="3811" xr:uid="{00000000-0005-0000-0000-0000F4550000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3" xfId="4457" xr:uid="{00000000-0005-0000-0000-0000FB550000}"/>
    <cellStyle name="Normal 4 2 2 2 2 2 3" xfId="1106" xr:uid="{00000000-0005-0000-0000-0000FC550000}"/>
    <cellStyle name="Normal 4 2 2 2 2 2 3 2" xfId="3364" xr:uid="{00000000-0005-0000-0000-0000FD550000}"/>
    <cellStyle name="Normal 4 2 2 2 2 2 3 3" xfId="4864" xr:uid="{00000000-0005-0000-0000-0000FE550000}"/>
    <cellStyle name="Normal 4 2 2 2 2 2 4" xfId="2534" xr:uid="{00000000-0005-0000-0000-0000FF550000}"/>
    <cellStyle name="Normal 4 2 2 2 2 2 4 2" xfId="3763" xr:uid="{00000000-0005-0000-0000-000000560000}"/>
    <cellStyle name="Normal 4 2 2 2 2 2 5" xfId="2926" xr:uid="{00000000-0005-0000-0000-000001560000}"/>
    <cellStyle name="Normal 4 2 2 2 2 2 6" xfId="4108" xr:uid="{00000000-0005-0000-0000-000002560000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3" xfId="4286" xr:uid="{00000000-0005-0000-0000-000006560000}"/>
    <cellStyle name="Normal 4 2 2 2 2 4" xfId="933" xr:uid="{00000000-0005-0000-0000-000007560000}"/>
    <cellStyle name="Normal 4 2 2 2 2 4 2" xfId="3363" xr:uid="{00000000-0005-0000-0000-000008560000}"/>
    <cellStyle name="Normal 4 2 2 2 2 4 3" xfId="4691" xr:uid="{00000000-0005-0000-0000-000009560000}"/>
    <cellStyle name="Normal 4 2 2 2 2 5" xfId="2363" xr:uid="{00000000-0005-0000-0000-00000A560000}"/>
    <cellStyle name="Normal 4 2 2 2 2 5 2" xfId="3591" xr:uid="{00000000-0005-0000-0000-00000B560000}"/>
    <cellStyle name="Normal 4 2 2 2 2 6" xfId="2755" xr:uid="{00000000-0005-0000-0000-00000C560000}"/>
    <cellStyle name="Normal 4 2 2 2 2 7" xfId="3936" xr:uid="{00000000-0005-0000-0000-00000D560000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3" xfId="4373" xr:uid="{00000000-0005-0000-0000-000012560000}"/>
    <cellStyle name="Normal 4 2 2 2 3 3" xfId="1021" xr:uid="{00000000-0005-0000-0000-000013560000}"/>
    <cellStyle name="Normal 4 2 2 2 3 3 2" xfId="3365" xr:uid="{00000000-0005-0000-0000-000014560000}"/>
    <cellStyle name="Normal 4 2 2 2 3 3 3" xfId="4779" xr:uid="{00000000-0005-0000-0000-000015560000}"/>
    <cellStyle name="Normal 4 2 2 2 3 4" xfId="2449" xr:uid="{00000000-0005-0000-0000-000016560000}"/>
    <cellStyle name="Normal 4 2 2 2 3 4 2" xfId="3678" xr:uid="{00000000-0005-0000-0000-000017560000}"/>
    <cellStyle name="Normal 4 2 2 2 3 5" xfId="2841" xr:uid="{00000000-0005-0000-0000-000018560000}"/>
    <cellStyle name="Normal 4 2 2 2 3 6" xfId="4023" xr:uid="{00000000-0005-0000-0000-000019560000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3" xfId="4201" xr:uid="{00000000-0005-0000-0000-00001D560000}"/>
    <cellStyle name="Normal 4 2 2 2 5" xfId="847" xr:uid="{00000000-0005-0000-0000-00001E560000}"/>
    <cellStyle name="Normal 4 2 2 2 5 2" xfId="3362" xr:uid="{00000000-0005-0000-0000-00001F560000}"/>
    <cellStyle name="Normal 4 2 2 2 5 3" xfId="4605" xr:uid="{00000000-0005-0000-0000-000020560000}"/>
    <cellStyle name="Normal 4 2 2 2 6" xfId="2278" xr:uid="{00000000-0005-0000-0000-000021560000}"/>
    <cellStyle name="Normal 4 2 2 2 6 2" xfId="3506" xr:uid="{00000000-0005-0000-0000-000022560000}"/>
    <cellStyle name="Normal 4 2 2 2 7" xfId="2669" xr:uid="{00000000-0005-0000-0000-000023560000}"/>
    <cellStyle name="Normal 4 2 2 2 8" xfId="3851" xr:uid="{00000000-0005-0000-0000-000024560000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3" xfId="4418" xr:uid="{00000000-0005-0000-0000-00002A560000}"/>
    <cellStyle name="Normal 4 2 2 3 2 3" xfId="1066" xr:uid="{00000000-0005-0000-0000-00002B560000}"/>
    <cellStyle name="Normal 4 2 2 3 2 3 2" xfId="3367" xr:uid="{00000000-0005-0000-0000-00002C560000}"/>
    <cellStyle name="Normal 4 2 2 3 2 3 3" xfId="4824" xr:uid="{00000000-0005-0000-0000-00002D560000}"/>
    <cellStyle name="Normal 4 2 2 3 2 4" xfId="2494" xr:uid="{00000000-0005-0000-0000-00002E560000}"/>
    <cellStyle name="Normal 4 2 2 3 2 4 2" xfId="3723" xr:uid="{00000000-0005-0000-0000-00002F560000}"/>
    <cellStyle name="Normal 4 2 2 3 2 5" xfId="2886" xr:uid="{00000000-0005-0000-0000-000030560000}"/>
    <cellStyle name="Normal 4 2 2 3 2 6" xfId="4068" xr:uid="{00000000-0005-0000-0000-000031560000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3" xfId="4246" xr:uid="{00000000-0005-0000-0000-000035560000}"/>
    <cellStyle name="Normal 4 2 2 3 4" xfId="893" xr:uid="{00000000-0005-0000-0000-000036560000}"/>
    <cellStyle name="Normal 4 2 2 3 4 2" xfId="3366" xr:uid="{00000000-0005-0000-0000-000037560000}"/>
    <cellStyle name="Normal 4 2 2 3 4 3" xfId="4651" xr:uid="{00000000-0005-0000-0000-000038560000}"/>
    <cellStyle name="Normal 4 2 2 3 5" xfId="2323" xr:uid="{00000000-0005-0000-0000-000039560000}"/>
    <cellStyle name="Normal 4 2 2 3 5 2" xfId="3551" xr:uid="{00000000-0005-0000-0000-00003A560000}"/>
    <cellStyle name="Normal 4 2 2 3 6" xfId="2715" xr:uid="{00000000-0005-0000-0000-00003B560000}"/>
    <cellStyle name="Normal 4 2 2 3 7" xfId="3896" xr:uid="{00000000-0005-0000-0000-00003C560000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3" xfId="4333" xr:uid="{00000000-0005-0000-0000-000041560000}"/>
    <cellStyle name="Normal 4 2 2 4 3" xfId="981" xr:uid="{00000000-0005-0000-0000-000042560000}"/>
    <cellStyle name="Normal 4 2 2 4 3 2" xfId="3368" xr:uid="{00000000-0005-0000-0000-000043560000}"/>
    <cellStyle name="Normal 4 2 2 4 3 3" xfId="4739" xr:uid="{00000000-0005-0000-0000-000044560000}"/>
    <cellStyle name="Normal 4 2 2 4 4" xfId="2409" xr:uid="{00000000-0005-0000-0000-000045560000}"/>
    <cellStyle name="Normal 4 2 2 4 4 2" xfId="3638" xr:uid="{00000000-0005-0000-0000-000046560000}"/>
    <cellStyle name="Normal 4 2 2 4 5" xfId="2629" xr:uid="{00000000-0005-0000-0000-000047560000}"/>
    <cellStyle name="Normal 4 2 2 4 6" xfId="3983" xr:uid="{00000000-0005-0000-0000-000048560000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3" xfId="4915" xr:uid="{00000000-0005-0000-0000-00004C560000}"/>
    <cellStyle name="Normal 4 2 2 5 3" xfId="2801" xr:uid="{00000000-0005-0000-0000-00004D560000}"/>
    <cellStyle name="Normal 4 2 2 5 4" xfId="4161" xr:uid="{00000000-0005-0000-0000-00004E560000}"/>
    <cellStyle name="Normal 4 2 2 6" xfId="807" xr:uid="{00000000-0005-0000-0000-00004F560000}"/>
    <cellStyle name="Normal 4 2 2 6 2" xfId="2976" xr:uid="{00000000-0005-0000-0000-000050560000}"/>
    <cellStyle name="Normal 4 2 2 6 3" xfId="4565" xr:uid="{00000000-0005-0000-0000-000051560000}"/>
    <cellStyle name="Normal 4 2 2 7" xfId="2215" xr:uid="{00000000-0005-0000-0000-000052560000}"/>
    <cellStyle name="Normal 4 2 2 7 2" xfId="3361" xr:uid="{00000000-0005-0000-0000-000053560000}"/>
    <cellStyle name="Normal 4 2 2 8" xfId="2238" xr:uid="{00000000-0005-0000-0000-000054560000}"/>
    <cellStyle name="Normal 4 2 2 8 2" xfId="3466" xr:uid="{00000000-0005-0000-0000-000055560000}"/>
    <cellStyle name="Normal 4 2 2 9" xfId="2586" xr:uid="{00000000-0005-0000-0000-000056560000}"/>
    <cellStyle name="Normal 4 2 3" xfId="86" xr:uid="{00000000-0005-0000-0000-000057560000}"/>
    <cellStyle name="Normal 4 2 3 10" xfId="3810" xr:uid="{00000000-0005-0000-0000-000058560000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3" xfId="4456" xr:uid="{00000000-0005-0000-0000-00005F560000}"/>
    <cellStyle name="Normal 4 2 3 2 2 2 3" xfId="1105" xr:uid="{00000000-0005-0000-0000-000060560000}"/>
    <cellStyle name="Normal 4 2 3 2 2 2 3 2" xfId="3372" xr:uid="{00000000-0005-0000-0000-000061560000}"/>
    <cellStyle name="Normal 4 2 3 2 2 2 3 3" xfId="4863" xr:uid="{00000000-0005-0000-0000-000062560000}"/>
    <cellStyle name="Normal 4 2 3 2 2 2 4" xfId="2533" xr:uid="{00000000-0005-0000-0000-000063560000}"/>
    <cellStyle name="Normal 4 2 3 2 2 2 4 2" xfId="3762" xr:uid="{00000000-0005-0000-0000-000064560000}"/>
    <cellStyle name="Normal 4 2 3 2 2 2 5" xfId="2925" xr:uid="{00000000-0005-0000-0000-000065560000}"/>
    <cellStyle name="Normal 4 2 3 2 2 2 6" xfId="4107" xr:uid="{00000000-0005-0000-0000-000066560000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3" xfId="4285" xr:uid="{00000000-0005-0000-0000-00006A560000}"/>
    <cellStyle name="Normal 4 2 3 2 2 4" xfId="932" xr:uid="{00000000-0005-0000-0000-00006B560000}"/>
    <cellStyle name="Normal 4 2 3 2 2 4 2" xfId="3371" xr:uid="{00000000-0005-0000-0000-00006C560000}"/>
    <cellStyle name="Normal 4 2 3 2 2 4 3" xfId="4690" xr:uid="{00000000-0005-0000-0000-00006D560000}"/>
    <cellStyle name="Normal 4 2 3 2 2 5" xfId="2362" xr:uid="{00000000-0005-0000-0000-00006E560000}"/>
    <cellStyle name="Normal 4 2 3 2 2 5 2" xfId="3590" xr:uid="{00000000-0005-0000-0000-00006F560000}"/>
    <cellStyle name="Normal 4 2 3 2 2 6" xfId="2754" xr:uid="{00000000-0005-0000-0000-000070560000}"/>
    <cellStyle name="Normal 4 2 3 2 2 7" xfId="3935" xr:uid="{00000000-0005-0000-0000-000071560000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3" xfId="4372" xr:uid="{00000000-0005-0000-0000-000076560000}"/>
    <cellStyle name="Normal 4 2 3 2 3 3" xfId="1020" xr:uid="{00000000-0005-0000-0000-000077560000}"/>
    <cellStyle name="Normal 4 2 3 2 3 3 2" xfId="3373" xr:uid="{00000000-0005-0000-0000-000078560000}"/>
    <cellStyle name="Normal 4 2 3 2 3 3 3" xfId="4778" xr:uid="{00000000-0005-0000-0000-000079560000}"/>
    <cellStyle name="Normal 4 2 3 2 3 4" xfId="2448" xr:uid="{00000000-0005-0000-0000-00007A560000}"/>
    <cellStyle name="Normal 4 2 3 2 3 4 2" xfId="3677" xr:uid="{00000000-0005-0000-0000-00007B560000}"/>
    <cellStyle name="Normal 4 2 3 2 3 5" xfId="2840" xr:uid="{00000000-0005-0000-0000-00007C560000}"/>
    <cellStyle name="Normal 4 2 3 2 3 6" xfId="4022" xr:uid="{00000000-0005-0000-0000-00007D560000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3" xfId="4200" xr:uid="{00000000-0005-0000-0000-000081560000}"/>
    <cellStyle name="Normal 4 2 3 2 5" xfId="846" xr:uid="{00000000-0005-0000-0000-000082560000}"/>
    <cellStyle name="Normal 4 2 3 2 5 2" xfId="3370" xr:uid="{00000000-0005-0000-0000-000083560000}"/>
    <cellStyle name="Normal 4 2 3 2 5 3" xfId="4604" xr:uid="{00000000-0005-0000-0000-000084560000}"/>
    <cellStyle name="Normal 4 2 3 2 6" xfId="2277" xr:uid="{00000000-0005-0000-0000-000085560000}"/>
    <cellStyle name="Normal 4 2 3 2 6 2" xfId="3505" xr:uid="{00000000-0005-0000-0000-000086560000}"/>
    <cellStyle name="Normal 4 2 3 2 7" xfId="2668" xr:uid="{00000000-0005-0000-0000-000087560000}"/>
    <cellStyle name="Normal 4 2 3 2 8" xfId="3850" xr:uid="{00000000-0005-0000-0000-000088560000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3" xfId="4417" xr:uid="{00000000-0005-0000-0000-00008E560000}"/>
    <cellStyle name="Normal 4 2 3 3 2 3" xfId="1065" xr:uid="{00000000-0005-0000-0000-00008F560000}"/>
    <cellStyle name="Normal 4 2 3 3 2 3 2" xfId="3375" xr:uid="{00000000-0005-0000-0000-000090560000}"/>
    <cellStyle name="Normal 4 2 3 3 2 3 3" xfId="4823" xr:uid="{00000000-0005-0000-0000-000091560000}"/>
    <cellStyle name="Normal 4 2 3 3 2 4" xfId="2493" xr:uid="{00000000-0005-0000-0000-000092560000}"/>
    <cellStyle name="Normal 4 2 3 3 2 4 2" xfId="3722" xr:uid="{00000000-0005-0000-0000-000093560000}"/>
    <cellStyle name="Normal 4 2 3 3 2 5" xfId="2885" xr:uid="{00000000-0005-0000-0000-000094560000}"/>
    <cellStyle name="Normal 4 2 3 3 2 6" xfId="4067" xr:uid="{00000000-0005-0000-0000-000095560000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3" xfId="4245" xr:uid="{00000000-0005-0000-0000-000099560000}"/>
    <cellStyle name="Normal 4 2 3 3 4" xfId="892" xr:uid="{00000000-0005-0000-0000-00009A560000}"/>
    <cellStyle name="Normal 4 2 3 3 4 2" xfId="3374" xr:uid="{00000000-0005-0000-0000-00009B560000}"/>
    <cellStyle name="Normal 4 2 3 3 4 3" xfId="4650" xr:uid="{00000000-0005-0000-0000-00009C560000}"/>
    <cellStyle name="Normal 4 2 3 3 5" xfId="2322" xr:uid="{00000000-0005-0000-0000-00009D560000}"/>
    <cellStyle name="Normal 4 2 3 3 5 2" xfId="3550" xr:uid="{00000000-0005-0000-0000-00009E560000}"/>
    <cellStyle name="Normal 4 2 3 3 6" xfId="2714" xr:uid="{00000000-0005-0000-0000-00009F560000}"/>
    <cellStyle name="Normal 4 2 3 3 7" xfId="3895" xr:uid="{00000000-0005-0000-0000-0000A0560000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3" xfId="4332" xr:uid="{00000000-0005-0000-0000-0000A5560000}"/>
    <cellStyle name="Normal 4 2 3 4 3" xfId="980" xr:uid="{00000000-0005-0000-0000-0000A6560000}"/>
    <cellStyle name="Normal 4 2 3 4 3 2" xfId="3376" xr:uid="{00000000-0005-0000-0000-0000A7560000}"/>
    <cellStyle name="Normal 4 2 3 4 3 3" xfId="4738" xr:uid="{00000000-0005-0000-0000-0000A8560000}"/>
    <cellStyle name="Normal 4 2 3 4 4" xfId="2408" xr:uid="{00000000-0005-0000-0000-0000A9560000}"/>
    <cellStyle name="Normal 4 2 3 4 4 2" xfId="3637" xr:uid="{00000000-0005-0000-0000-0000AA560000}"/>
    <cellStyle name="Normal 4 2 3 4 5" xfId="2628" xr:uid="{00000000-0005-0000-0000-0000AB560000}"/>
    <cellStyle name="Normal 4 2 3 4 6" xfId="3982" xr:uid="{00000000-0005-0000-0000-0000AC56000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3" xfId="4914" xr:uid="{00000000-0005-0000-0000-0000B0560000}"/>
    <cellStyle name="Normal 4 2 3 5 3" xfId="2800" xr:uid="{00000000-0005-0000-0000-0000B1560000}"/>
    <cellStyle name="Normal 4 2 3 5 4" xfId="4160" xr:uid="{00000000-0005-0000-0000-0000B2560000}"/>
    <cellStyle name="Normal 4 2 3 6" xfId="806" xr:uid="{00000000-0005-0000-0000-0000B3560000}"/>
    <cellStyle name="Normal 4 2 3 6 2" xfId="2975" xr:uid="{00000000-0005-0000-0000-0000B4560000}"/>
    <cellStyle name="Normal 4 2 3 6 3" xfId="4564" xr:uid="{00000000-0005-0000-0000-0000B5560000}"/>
    <cellStyle name="Normal 4 2 3 7" xfId="2216" xr:uid="{00000000-0005-0000-0000-0000B6560000}"/>
    <cellStyle name="Normal 4 2 3 7 2" xfId="3369" xr:uid="{00000000-0005-0000-0000-0000B7560000}"/>
    <cellStyle name="Normal 4 2 3 8" xfId="2237" xr:uid="{00000000-0005-0000-0000-0000B8560000}"/>
    <cellStyle name="Normal 4 2 3 8 2" xfId="3465" xr:uid="{00000000-0005-0000-0000-0000B9560000}"/>
    <cellStyle name="Normal 4 2 3 9" xfId="2585" xr:uid="{00000000-0005-0000-0000-0000BA56000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3" xfId="4447" xr:uid="{00000000-0005-0000-0000-0000C1560000}"/>
    <cellStyle name="Normal 4 2 4 2 2 3" xfId="1095" xr:uid="{00000000-0005-0000-0000-0000C2560000}"/>
    <cellStyle name="Normal 4 2 4 2 2 3 2" xfId="3379" xr:uid="{00000000-0005-0000-0000-0000C3560000}"/>
    <cellStyle name="Normal 4 2 4 2 2 3 3" xfId="4853" xr:uid="{00000000-0005-0000-0000-0000C4560000}"/>
    <cellStyle name="Normal 4 2 4 2 2 4" xfId="2523" xr:uid="{00000000-0005-0000-0000-0000C5560000}"/>
    <cellStyle name="Normal 4 2 4 2 2 4 2" xfId="3752" xr:uid="{00000000-0005-0000-0000-0000C6560000}"/>
    <cellStyle name="Normal 4 2 4 2 2 5" xfId="2915" xr:uid="{00000000-0005-0000-0000-0000C7560000}"/>
    <cellStyle name="Normal 4 2 4 2 2 6" xfId="4097" xr:uid="{00000000-0005-0000-0000-0000C8560000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3" xfId="4275" xr:uid="{00000000-0005-0000-0000-0000CC560000}"/>
    <cellStyle name="Normal 4 2 4 2 4" xfId="922" xr:uid="{00000000-0005-0000-0000-0000CD560000}"/>
    <cellStyle name="Normal 4 2 4 2 4 2" xfId="3378" xr:uid="{00000000-0005-0000-0000-0000CE560000}"/>
    <cellStyle name="Normal 4 2 4 2 4 3" xfId="4680" xr:uid="{00000000-0005-0000-0000-0000CF560000}"/>
    <cellStyle name="Normal 4 2 4 2 5" xfId="2352" xr:uid="{00000000-0005-0000-0000-0000D0560000}"/>
    <cellStyle name="Normal 4 2 4 2 5 2" xfId="3580" xr:uid="{00000000-0005-0000-0000-0000D1560000}"/>
    <cellStyle name="Normal 4 2 4 2 6" xfId="2744" xr:uid="{00000000-0005-0000-0000-0000D2560000}"/>
    <cellStyle name="Normal 4 2 4 2 7" xfId="3925" xr:uid="{00000000-0005-0000-0000-0000D3560000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3" xfId="4362" xr:uid="{00000000-0005-0000-0000-0000D8560000}"/>
    <cellStyle name="Normal 4 2 4 3 3" xfId="1010" xr:uid="{00000000-0005-0000-0000-0000D9560000}"/>
    <cellStyle name="Normal 4 2 4 3 3 2" xfId="3380" xr:uid="{00000000-0005-0000-0000-0000DA560000}"/>
    <cellStyle name="Normal 4 2 4 3 3 3" xfId="4768" xr:uid="{00000000-0005-0000-0000-0000DB560000}"/>
    <cellStyle name="Normal 4 2 4 3 4" xfId="2438" xr:uid="{00000000-0005-0000-0000-0000DC560000}"/>
    <cellStyle name="Normal 4 2 4 3 4 2" xfId="3667" xr:uid="{00000000-0005-0000-0000-0000DD560000}"/>
    <cellStyle name="Normal 4 2 4 3 5" xfId="2830" xr:uid="{00000000-0005-0000-0000-0000DE560000}"/>
    <cellStyle name="Normal 4 2 4 3 6" xfId="4012" xr:uid="{00000000-0005-0000-0000-0000DF560000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3" xfId="4190" xr:uid="{00000000-0005-0000-0000-0000E3560000}"/>
    <cellStyle name="Normal 4 2 4 5" xfId="836" xr:uid="{00000000-0005-0000-0000-0000E4560000}"/>
    <cellStyle name="Normal 4 2 4 5 2" xfId="3377" xr:uid="{00000000-0005-0000-0000-0000E5560000}"/>
    <cellStyle name="Normal 4 2 4 5 3" xfId="4594" xr:uid="{00000000-0005-0000-0000-0000E6560000}"/>
    <cellStyle name="Normal 4 2 4 6" xfId="2267" xr:uid="{00000000-0005-0000-0000-0000E7560000}"/>
    <cellStyle name="Normal 4 2 4 6 2" xfId="3495" xr:uid="{00000000-0005-0000-0000-0000E8560000}"/>
    <cellStyle name="Normal 4 2 4 7" xfId="2658" xr:uid="{00000000-0005-0000-0000-0000E9560000}"/>
    <cellStyle name="Normal 4 2 4 8" xfId="3840" xr:uid="{00000000-0005-0000-0000-0000EA560000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3" xfId="4407" xr:uid="{00000000-0005-0000-0000-0000F0560000}"/>
    <cellStyle name="Normal 4 2 5 2 3" xfId="1055" xr:uid="{00000000-0005-0000-0000-0000F1560000}"/>
    <cellStyle name="Normal 4 2 5 2 3 2" xfId="3382" xr:uid="{00000000-0005-0000-0000-0000F2560000}"/>
    <cellStyle name="Normal 4 2 5 2 3 3" xfId="4813" xr:uid="{00000000-0005-0000-0000-0000F3560000}"/>
    <cellStyle name="Normal 4 2 5 2 4" xfId="2483" xr:uid="{00000000-0005-0000-0000-0000F4560000}"/>
    <cellStyle name="Normal 4 2 5 2 4 2" xfId="3712" xr:uid="{00000000-0005-0000-0000-0000F5560000}"/>
    <cellStyle name="Normal 4 2 5 2 5" xfId="2875" xr:uid="{00000000-0005-0000-0000-0000F6560000}"/>
    <cellStyle name="Normal 4 2 5 2 6" xfId="4057" xr:uid="{00000000-0005-0000-0000-0000F7560000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3" xfId="4235" xr:uid="{00000000-0005-0000-0000-0000FB560000}"/>
    <cellStyle name="Normal 4 2 5 4" xfId="882" xr:uid="{00000000-0005-0000-0000-0000FC560000}"/>
    <cellStyle name="Normal 4 2 5 4 2" xfId="3381" xr:uid="{00000000-0005-0000-0000-0000FD560000}"/>
    <cellStyle name="Normal 4 2 5 4 3" xfId="4640" xr:uid="{00000000-0005-0000-0000-0000FE560000}"/>
    <cellStyle name="Normal 4 2 5 5" xfId="2312" xr:uid="{00000000-0005-0000-0000-0000FF560000}"/>
    <cellStyle name="Normal 4 2 5 5 2" xfId="3540" xr:uid="{00000000-0005-0000-0000-000000570000}"/>
    <cellStyle name="Normal 4 2 5 6" xfId="2704" xr:uid="{00000000-0005-0000-0000-000001570000}"/>
    <cellStyle name="Normal 4 2 5 7" xfId="3885" xr:uid="{00000000-0005-0000-0000-000002570000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3" xfId="4322" xr:uid="{00000000-0005-0000-0000-000007570000}"/>
    <cellStyle name="Normal 4 2 6 3" xfId="970" xr:uid="{00000000-0005-0000-0000-000008570000}"/>
    <cellStyle name="Normal 4 2 6 3 2" xfId="3383" xr:uid="{00000000-0005-0000-0000-000009570000}"/>
    <cellStyle name="Normal 4 2 6 3 3" xfId="4728" xr:uid="{00000000-0005-0000-0000-00000A570000}"/>
    <cellStyle name="Normal 4 2 6 4" xfId="2398" xr:uid="{00000000-0005-0000-0000-00000B570000}"/>
    <cellStyle name="Normal 4 2 6 4 2" xfId="3627" xr:uid="{00000000-0005-0000-0000-00000C570000}"/>
    <cellStyle name="Normal 4 2 6 5" xfId="2618" xr:uid="{00000000-0005-0000-0000-00000D570000}"/>
    <cellStyle name="Normal 4 2 6 6" xfId="3972" xr:uid="{00000000-0005-0000-0000-00000E570000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3" xfId="4904" xr:uid="{00000000-0005-0000-0000-000012570000}"/>
    <cellStyle name="Normal 4 2 7 3" xfId="2790" xr:uid="{00000000-0005-0000-0000-000013570000}"/>
    <cellStyle name="Normal 4 2 7 4" xfId="4150" xr:uid="{00000000-0005-0000-0000-000014570000}"/>
    <cellStyle name="Normal 4 2 8" xfId="796" xr:uid="{00000000-0005-0000-0000-000015570000}"/>
    <cellStyle name="Normal 4 2 8 2" xfId="2965" xr:uid="{00000000-0005-0000-0000-000016570000}"/>
    <cellStyle name="Normal 4 2 8 3" xfId="4554" xr:uid="{00000000-0005-0000-0000-000017570000}"/>
    <cellStyle name="Normal 4 2 9" xfId="2214" xr:uid="{00000000-0005-0000-0000-000018570000}"/>
    <cellStyle name="Normal 4 2 9 2" xfId="3360" xr:uid="{00000000-0005-0000-0000-000019570000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6" xfId="74" xr:uid="{00000000-0005-0000-0000-000026570000}"/>
    <cellStyle name="Normal 6 10" xfId="3798" xr:uid="{00000000-0005-0000-0000-000027570000}"/>
    <cellStyle name="Normal 6 11" xfId="16449" xr:uid="{00000000-0005-0000-0000-000028570000}"/>
    <cellStyle name="Normal 6 12" xfId="16349" xr:uid="{00000000-0005-0000-0000-000029570000}"/>
    <cellStyle name="Normal 6 2" xfId="109" xr:uid="{00000000-0005-0000-0000-00002A570000}"/>
    <cellStyle name="Normal 6 2 10" xfId="11495" xr:uid="{00000000-0005-0000-0000-00002B570000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3" xfId="4445" xr:uid="{00000000-0005-0000-0000-000031570000}"/>
    <cellStyle name="Normal 6 2 2 2 3" xfId="1093" xr:uid="{00000000-0005-0000-0000-000032570000}"/>
    <cellStyle name="Normal 6 2 2 2 3 2" xfId="3387" xr:uid="{00000000-0005-0000-0000-000033570000}"/>
    <cellStyle name="Normal 6 2 2 2 3 3" xfId="4851" xr:uid="{00000000-0005-0000-0000-000034570000}"/>
    <cellStyle name="Normal 6 2 2 2 4" xfId="2521" xr:uid="{00000000-0005-0000-0000-000035570000}"/>
    <cellStyle name="Normal 6 2 2 2 4 2" xfId="3750" xr:uid="{00000000-0005-0000-0000-000036570000}"/>
    <cellStyle name="Normal 6 2 2 2 5" xfId="2913" xr:uid="{00000000-0005-0000-0000-000037570000}"/>
    <cellStyle name="Normal 6 2 2 2 6" xfId="4095" xr:uid="{00000000-0005-0000-0000-000038570000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3" xfId="4273" xr:uid="{00000000-0005-0000-0000-00003C570000}"/>
    <cellStyle name="Normal 6 2 2 4" xfId="920" xr:uid="{00000000-0005-0000-0000-00003D570000}"/>
    <cellStyle name="Normal 6 2 2 4 2" xfId="3386" xr:uid="{00000000-0005-0000-0000-00003E570000}"/>
    <cellStyle name="Normal 6 2 2 4 3" xfId="4678" xr:uid="{00000000-0005-0000-0000-00003F570000}"/>
    <cellStyle name="Normal 6 2 2 5" xfId="2350" xr:uid="{00000000-0005-0000-0000-000040570000}"/>
    <cellStyle name="Normal 6 2 2 5 2" xfId="3578" xr:uid="{00000000-0005-0000-0000-000041570000}"/>
    <cellStyle name="Normal 6 2 2 6" xfId="2742" xr:uid="{00000000-0005-0000-0000-000042570000}"/>
    <cellStyle name="Normal 6 2 2 7" xfId="3923" xr:uid="{00000000-0005-0000-0000-000043570000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3" xfId="4360" xr:uid="{00000000-0005-0000-0000-000048570000}"/>
    <cellStyle name="Normal 6 2 3 3" xfId="1008" xr:uid="{00000000-0005-0000-0000-000049570000}"/>
    <cellStyle name="Normal 6 2 3 3 2" xfId="3388" xr:uid="{00000000-0005-0000-0000-00004A570000}"/>
    <cellStyle name="Normal 6 2 3 3 3" xfId="4766" xr:uid="{00000000-0005-0000-0000-00004B570000}"/>
    <cellStyle name="Normal 6 2 3 4" xfId="2436" xr:uid="{00000000-0005-0000-0000-00004C570000}"/>
    <cellStyle name="Normal 6 2 3 4 2" xfId="3665" xr:uid="{00000000-0005-0000-0000-00004D570000}"/>
    <cellStyle name="Normal 6 2 3 5" xfId="2828" xr:uid="{00000000-0005-0000-0000-00004E570000}"/>
    <cellStyle name="Normal 6 2 3 6" xfId="4010" xr:uid="{00000000-0005-0000-0000-00004F570000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3" xfId="4188" xr:uid="{00000000-0005-0000-0000-000053570000}"/>
    <cellStyle name="Normal 6 2 5" xfId="834" xr:uid="{00000000-0005-0000-0000-000054570000}"/>
    <cellStyle name="Normal 6 2 5 2" xfId="3385" xr:uid="{00000000-0005-0000-0000-000055570000}"/>
    <cellStyle name="Normal 6 2 5 3" xfId="4592" xr:uid="{00000000-0005-0000-0000-000056570000}"/>
    <cellStyle name="Normal 6 2 6" xfId="2265" xr:uid="{00000000-0005-0000-0000-000057570000}"/>
    <cellStyle name="Normal 6 2 6 2" xfId="3493" xr:uid="{00000000-0005-0000-0000-000058570000}"/>
    <cellStyle name="Normal 6 2 7" xfId="2656" xr:uid="{00000000-0005-0000-0000-000059570000}"/>
    <cellStyle name="Normal 6 2 8" xfId="3838" xr:uid="{00000000-0005-0000-0000-00005A570000}"/>
    <cellStyle name="Normal 6 2 9" xfId="16484" xr:uid="{00000000-0005-0000-0000-00005B570000}"/>
    <cellStyle name="Normal 6 3" xfId="158" xr:uid="{00000000-0005-0000-0000-00005C570000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3" xfId="4405" xr:uid="{00000000-0005-0000-0000-000061570000}"/>
    <cellStyle name="Normal 6 3 2 3" xfId="1053" xr:uid="{00000000-0005-0000-0000-000062570000}"/>
    <cellStyle name="Normal 6 3 2 3 2" xfId="3390" xr:uid="{00000000-0005-0000-0000-000063570000}"/>
    <cellStyle name="Normal 6 3 2 3 3" xfId="4811" xr:uid="{00000000-0005-0000-0000-000064570000}"/>
    <cellStyle name="Normal 6 3 2 4" xfId="2481" xr:uid="{00000000-0005-0000-0000-000065570000}"/>
    <cellStyle name="Normal 6 3 2 4 2" xfId="3710" xr:uid="{00000000-0005-0000-0000-000066570000}"/>
    <cellStyle name="Normal 6 3 2 5" xfId="2873" xr:uid="{00000000-0005-0000-0000-000067570000}"/>
    <cellStyle name="Normal 6 3 2 6" xfId="4055" xr:uid="{00000000-0005-0000-0000-000068570000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3" xfId="4233" xr:uid="{00000000-0005-0000-0000-00006C570000}"/>
    <cellStyle name="Normal 6 3 4" xfId="880" xr:uid="{00000000-0005-0000-0000-00006D570000}"/>
    <cellStyle name="Normal 6 3 4 2" xfId="3389" xr:uid="{00000000-0005-0000-0000-00006E570000}"/>
    <cellStyle name="Normal 6 3 4 3" xfId="4638" xr:uid="{00000000-0005-0000-0000-00006F570000}"/>
    <cellStyle name="Normal 6 3 5" xfId="2310" xr:uid="{00000000-0005-0000-0000-000070570000}"/>
    <cellStyle name="Normal 6 3 5 2" xfId="3538" xr:uid="{00000000-0005-0000-0000-000071570000}"/>
    <cellStyle name="Normal 6 3 6" xfId="2702" xr:uid="{00000000-0005-0000-0000-000072570000}"/>
    <cellStyle name="Normal 6 3 7" xfId="3883" xr:uid="{00000000-0005-0000-0000-000073570000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3" xfId="4320" xr:uid="{00000000-0005-0000-0000-00007A570000}"/>
    <cellStyle name="Normal 6 4 3" xfId="968" xr:uid="{00000000-0005-0000-0000-00007B570000}"/>
    <cellStyle name="Normal 6 4 3 2" xfId="3391" xr:uid="{00000000-0005-0000-0000-00007C570000}"/>
    <cellStyle name="Normal 6 4 3 3" xfId="4726" xr:uid="{00000000-0005-0000-0000-00007D570000}"/>
    <cellStyle name="Normal 6 4 4" xfId="2396" xr:uid="{00000000-0005-0000-0000-00007E570000}"/>
    <cellStyle name="Normal 6 4 4 2" xfId="3625" xr:uid="{00000000-0005-0000-0000-00007F570000}"/>
    <cellStyle name="Normal 6 4 5" xfId="2616" xr:uid="{00000000-0005-0000-0000-000080570000}"/>
    <cellStyle name="Normal 6 4 6" xfId="3970" xr:uid="{00000000-0005-0000-0000-000081570000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3" xfId="4902" xr:uid="{00000000-0005-0000-0000-000085570000}"/>
    <cellStyle name="Normal 6 5 3" xfId="2788" xr:uid="{00000000-0005-0000-0000-000086570000}"/>
    <cellStyle name="Normal 6 5 4" xfId="4148" xr:uid="{00000000-0005-0000-0000-000087570000}"/>
    <cellStyle name="Normal 6 6" xfId="794" xr:uid="{00000000-0005-0000-0000-000088570000}"/>
    <cellStyle name="Normal 6 6 2" xfId="2963" xr:uid="{00000000-0005-0000-0000-000089570000}"/>
    <cellStyle name="Normal 6 6 3" xfId="4552" xr:uid="{00000000-0005-0000-0000-00008A570000}"/>
    <cellStyle name="Normal 6 7" xfId="2217" xr:uid="{00000000-0005-0000-0000-00008B570000}"/>
    <cellStyle name="Normal 6 7 2" xfId="3384" xr:uid="{00000000-0005-0000-0000-00008C570000}"/>
    <cellStyle name="Normal 6 8" xfId="2225" xr:uid="{00000000-0005-0000-0000-00008D570000}"/>
    <cellStyle name="Normal 6 8 2" xfId="3453" xr:uid="{00000000-0005-0000-0000-00008E570000}"/>
    <cellStyle name="Normal 6 9" xfId="2573" xr:uid="{00000000-0005-0000-0000-00008F570000}"/>
    <cellStyle name="Normal 7" xfId="78" xr:uid="{00000000-0005-0000-0000-000090570000}"/>
    <cellStyle name="Normal 7 10" xfId="3802" xr:uid="{00000000-0005-0000-0000-000091570000}"/>
    <cellStyle name="Normal 7 11" xfId="16415" xr:uid="{00000000-0005-0000-0000-000092570000}"/>
    <cellStyle name="Normal 7 12" xfId="10515" xr:uid="{00000000-0005-0000-0000-000093570000}"/>
    <cellStyle name="Normal 7 2" xfId="113" xr:uid="{00000000-0005-0000-0000-000094570000}"/>
    <cellStyle name="Normal 7 2 10" xfId="16383" xr:uid="{00000000-0005-0000-0000-000095570000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3" xfId="4449" xr:uid="{00000000-0005-0000-0000-00009B570000}"/>
    <cellStyle name="Normal 7 2 2 2 3" xfId="1097" xr:uid="{00000000-0005-0000-0000-00009C570000}"/>
    <cellStyle name="Normal 7 2 2 2 3 2" xfId="3395" xr:uid="{00000000-0005-0000-0000-00009D570000}"/>
    <cellStyle name="Normal 7 2 2 2 3 3" xfId="4855" xr:uid="{00000000-0005-0000-0000-00009E570000}"/>
    <cellStyle name="Normal 7 2 2 2 4" xfId="2525" xr:uid="{00000000-0005-0000-0000-00009F570000}"/>
    <cellStyle name="Normal 7 2 2 2 4 2" xfId="3754" xr:uid="{00000000-0005-0000-0000-0000A0570000}"/>
    <cellStyle name="Normal 7 2 2 2 5" xfId="2917" xr:uid="{00000000-0005-0000-0000-0000A1570000}"/>
    <cellStyle name="Normal 7 2 2 2 6" xfId="4099" xr:uid="{00000000-0005-0000-0000-0000A2570000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3" xfId="4277" xr:uid="{00000000-0005-0000-0000-0000A6570000}"/>
    <cellStyle name="Normal 7 2 2 4" xfId="924" xr:uid="{00000000-0005-0000-0000-0000A7570000}"/>
    <cellStyle name="Normal 7 2 2 4 2" xfId="3394" xr:uid="{00000000-0005-0000-0000-0000A8570000}"/>
    <cellStyle name="Normal 7 2 2 4 3" xfId="4682" xr:uid="{00000000-0005-0000-0000-0000A9570000}"/>
    <cellStyle name="Normal 7 2 2 5" xfId="2354" xr:uid="{00000000-0005-0000-0000-0000AA570000}"/>
    <cellStyle name="Normal 7 2 2 5 2" xfId="3582" xr:uid="{00000000-0005-0000-0000-0000AB570000}"/>
    <cellStyle name="Normal 7 2 2 6" xfId="2746" xr:uid="{00000000-0005-0000-0000-0000AC570000}"/>
    <cellStyle name="Normal 7 2 2 7" xfId="3927" xr:uid="{00000000-0005-0000-0000-0000AD570000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3" xfId="4364" xr:uid="{00000000-0005-0000-0000-0000B2570000}"/>
    <cellStyle name="Normal 7 2 3 3" xfId="1012" xr:uid="{00000000-0005-0000-0000-0000B3570000}"/>
    <cellStyle name="Normal 7 2 3 3 2" xfId="3396" xr:uid="{00000000-0005-0000-0000-0000B4570000}"/>
    <cellStyle name="Normal 7 2 3 3 3" xfId="4770" xr:uid="{00000000-0005-0000-0000-0000B5570000}"/>
    <cellStyle name="Normal 7 2 3 4" xfId="2440" xr:uid="{00000000-0005-0000-0000-0000B6570000}"/>
    <cellStyle name="Normal 7 2 3 4 2" xfId="3669" xr:uid="{00000000-0005-0000-0000-0000B7570000}"/>
    <cellStyle name="Normal 7 2 3 5" xfId="2832" xr:uid="{00000000-0005-0000-0000-0000B8570000}"/>
    <cellStyle name="Normal 7 2 3 6" xfId="4014" xr:uid="{00000000-0005-0000-0000-0000B9570000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3" xfId="4192" xr:uid="{00000000-0005-0000-0000-0000BD570000}"/>
    <cellStyle name="Normal 7 2 5" xfId="838" xr:uid="{00000000-0005-0000-0000-0000BE570000}"/>
    <cellStyle name="Normal 7 2 5 2" xfId="3393" xr:uid="{00000000-0005-0000-0000-0000BF570000}"/>
    <cellStyle name="Normal 7 2 5 3" xfId="4596" xr:uid="{00000000-0005-0000-0000-0000C0570000}"/>
    <cellStyle name="Normal 7 2 6" xfId="2269" xr:uid="{00000000-0005-0000-0000-0000C1570000}"/>
    <cellStyle name="Normal 7 2 6 2" xfId="3497" xr:uid="{00000000-0005-0000-0000-0000C2570000}"/>
    <cellStyle name="Normal 7 2 7" xfId="2660" xr:uid="{00000000-0005-0000-0000-0000C3570000}"/>
    <cellStyle name="Normal 7 2 8" xfId="3842" xr:uid="{00000000-0005-0000-0000-0000C4570000}"/>
    <cellStyle name="Normal 7 2 9" xfId="16311" xr:uid="{00000000-0005-0000-0000-0000C5570000}"/>
    <cellStyle name="Normal 7 3" xfId="162" xr:uid="{00000000-0005-0000-0000-0000C657000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3" xfId="4409" xr:uid="{00000000-0005-0000-0000-0000CB570000}"/>
    <cellStyle name="Normal 7 3 2 3" xfId="1057" xr:uid="{00000000-0005-0000-0000-0000CC570000}"/>
    <cellStyle name="Normal 7 3 2 3 2" xfId="3398" xr:uid="{00000000-0005-0000-0000-0000CD570000}"/>
    <cellStyle name="Normal 7 3 2 3 3" xfId="4815" xr:uid="{00000000-0005-0000-0000-0000CE570000}"/>
    <cellStyle name="Normal 7 3 2 4" xfId="2485" xr:uid="{00000000-0005-0000-0000-0000CF570000}"/>
    <cellStyle name="Normal 7 3 2 4 2" xfId="3714" xr:uid="{00000000-0005-0000-0000-0000D0570000}"/>
    <cellStyle name="Normal 7 3 2 5" xfId="2877" xr:uid="{00000000-0005-0000-0000-0000D1570000}"/>
    <cellStyle name="Normal 7 3 2 6" xfId="4059" xr:uid="{00000000-0005-0000-0000-0000D2570000}"/>
    <cellStyle name="Normal 7 3 2 7" xfId="16436" xr:uid="{00000000-0005-0000-0000-0000D3570000}"/>
    <cellStyle name="Normal 7 3 2 8" xfId="9826" xr:uid="{00000000-0005-0000-0000-0000D4570000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3" xfId="4237" xr:uid="{00000000-0005-0000-0000-0000D8570000}"/>
    <cellStyle name="Normal 7 3 4" xfId="884" xr:uid="{00000000-0005-0000-0000-0000D9570000}"/>
    <cellStyle name="Normal 7 3 4 2" xfId="3397" xr:uid="{00000000-0005-0000-0000-0000DA570000}"/>
    <cellStyle name="Normal 7 3 4 3" xfId="4642" xr:uid="{00000000-0005-0000-0000-0000DB570000}"/>
    <cellStyle name="Normal 7 3 5" xfId="2314" xr:uid="{00000000-0005-0000-0000-0000DC570000}"/>
    <cellStyle name="Normal 7 3 5 2" xfId="3542" xr:uid="{00000000-0005-0000-0000-0000DD570000}"/>
    <cellStyle name="Normal 7 3 6" xfId="2706" xr:uid="{00000000-0005-0000-0000-0000DE570000}"/>
    <cellStyle name="Normal 7 3 7" xfId="3887" xr:uid="{00000000-0005-0000-0000-0000DF570000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3" xfId="4324" xr:uid="{00000000-0005-0000-0000-0000E6570000}"/>
    <cellStyle name="Normal 7 4 3" xfId="972" xr:uid="{00000000-0005-0000-0000-0000E7570000}"/>
    <cellStyle name="Normal 7 4 3 2" xfId="3399" xr:uid="{00000000-0005-0000-0000-0000E8570000}"/>
    <cellStyle name="Normal 7 4 3 3" xfId="4730" xr:uid="{00000000-0005-0000-0000-0000E9570000}"/>
    <cellStyle name="Normal 7 4 4" xfId="2400" xr:uid="{00000000-0005-0000-0000-0000EA570000}"/>
    <cellStyle name="Normal 7 4 4 2" xfId="3629" xr:uid="{00000000-0005-0000-0000-0000EB570000}"/>
    <cellStyle name="Normal 7 4 5" xfId="2620" xr:uid="{00000000-0005-0000-0000-0000EC570000}"/>
    <cellStyle name="Normal 7 4 6" xfId="3974" xr:uid="{00000000-0005-0000-0000-0000ED570000}"/>
    <cellStyle name="Normal 7 4 7" xfId="16499" xr:uid="{00000000-0005-0000-0000-0000EE570000}"/>
    <cellStyle name="Normal 7 4 8" xfId="16495" xr:uid="{00000000-0005-0000-0000-0000EF570000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3" xfId="4906" xr:uid="{00000000-0005-0000-0000-0000F3570000}"/>
    <cellStyle name="Normal 7 5 3" xfId="2792" xr:uid="{00000000-0005-0000-0000-0000F4570000}"/>
    <cellStyle name="Normal 7 5 4" xfId="4152" xr:uid="{00000000-0005-0000-0000-0000F5570000}"/>
    <cellStyle name="Normal 7 6" xfId="798" xr:uid="{00000000-0005-0000-0000-0000F6570000}"/>
    <cellStyle name="Normal 7 6 2" xfId="2967" xr:uid="{00000000-0005-0000-0000-0000F7570000}"/>
    <cellStyle name="Normal 7 6 3" xfId="4556" xr:uid="{00000000-0005-0000-0000-0000F8570000}"/>
    <cellStyle name="Normal 7 7" xfId="2218" xr:uid="{00000000-0005-0000-0000-0000F9570000}"/>
    <cellStyle name="Normal 7 7 2" xfId="3392" xr:uid="{00000000-0005-0000-0000-0000FA570000}"/>
    <cellStyle name="Normal 7 8" xfId="2229" xr:uid="{00000000-0005-0000-0000-0000FB570000}"/>
    <cellStyle name="Normal 7 8 2" xfId="3457" xr:uid="{00000000-0005-0000-0000-0000FC570000}"/>
    <cellStyle name="Normal 7 9" xfId="2577" xr:uid="{00000000-0005-0000-0000-0000FD570000}"/>
    <cellStyle name="Normal 8" xfId="79" xr:uid="{00000000-0005-0000-0000-0000FE570000}"/>
    <cellStyle name="Normal 8 10" xfId="3803" xr:uid="{00000000-0005-0000-0000-0000FF570000}"/>
    <cellStyle name="Normal 8 11" xfId="16426" xr:uid="{00000000-0005-0000-0000-000000580000}"/>
    <cellStyle name="Normal 8 12" xfId="16352" xr:uid="{00000000-0005-0000-0000-000001580000}"/>
    <cellStyle name="Normal 8 2" xfId="114" xr:uid="{00000000-0005-0000-0000-000002580000}"/>
    <cellStyle name="Normal 8 2 10" xfId="16423" xr:uid="{00000000-0005-0000-0000-000003580000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3" xfId="4450" xr:uid="{00000000-0005-0000-0000-000009580000}"/>
    <cellStyle name="Normal 8 2 2 2 3" xfId="1098" xr:uid="{00000000-0005-0000-0000-00000A580000}"/>
    <cellStyle name="Normal 8 2 2 2 3 2" xfId="3403" xr:uid="{00000000-0005-0000-0000-00000B580000}"/>
    <cellStyle name="Normal 8 2 2 2 3 3" xfId="4856" xr:uid="{00000000-0005-0000-0000-00000C580000}"/>
    <cellStyle name="Normal 8 2 2 2 4" xfId="2526" xr:uid="{00000000-0005-0000-0000-00000D580000}"/>
    <cellStyle name="Normal 8 2 2 2 4 2" xfId="3755" xr:uid="{00000000-0005-0000-0000-00000E580000}"/>
    <cellStyle name="Normal 8 2 2 2 5" xfId="2918" xr:uid="{00000000-0005-0000-0000-00000F580000}"/>
    <cellStyle name="Normal 8 2 2 2 6" xfId="4100" xr:uid="{00000000-0005-0000-0000-000010580000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3" xfId="4278" xr:uid="{00000000-0005-0000-0000-000014580000}"/>
    <cellStyle name="Normal 8 2 2 4" xfId="925" xr:uid="{00000000-0005-0000-0000-000015580000}"/>
    <cellStyle name="Normal 8 2 2 4 2" xfId="3402" xr:uid="{00000000-0005-0000-0000-000016580000}"/>
    <cellStyle name="Normal 8 2 2 4 3" xfId="4683" xr:uid="{00000000-0005-0000-0000-000017580000}"/>
    <cellStyle name="Normal 8 2 2 5" xfId="2355" xr:uid="{00000000-0005-0000-0000-000018580000}"/>
    <cellStyle name="Normal 8 2 2 5 2" xfId="3583" xr:uid="{00000000-0005-0000-0000-000019580000}"/>
    <cellStyle name="Normal 8 2 2 6" xfId="2747" xr:uid="{00000000-0005-0000-0000-00001A580000}"/>
    <cellStyle name="Normal 8 2 2 7" xfId="3928" xr:uid="{00000000-0005-0000-0000-00001B580000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3" xfId="4365" xr:uid="{00000000-0005-0000-0000-000020580000}"/>
    <cellStyle name="Normal 8 2 3 3" xfId="1013" xr:uid="{00000000-0005-0000-0000-000021580000}"/>
    <cellStyle name="Normal 8 2 3 3 2" xfId="3404" xr:uid="{00000000-0005-0000-0000-000022580000}"/>
    <cellStyle name="Normal 8 2 3 3 3" xfId="4771" xr:uid="{00000000-0005-0000-0000-000023580000}"/>
    <cellStyle name="Normal 8 2 3 4" xfId="2441" xr:uid="{00000000-0005-0000-0000-000024580000}"/>
    <cellStyle name="Normal 8 2 3 4 2" xfId="3670" xr:uid="{00000000-0005-0000-0000-000025580000}"/>
    <cellStyle name="Normal 8 2 3 5" xfId="2833" xr:uid="{00000000-0005-0000-0000-000026580000}"/>
    <cellStyle name="Normal 8 2 3 6" xfId="4015" xr:uid="{00000000-0005-0000-0000-000027580000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3" xfId="4193" xr:uid="{00000000-0005-0000-0000-00002B580000}"/>
    <cellStyle name="Normal 8 2 5" xfId="839" xr:uid="{00000000-0005-0000-0000-00002C580000}"/>
    <cellStyle name="Normal 8 2 5 2" xfId="3401" xr:uid="{00000000-0005-0000-0000-00002D580000}"/>
    <cellStyle name="Normal 8 2 5 3" xfId="4597" xr:uid="{00000000-0005-0000-0000-00002E580000}"/>
    <cellStyle name="Normal 8 2 6" xfId="2270" xr:uid="{00000000-0005-0000-0000-00002F580000}"/>
    <cellStyle name="Normal 8 2 6 2" xfId="3498" xr:uid="{00000000-0005-0000-0000-000030580000}"/>
    <cellStyle name="Normal 8 2 7" xfId="2661" xr:uid="{00000000-0005-0000-0000-000031580000}"/>
    <cellStyle name="Normal 8 2 8" xfId="3843" xr:uid="{00000000-0005-0000-0000-000032580000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3" xfId="4410" xr:uid="{00000000-0005-0000-0000-000039580000}"/>
    <cellStyle name="Normal 8 3 2 3" xfId="1058" xr:uid="{00000000-0005-0000-0000-00003A580000}"/>
    <cellStyle name="Normal 8 3 2 3 2" xfId="3406" xr:uid="{00000000-0005-0000-0000-00003B580000}"/>
    <cellStyle name="Normal 8 3 2 3 3" xfId="4816" xr:uid="{00000000-0005-0000-0000-00003C580000}"/>
    <cellStyle name="Normal 8 3 2 4" xfId="2486" xr:uid="{00000000-0005-0000-0000-00003D580000}"/>
    <cellStyle name="Normal 8 3 2 4 2" xfId="3715" xr:uid="{00000000-0005-0000-0000-00003E580000}"/>
    <cellStyle name="Normal 8 3 2 5" xfId="2878" xr:uid="{00000000-0005-0000-0000-00003F580000}"/>
    <cellStyle name="Normal 8 3 2 6" xfId="4060" xr:uid="{00000000-0005-0000-0000-000040580000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3" xfId="4238" xr:uid="{00000000-0005-0000-0000-000044580000}"/>
    <cellStyle name="Normal 8 3 4" xfId="885" xr:uid="{00000000-0005-0000-0000-000045580000}"/>
    <cellStyle name="Normal 8 3 4 2" xfId="3405" xr:uid="{00000000-0005-0000-0000-000046580000}"/>
    <cellStyle name="Normal 8 3 4 3" xfId="4643" xr:uid="{00000000-0005-0000-0000-000047580000}"/>
    <cellStyle name="Normal 8 3 5" xfId="2315" xr:uid="{00000000-0005-0000-0000-000048580000}"/>
    <cellStyle name="Normal 8 3 5 2" xfId="3543" xr:uid="{00000000-0005-0000-0000-000049580000}"/>
    <cellStyle name="Normal 8 3 6" xfId="2707" xr:uid="{00000000-0005-0000-0000-00004A580000}"/>
    <cellStyle name="Normal 8 3 7" xfId="3888" xr:uid="{00000000-0005-0000-0000-00004B580000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3" xfId="4325" xr:uid="{00000000-0005-0000-0000-000050580000}"/>
    <cellStyle name="Normal 8 4 3" xfId="973" xr:uid="{00000000-0005-0000-0000-000051580000}"/>
    <cellStyle name="Normal 8 4 3 2" xfId="3407" xr:uid="{00000000-0005-0000-0000-000052580000}"/>
    <cellStyle name="Normal 8 4 3 3" xfId="4731" xr:uid="{00000000-0005-0000-0000-000053580000}"/>
    <cellStyle name="Normal 8 4 4" xfId="2401" xr:uid="{00000000-0005-0000-0000-000054580000}"/>
    <cellStyle name="Normal 8 4 4 2" xfId="3630" xr:uid="{00000000-0005-0000-0000-000055580000}"/>
    <cellStyle name="Normal 8 4 5" xfId="2621" xr:uid="{00000000-0005-0000-0000-000056580000}"/>
    <cellStyle name="Normal 8 4 6" xfId="3975" xr:uid="{00000000-0005-0000-0000-000057580000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3" xfId="4907" xr:uid="{00000000-0005-0000-0000-00005B580000}"/>
    <cellStyle name="Normal 8 5 3" xfId="2793" xr:uid="{00000000-0005-0000-0000-00005C580000}"/>
    <cellStyle name="Normal 8 5 4" xfId="4153" xr:uid="{00000000-0005-0000-0000-00005D580000}"/>
    <cellStyle name="Normal 8 6" xfId="799" xr:uid="{00000000-0005-0000-0000-00005E580000}"/>
    <cellStyle name="Normal 8 6 2" xfId="2968" xr:uid="{00000000-0005-0000-0000-00005F580000}"/>
    <cellStyle name="Normal 8 6 3" xfId="4557" xr:uid="{00000000-0005-0000-0000-000060580000}"/>
    <cellStyle name="Normal 8 7" xfId="2219" xr:uid="{00000000-0005-0000-0000-000061580000}"/>
    <cellStyle name="Normal 8 7 2" xfId="3400" xr:uid="{00000000-0005-0000-0000-000062580000}"/>
    <cellStyle name="Normal 8 8" xfId="2230" xr:uid="{00000000-0005-0000-0000-000063580000}"/>
    <cellStyle name="Normal 8 8 2" xfId="3458" xr:uid="{00000000-0005-0000-0000-000064580000}"/>
    <cellStyle name="Normal 8 9" xfId="2578" xr:uid="{00000000-0005-0000-0000-000065580000}"/>
    <cellStyle name="Normal 9" xfId="82" xr:uid="{00000000-0005-0000-0000-000066580000}"/>
    <cellStyle name="Normal 9 10" xfId="3806" xr:uid="{00000000-0005-0000-0000-000067580000}"/>
    <cellStyle name="Normal 9 11" xfId="11460" xr:uid="{00000000-0005-0000-0000-000068580000}"/>
    <cellStyle name="Normal 9 12" xfId="11384" xr:uid="{00000000-0005-0000-0000-000069580000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3" xfId="4452" xr:uid="{00000000-0005-0000-0000-000070580000}"/>
    <cellStyle name="Normal 9 2 2 2 3" xfId="1101" xr:uid="{00000000-0005-0000-0000-000071580000}"/>
    <cellStyle name="Normal 9 2 2 2 3 2" xfId="3411" xr:uid="{00000000-0005-0000-0000-000072580000}"/>
    <cellStyle name="Normal 9 2 2 2 3 3" xfId="4859" xr:uid="{00000000-0005-0000-0000-000073580000}"/>
    <cellStyle name="Normal 9 2 2 2 4" xfId="2529" xr:uid="{00000000-0005-0000-0000-000074580000}"/>
    <cellStyle name="Normal 9 2 2 2 4 2" xfId="3758" xr:uid="{00000000-0005-0000-0000-000075580000}"/>
    <cellStyle name="Normal 9 2 2 2 5" xfId="2921" xr:uid="{00000000-0005-0000-0000-000076580000}"/>
    <cellStyle name="Normal 9 2 2 2 6" xfId="4103" xr:uid="{00000000-0005-0000-0000-000077580000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3" xfId="4281" xr:uid="{00000000-0005-0000-0000-00007B580000}"/>
    <cellStyle name="Normal 9 2 2 4" xfId="928" xr:uid="{00000000-0005-0000-0000-00007C580000}"/>
    <cellStyle name="Normal 9 2 2 4 2" xfId="3410" xr:uid="{00000000-0005-0000-0000-00007D580000}"/>
    <cellStyle name="Normal 9 2 2 4 3" xfId="4686" xr:uid="{00000000-0005-0000-0000-00007E580000}"/>
    <cellStyle name="Normal 9 2 2 5" xfId="2358" xr:uid="{00000000-0005-0000-0000-00007F580000}"/>
    <cellStyle name="Normal 9 2 2 5 2" xfId="3586" xr:uid="{00000000-0005-0000-0000-000080580000}"/>
    <cellStyle name="Normal 9 2 2 6" xfId="2750" xr:uid="{00000000-0005-0000-0000-000081580000}"/>
    <cellStyle name="Normal 9 2 2 7" xfId="3931" xr:uid="{00000000-0005-0000-0000-000082580000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3" xfId="4368" xr:uid="{00000000-0005-0000-0000-000087580000}"/>
    <cellStyle name="Normal 9 2 3 3" xfId="1016" xr:uid="{00000000-0005-0000-0000-000088580000}"/>
    <cellStyle name="Normal 9 2 3 3 2" xfId="3412" xr:uid="{00000000-0005-0000-0000-000089580000}"/>
    <cellStyle name="Normal 9 2 3 3 3" xfId="4774" xr:uid="{00000000-0005-0000-0000-00008A580000}"/>
    <cellStyle name="Normal 9 2 3 4" xfId="2444" xr:uid="{00000000-0005-0000-0000-00008B580000}"/>
    <cellStyle name="Normal 9 2 3 4 2" xfId="3673" xr:uid="{00000000-0005-0000-0000-00008C580000}"/>
    <cellStyle name="Normal 9 2 3 5" xfId="2836" xr:uid="{00000000-0005-0000-0000-00008D580000}"/>
    <cellStyle name="Normal 9 2 3 6" xfId="4018" xr:uid="{00000000-0005-0000-0000-00008E580000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3" xfId="4196" xr:uid="{00000000-0005-0000-0000-000092580000}"/>
    <cellStyle name="Normal 9 2 5" xfId="842" xr:uid="{00000000-0005-0000-0000-000093580000}"/>
    <cellStyle name="Normal 9 2 5 2" xfId="3409" xr:uid="{00000000-0005-0000-0000-000094580000}"/>
    <cellStyle name="Normal 9 2 5 3" xfId="4600" xr:uid="{00000000-0005-0000-0000-000095580000}"/>
    <cellStyle name="Normal 9 2 6" xfId="2273" xr:uid="{00000000-0005-0000-0000-000096580000}"/>
    <cellStyle name="Normal 9 2 6 2" xfId="3501" xr:uid="{00000000-0005-0000-0000-000097580000}"/>
    <cellStyle name="Normal 9 2 7" xfId="2664" xr:uid="{00000000-0005-0000-0000-000098580000}"/>
    <cellStyle name="Normal 9 2 8" xfId="3846" xr:uid="{00000000-0005-0000-0000-000099580000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3" xfId="4413" xr:uid="{00000000-0005-0000-0000-00009F580000}"/>
    <cellStyle name="Normal 9 3 2 3" xfId="1061" xr:uid="{00000000-0005-0000-0000-0000A0580000}"/>
    <cellStyle name="Normal 9 3 2 3 2" xfId="3414" xr:uid="{00000000-0005-0000-0000-0000A1580000}"/>
    <cellStyle name="Normal 9 3 2 3 3" xfId="4819" xr:uid="{00000000-0005-0000-0000-0000A2580000}"/>
    <cellStyle name="Normal 9 3 2 4" xfId="2489" xr:uid="{00000000-0005-0000-0000-0000A3580000}"/>
    <cellStyle name="Normal 9 3 2 4 2" xfId="3718" xr:uid="{00000000-0005-0000-0000-0000A4580000}"/>
    <cellStyle name="Normal 9 3 2 5" xfId="2881" xr:uid="{00000000-0005-0000-0000-0000A5580000}"/>
    <cellStyle name="Normal 9 3 2 6" xfId="4063" xr:uid="{00000000-0005-0000-0000-0000A658000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3" xfId="4241" xr:uid="{00000000-0005-0000-0000-0000AA580000}"/>
    <cellStyle name="Normal 9 3 4" xfId="888" xr:uid="{00000000-0005-0000-0000-0000AB580000}"/>
    <cellStyle name="Normal 9 3 4 2" xfId="3413" xr:uid="{00000000-0005-0000-0000-0000AC580000}"/>
    <cellStyle name="Normal 9 3 4 3" xfId="4646" xr:uid="{00000000-0005-0000-0000-0000AD580000}"/>
    <cellStyle name="Normal 9 3 5" xfId="2318" xr:uid="{00000000-0005-0000-0000-0000AE580000}"/>
    <cellStyle name="Normal 9 3 5 2" xfId="3546" xr:uid="{00000000-0005-0000-0000-0000AF580000}"/>
    <cellStyle name="Normal 9 3 6" xfId="2710" xr:uid="{00000000-0005-0000-0000-0000B0580000}"/>
    <cellStyle name="Normal 9 3 7" xfId="3891" xr:uid="{00000000-0005-0000-0000-0000B1580000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3" xfId="4328" xr:uid="{00000000-0005-0000-0000-0000B6580000}"/>
    <cellStyle name="Normal 9 4 3" xfId="976" xr:uid="{00000000-0005-0000-0000-0000B7580000}"/>
    <cellStyle name="Normal 9 4 3 2" xfId="3415" xr:uid="{00000000-0005-0000-0000-0000B8580000}"/>
    <cellStyle name="Normal 9 4 3 3" xfId="4734" xr:uid="{00000000-0005-0000-0000-0000B9580000}"/>
    <cellStyle name="Normal 9 4 4" xfId="2404" xr:uid="{00000000-0005-0000-0000-0000BA580000}"/>
    <cellStyle name="Normal 9 4 4 2" xfId="3633" xr:uid="{00000000-0005-0000-0000-0000BB580000}"/>
    <cellStyle name="Normal 9 4 5" xfId="2624" xr:uid="{00000000-0005-0000-0000-0000BC580000}"/>
    <cellStyle name="Normal 9 4 6" xfId="3978" xr:uid="{00000000-0005-0000-0000-0000BD580000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3" xfId="4910" xr:uid="{00000000-0005-0000-0000-0000C1580000}"/>
    <cellStyle name="Normal 9 5 3" xfId="2796" xr:uid="{00000000-0005-0000-0000-0000C2580000}"/>
    <cellStyle name="Normal 9 5 4" xfId="4156" xr:uid="{00000000-0005-0000-0000-0000C3580000}"/>
    <cellStyle name="Normal 9 6" xfId="802" xr:uid="{00000000-0005-0000-0000-0000C4580000}"/>
    <cellStyle name="Normal 9 6 2" xfId="2971" xr:uid="{00000000-0005-0000-0000-0000C5580000}"/>
    <cellStyle name="Normal 9 6 3" xfId="4560" xr:uid="{00000000-0005-0000-0000-0000C6580000}"/>
    <cellStyle name="Normal 9 7" xfId="2220" xr:uid="{00000000-0005-0000-0000-0000C7580000}"/>
    <cellStyle name="Normal 9 7 2" xfId="3408" xr:uid="{00000000-0005-0000-0000-0000C8580000}"/>
    <cellStyle name="Normal 9 8" xfId="2233" xr:uid="{00000000-0005-0000-0000-0000C9580000}"/>
    <cellStyle name="Normal 9 8 2" xfId="3461" xr:uid="{00000000-0005-0000-0000-0000CA580000}"/>
    <cellStyle name="Normal 9 9" xfId="2581" xr:uid="{00000000-0005-0000-0000-0000CB580000}"/>
    <cellStyle name="Notas 2" xfId="72" xr:uid="{00000000-0005-0000-0000-0000CC580000}"/>
    <cellStyle name="Notas 2 10" xfId="3797" xr:uid="{00000000-0005-0000-0000-0000CD580000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3" xfId="4444" xr:uid="{00000000-0005-0000-0000-0000D4580000}"/>
    <cellStyle name="Notas 2 2 2 2 3" xfId="1092" xr:uid="{00000000-0005-0000-0000-0000D5580000}"/>
    <cellStyle name="Notas 2 2 2 2 3 2" xfId="3419" xr:uid="{00000000-0005-0000-0000-0000D6580000}"/>
    <cellStyle name="Notas 2 2 2 2 3 3" xfId="4850" xr:uid="{00000000-0005-0000-0000-0000D7580000}"/>
    <cellStyle name="Notas 2 2 2 2 4" xfId="2520" xr:uid="{00000000-0005-0000-0000-0000D8580000}"/>
    <cellStyle name="Notas 2 2 2 2 4 2" xfId="3749" xr:uid="{00000000-0005-0000-0000-0000D9580000}"/>
    <cellStyle name="Notas 2 2 2 2 5" xfId="2912" xr:uid="{00000000-0005-0000-0000-0000DA580000}"/>
    <cellStyle name="Notas 2 2 2 2 6" xfId="4094" xr:uid="{00000000-0005-0000-0000-0000DB580000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3" xfId="4272" xr:uid="{00000000-0005-0000-0000-0000DF580000}"/>
    <cellStyle name="Notas 2 2 2 4" xfId="919" xr:uid="{00000000-0005-0000-0000-0000E0580000}"/>
    <cellStyle name="Notas 2 2 2 4 2" xfId="3418" xr:uid="{00000000-0005-0000-0000-0000E1580000}"/>
    <cellStyle name="Notas 2 2 2 4 3" xfId="4677" xr:uid="{00000000-0005-0000-0000-0000E2580000}"/>
    <cellStyle name="Notas 2 2 2 5" xfId="2349" xr:uid="{00000000-0005-0000-0000-0000E3580000}"/>
    <cellStyle name="Notas 2 2 2 5 2" xfId="3577" xr:uid="{00000000-0005-0000-0000-0000E4580000}"/>
    <cellStyle name="Notas 2 2 2 6" xfId="2741" xr:uid="{00000000-0005-0000-0000-0000E5580000}"/>
    <cellStyle name="Notas 2 2 2 7" xfId="3922" xr:uid="{00000000-0005-0000-0000-0000E658000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3" xfId="4359" xr:uid="{00000000-0005-0000-0000-0000EB580000}"/>
    <cellStyle name="Notas 2 2 3 3" xfId="1007" xr:uid="{00000000-0005-0000-0000-0000EC580000}"/>
    <cellStyle name="Notas 2 2 3 3 2" xfId="3420" xr:uid="{00000000-0005-0000-0000-0000ED580000}"/>
    <cellStyle name="Notas 2 2 3 3 3" xfId="4765" xr:uid="{00000000-0005-0000-0000-0000EE580000}"/>
    <cellStyle name="Notas 2 2 3 4" xfId="2435" xr:uid="{00000000-0005-0000-0000-0000EF580000}"/>
    <cellStyle name="Notas 2 2 3 4 2" xfId="3664" xr:uid="{00000000-0005-0000-0000-0000F0580000}"/>
    <cellStyle name="Notas 2 2 3 5" xfId="2827" xr:uid="{00000000-0005-0000-0000-0000F1580000}"/>
    <cellStyle name="Notas 2 2 3 6" xfId="4009" xr:uid="{00000000-0005-0000-0000-0000F2580000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3" xfId="4187" xr:uid="{00000000-0005-0000-0000-0000F6580000}"/>
    <cellStyle name="Notas 2 2 5" xfId="833" xr:uid="{00000000-0005-0000-0000-0000F7580000}"/>
    <cellStyle name="Notas 2 2 5 2" xfId="3417" xr:uid="{00000000-0005-0000-0000-0000F8580000}"/>
    <cellStyle name="Notas 2 2 5 3" xfId="4591" xr:uid="{00000000-0005-0000-0000-0000F9580000}"/>
    <cellStyle name="Notas 2 2 6" xfId="2264" xr:uid="{00000000-0005-0000-0000-0000FA580000}"/>
    <cellStyle name="Notas 2 2 6 2" xfId="3492" xr:uid="{00000000-0005-0000-0000-0000FB580000}"/>
    <cellStyle name="Notas 2 2 7" xfId="2655" xr:uid="{00000000-0005-0000-0000-0000FC580000}"/>
    <cellStyle name="Notas 2 2 8" xfId="3837" xr:uid="{00000000-0005-0000-0000-0000FD580000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3" xfId="4404" xr:uid="{00000000-0005-0000-0000-000003590000}"/>
    <cellStyle name="Notas 2 3 2 3" xfId="1052" xr:uid="{00000000-0005-0000-0000-000004590000}"/>
    <cellStyle name="Notas 2 3 2 3 2" xfId="3422" xr:uid="{00000000-0005-0000-0000-000005590000}"/>
    <cellStyle name="Notas 2 3 2 3 3" xfId="4810" xr:uid="{00000000-0005-0000-0000-000006590000}"/>
    <cellStyle name="Notas 2 3 2 4" xfId="2480" xr:uid="{00000000-0005-0000-0000-000007590000}"/>
    <cellStyle name="Notas 2 3 2 4 2" xfId="3709" xr:uid="{00000000-0005-0000-0000-000008590000}"/>
    <cellStyle name="Notas 2 3 2 5" xfId="2872" xr:uid="{00000000-0005-0000-0000-000009590000}"/>
    <cellStyle name="Notas 2 3 2 6" xfId="4054" xr:uid="{00000000-0005-0000-0000-00000A590000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3" xfId="4232" xr:uid="{00000000-0005-0000-0000-00000E590000}"/>
    <cellStyle name="Notas 2 3 4" xfId="879" xr:uid="{00000000-0005-0000-0000-00000F590000}"/>
    <cellStyle name="Notas 2 3 4 2" xfId="3421" xr:uid="{00000000-0005-0000-0000-000010590000}"/>
    <cellStyle name="Notas 2 3 4 3" xfId="4637" xr:uid="{00000000-0005-0000-0000-000011590000}"/>
    <cellStyle name="Notas 2 3 5" xfId="2309" xr:uid="{00000000-0005-0000-0000-000012590000}"/>
    <cellStyle name="Notas 2 3 5 2" xfId="3537" xr:uid="{00000000-0005-0000-0000-000013590000}"/>
    <cellStyle name="Notas 2 3 6" xfId="2701" xr:uid="{00000000-0005-0000-0000-000014590000}"/>
    <cellStyle name="Notas 2 3 7" xfId="3882" xr:uid="{00000000-0005-0000-0000-000015590000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3" xfId="4319" xr:uid="{00000000-0005-0000-0000-00001A590000}"/>
    <cellStyle name="Notas 2 4 3" xfId="967" xr:uid="{00000000-0005-0000-0000-00001B590000}"/>
    <cellStyle name="Notas 2 4 3 2" xfId="3423" xr:uid="{00000000-0005-0000-0000-00001C590000}"/>
    <cellStyle name="Notas 2 4 3 3" xfId="4725" xr:uid="{00000000-0005-0000-0000-00001D590000}"/>
    <cellStyle name="Notas 2 4 4" xfId="2395" xr:uid="{00000000-0005-0000-0000-00001E590000}"/>
    <cellStyle name="Notas 2 4 4 2" xfId="3624" xr:uid="{00000000-0005-0000-0000-00001F590000}"/>
    <cellStyle name="Notas 2 4 5" xfId="2615" xr:uid="{00000000-0005-0000-0000-000020590000}"/>
    <cellStyle name="Notas 2 4 6" xfId="3969" xr:uid="{00000000-0005-0000-0000-000021590000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3" xfId="4901" xr:uid="{00000000-0005-0000-0000-000025590000}"/>
    <cellStyle name="Notas 2 5 3" xfId="2787" xr:uid="{00000000-0005-0000-0000-000026590000}"/>
    <cellStyle name="Notas 2 5 4" xfId="4147" xr:uid="{00000000-0005-0000-0000-000027590000}"/>
    <cellStyle name="Notas 2 6" xfId="793" xr:uid="{00000000-0005-0000-0000-000028590000}"/>
    <cellStyle name="Notas 2 6 2" xfId="2962" xr:uid="{00000000-0005-0000-0000-000029590000}"/>
    <cellStyle name="Notas 2 6 3" xfId="4551" xr:uid="{00000000-0005-0000-0000-00002A590000}"/>
    <cellStyle name="Notas 2 7" xfId="2221" xr:uid="{00000000-0005-0000-0000-00002B590000}"/>
    <cellStyle name="Notas 2 7 2" xfId="3416" xr:uid="{00000000-0005-0000-0000-00002C590000}"/>
    <cellStyle name="Notas 2 8" xfId="2224" xr:uid="{00000000-0005-0000-0000-00002D590000}"/>
    <cellStyle name="Notas 2 8 2" xfId="3452" xr:uid="{00000000-0005-0000-0000-00002E590000}"/>
    <cellStyle name="Notas 2 9" xfId="2572" xr:uid="{00000000-0005-0000-0000-00002F590000}"/>
    <cellStyle name="Notas 3" xfId="29" xr:uid="{00000000-0005-0000-0000-000030590000}"/>
    <cellStyle name="Porcentaje 2" xfId="81" xr:uid="{00000000-0005-0000-0000-000031590000}"/>
    <cellStyle name="Porcentaje 2 10" xfId="3805" xr:uid="{00000000-0005-0000-0000-000032590000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3" xfId="1448" xr:uid="{00000000-0005-0000-0000-000039590000}"/>
    <cellStyle name="Porcentaje 2 2 2 2 3" xfId="1100" xr:uid="{00000000-0005-0000-0000-00003A590000}"/>
    <cellStyle name="Porcentaje 2 2 2 2 3 2" xfId="3426" xr:uid="{00000000-0005-0000-0000-00003B590000}"/>
    <cellStyle name="Porcentaje 2 2 2 2 3 3" xfId="4858" xr:uid="{00000000-0005-0000-0000-00003C590000}"/>
    <cellStyle name="Porcentaje 2 2 2 2 4" xfId="2528" xr:uid="{00000000-0005-0000-0000-00003D590000}"/>
    <cellStyle name="Porcentaje 2 2 2 2 4 2" xfId="3757" xr:uid="{00000000-0005-0000-0000-00003E590000}"/>
    <cellStyle name="Porcentaje 2 2 2 2 5" xfId="2920" xr:uid="{00000000-0005-0000-0000-00003F590000}"/>
    <cellStyle name="Porcentaje 2 2 2 2 6" xfId="4102" xr:uid="{00000000-0005-0000-0000-00004059000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3" xfId="4280" xr:uid="{00000000-0005-0000-0000-000044590000}"/>
    <cellStyle name="Porcentaje 2 2 2 4" xfId="927" xr:uid="{00000000-0005-0000-0000-000045590000}"/>
    <cellStyle name="Porcentaje 2 2 2 4 2" xfId="3425" xr:uid="{00000000-0005-0000-0000-000046590000}"/>
    <cellStyle name="Porcentaje 2 2 2 4 3" xfId="4685" xr:uid="{00000000-0005-0000-0000-000047590000}"/>
    <cellStyle name="Porcentaje 2 2 2 5" xfId="2357" xr:uid="{00000000-0005-0000-0000-000048590000}"/>
    <cellStyle name="Porcentaje 2 2 2 5 2" xfId="3585" xr:uid="{00000000-0005-0000-0000-000049590000}"/>
    <cellStyle name="Porcentaje 2 2 2 6" xfId="2749" xr:uid="{00000000-0005-0000-0000-00004A590000}"/>
    <cellStyle name="Porcentaje 2 2 2 7" xfId="3930" xr:uid="{00000000-0005-0000-0000-00004B590000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3" xfId="4367" xr:uid="{00000000-0005-0000-0000-000050590000}"/>
    <cellStyle name="Porcentaje 2 2 3 3" xfId="1015" xr:uid="{00000000-0005-0000-0000-000051590000}"/>
    <cellStyle name="Porcentaje 2 2 3 3 2" xfId="3427" xr:uid="{00000000-0005-0000-0000-000052590000}"/>
    <cellStyle name="Porcentaje 2 2 3 3 3" xfId="4773" xr:uid="{00000000-0005-0000-0000-000053590000}"/>
    <cellStyle name="Porcentaje 2 2 3 4" xfId="2443" xr:uid="{00000000-0005-0000-0000-000054590000}"/>
    <cellStyle name="Porcentaje 2 2 3 4 2" xfId="3672" xr:uid="{00000000-0005-0000-0000-000055590000}"/>
    <cellStyle name="Porcentaje 2 2 3 5" xfId="2835" xr:uid="{00000000-0005-0000-0000-000056590000}"/>
    <cellStyle name="Porcentaje 2 2 3 6" xfId="4017" xr:uid="{00000000-0005-0000-0000-000057590000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3" xfId="4195" xr:uid="{00000000-0005-0000-0000-00005B590000}"/>
    <cellStyle name="Porcentaje 2 2 5" xfId="841" xr:uid="{00000000-0005-0000-0000-00005C590000}"/>
    <cellStyle name="Porcentaje 2 2 5 2" xfId="3424" xr:uid="{00000000-0005-0000-0000-00005D590000}"/>
    <cellStyle name="Porcentaje 2 2 5 3" xfId="4599" xr:uid="{00000000-0005-0000-0000-00005E590000}"/>
    <cellStyle name="Porcentaje 2 2 6" xfId="2272" xr:uid="{00000000-0005-0000-0000-00005F590000}"/>
    <cellStyle name="Porcentaje 2 2 6 2" xfId="3500" xr:uid="{00000000-0005-0000-0000-000060590000}"/>
    <cellStyle name="Porcentaje 2 2 7" xfId="2663" xr:uid="{00000000-0005-0000-0000-000061590000}"/>
    <cellStyle name="Porcentaje 2 2 8" xfId="3845" xr:uid="{00000000-0005-0000-0000-000062590000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3" xfId="4412" xr:uid="{00000000-0005-0000-0000-000068590000}"/>
    <cellStyle name="Porcentaje 2 3 2 3" xfId="1060" xr:uid="{00000000-0005-0000-0000-000069590000}"/>
    <cellStyle name="Porcentaje 2 3 2 3 2" xfId="3429" xr:uid="{00000000-0005-0000-0000-00006A590000}"/>
    <cellStyle name="Porcentaje 2 3 2 3 3" xfId="4818" xr:uid="{00000000-0005-0000-0000-00006B590000}"/>
    <cellStyle name="Porcentaje 2 3 2 4" xfId="2488" xr:uid="{00000000-0005-0000-0000-00006C590000}"/>
    <cellStyle name="Porcentaje 2 3 2 4 2" xfId="3717" xr:uid="{00000000-0005-0000-0000-00006D590000}"/>
    <cellStyle name="Porcentaje 2 3 2 5" xfId="2880" xr:uid="{00000000-0005-0000-0000-00006E590000}"/>
    <cellStyle name="Porcentaje 2 3 2 6" xfId="4062" xr:uid="{00000000-0005-0000-0000-00006F590000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3" xfId="4240" xr:uid="{00000000-0005-0000-0000-000073590000}"/>
    <cellStyle name="Porcentaje 2 3 4" xfId="887" xr:uid="{00000000-0005-0000-0000-000074590000}"/>
    <cellStyle name="Porcentaje 2 3 4 2" xfId="3428" xr:uid="{00000000-0005-0000-0000-000075590000}"/>
    <cellStyle name="Porcentaje 2 3 4 3" xfId="4645" xr:uid="{00000000-0005-0000-0000-000076590000}"/>
    <cellStyle name="Porcentaje 2 3 5" xfId="2317" xr:uid="{00000000-0005-0000-0000-000077590000}"/>
    <cellStyle name="Porcentaje 2 3 5 2" xfId="3545" xr:uid="{00000000-0005-0000-0000-000078590000}"/>
    <cellStyle name="Porcentaje 2 3 6" xfId="2709" xr:uid="{00000000-0005-0000-0000-000079590000}"/>
    <cellStyle name="Porcentaje 2 3 7" xfId="3890" xr:uid="{00000000-0005-0000-0000-00007A590000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3" xfId="4327" xr:uid="{00000000-0005-0000-0000-00007F590000}"/>
    <cellStyle name="Porcentaje 2 4 3" xfId="975" xr:uid="{00000000-0005-0000-0000-000080590000}"/>
    <cellStyle name="Porcentaje 2 4 3 2" xfId="3430" xr:uid="{00000000-0005-0000-0000-000081590000}"/>
    <cellStyle name="Porcentaje 2 4 3 3" xfId="4733" xr:uid="{00000000-0005-0000-0000-000082590000}"/>
    <cellStyle name="Porcentaje 2 4 4" xfId="2403" xr:uid="{00000000-0005-0000-0000-000083590000}"/>
    <cellStyle name="Porcentaje 2 4 4 2" xfId="3632" xr:uid="{00000000-0005-0000-0000-000084590000}"/>
    <cellStyle name="Porcentaje 2 4 5" xfId="2623" xr:uid="{00000000-0005-0000-0000-000085590000}"/>
    <cellStyle name="Porcentaje 2 4 6" xfId="3977" xr:uid="{00000000-0005-0000-0000-000086590000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3" xfId="4909" xr:uid="{00000000-0005-0000-0000-00008A590000}"/>
    <cellStyle name="Porcentaje 2 5 3" xfId="2795" xr:uid="{00000000-0005-0000-0000-00008B590000}"/>
    <cellStyle name="Porcentaje 2 5 4" xfId="4155" xr:uid="{00000000-0005-0000-0000-00008C590000}"/>
    <cellStyle name="Porcentaje 2 6" xfId="418" xr:uid="{00000000-0005-0000-0000-00008D590000}"/>
    <cellStyle name="Porcentaje 2 6 2" xfId="2970" xr:uid="{00000000-0005-0000-0000-00008E590000}"/>
    <cellStyle name="Porcentaje 2 6 3" xfId="4137" xr:uid="{00000000-0005-0000-0000-00008F590000}"/>
    <cellStyle name="Porcentaje 2 6 4" xfId="2019" xr:uid="{00000000-0005-0000-0000-000090590000}"/>
    <cellStyle name="Porcentaje 2 7" xfId="801" xr:uid="{00000000-0005-0000-0000-000091590000}"/>
    <cellStyle name="Porcentaje 2 7 2" xfId="4559" xr:uid="{00000000-0005-0000-0000-000092590000}"/>
    <cellStyle name="Porcentaje 2 7 3" xfId="2120" xr:uid="{00000000-0005-0000-0000-000093590000}"/>
    <cellStyle name="Porcentaje 2 8" xfId="2232" xr:uid="{00000000-0005-0000-0000-000094590000}"/>
    <cellStyle name="Porcentaje 2 8 2" xfId="3460" xr:uid="{00000000-0005-0000-0000-000095590000}"/>
    <cellStyle name="Porcentaje 2 9" xfId="2580" xr:uid="{00000000-0005-0000-0000-000096590000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3" xfId="4122" xr:uid="{00000000-0005-0000-0000-0000A0590000}"/>
    <cellStyle name="Porcentaje 6" xfId="66" xr:uid="{00000000-0005-0000-0000-0000A1590000}"/>
    <cellStyle name="Porcentaje 6 2" xfId="5236" xr:uid="{00000000-0005-0000-0000-0000A2590000}"/>
    <cellStyle name="Porcentaje 7" xfId="2548" xr:uid="{00000000-0005-0000-0000-0000A3590000}"/>
    <cellStyle name="Porcentaje 8" xfId="14" xr:uid="{00000000-0005-0000-0000-0000A4590000}"/>
    <cellStyle name="Porcentaje 9" xfId="22971" xr:uid="{281480BE-6AFB-43D8-AB59-91B71D915F77}"/>
    <cellStyle name="Salida 2" xfId="1492" xr:uid="{00000000-0005-0000-0000-0000A5590000}"/>
    <cellStyle name="Salida 3" xfId="24" xr:uid="{00000000-0005-0000-0000-0000A6590000}"/>
    <cellStyle name="Texto de advertencia 2" xfId="1496" xr:uid="{00000000-0005-0000-0000-0000A7590000}"/>
    <cellStyle name="Texto de advertencia 3" xfId="28" xr:uid="{00000000-0005-0000-0000-0000A8590000}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 2" xfId="1486" xr:uid="{00000000-0005-0000-0000-0000AC590000}"/>
    <cellStyle name="Título 2 3" xfId="17" xr:uid="{00000000-0005-0000-0000-0000AD590000}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 2" xfId="1498" xr:uid="{00000000-0005-0000-0000-0000B3590000}"/>
    <cellStyle name="Total 3" xfId="31" xr:uid="{00000000-0005-0000-0000-0000B4590000}"/>
  </cellStyles>
  <dxfs count="123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7" formatCode="&quot;C$&quot;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_-* #,##0.0_-;\-* #,##0.0_-;_-* &quot;-&quot;??_-;_-@_-"/>
    </dxf>
    <dxf>
      <numFmt numFmtId="166" formatCode="_-* #,##0_-;\-* #,##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3" formatCode="0%"/>
    </dxf>
    <dxf>
      <numFmt numFmtId="13" formatCode="0%"/>
    </dxf>
    <dxf>
      <numFmt numFmtId="19" formatCode="d/m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* #,##0_-;\-* #,##0_-;_-* &quot;-&quot;??_-;_-@_-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&quot;C$&quot;#,##0"/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122"/>
      <tableStyleElement type="totalRow" dxfId="121"/>
      <tableStyleElement type="lastColumn" dxfId="120"/>
      <tableStyleElement type="firstRowStripe" dxfId="119"/>
      <tableStyleElement type="secondRowStripe" dxfId="118"/>
      <tableStyleElement type="firstColumnStripe" dxfId="117"/>
      <tableStyleElement type="firstHeaderCell" dxfId="116"/>
      <tableStyleElement type="firstSubtotalColumn" dxfId="115"/>
      <tableStyleElement type="secondSubtotalColumn" dxfId="114"/>
      <tableStyleElement type="thirdSubtotalColumn" dxfId="113"/>
      <tableStyleElement type="firstSubtotalRow" dxfId="112"/>
      <tableStyleElement type="blankRow" dxfId="111"/>
      <tableStyleElement type="firstColumnSubheading" dxfId="110"/>
      <tableStyleElement type="firstRowSubheading" dxfId="109"/>
      <tableStyleElement type="secondRowSubheading" dxfId="108"/>
      <tableStyleElement type="pageFieldLabels" dxfId="107"/>
      <tableStyleElement type="pageFieldValues" dxfId="10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14.498107870371" createdVersion="7" refreshedVersion="7" minRefreshableVersion="3" recordCount="357" xr:uid="{D9DCFC08-EF96-497A-97B8-AEF2B903D95E}">
  <cacheSource type="worksheet">
    <worksheetSource name="Tabla22"/>
  </cacheSource>
  <cacheFields count="19">
    <cacheField name="PDA" numFmtId="0">
      <sharedItems containsSemiMixedTypes="0" containsString="0" containsNumber="1" containsInteger="1" minValue="3009079" maxValue="3088482"/>
    </cacheField>
    <cacheField name="FECHA" numFmtId="14">
      <sharedItems containsSemiMixedTypes="0" containsNonDate="0" containsDate="1" containsString="0" minDate="2026-03-01T00:00:00" maxDate="2026-04-01T00:00:00" count="24">
        <d v="2026-03-02T00:00:00"/>
        <d v="2026-03-12T00:00:00"/>
        <d v="2026-03-06T00:00:00"/>
        <d v="2026-03-19T00:00:00"/>
        <d v="2026-03-18T00:00:00"/>
        <d v="2026-03-11T00:00:00"/>
        <d v="2026-03-09T00:00:00"/>
        <d v="2026-03-01T00:00:00"/>
        <d v="2026-03-10T00:00:00"/>
        <d v="2026-03-03T00:00:00"/>
        <d v="2026-03-21T00:00:00"/>
        <d v="2026-03-25T00:00:00"/>
        <d v="2026-03-05T00:00:00"/>
        <d v="2026-03-16T00:00:00"/>
        <d v="2026-03-04T00:00:00"/>
        <d v="2026-03-24T00:00:00"/>
        <d v="2026-03-26T00:00:00"/>
        <d v="2026-03-13T00:00:00"/>
        <d v="2026-03-31T00:00:00"/>
        <d v="2026-03-23T00:00:00"/>
        <d v="2026-03-20T00:00:00"/>
        <d v="2026-03-27T00:00:00"/>
        <d v="2026-03-30T00:00:00"/>
        <d v="2026-03-17T00:00:00"/>
      </sharedItems>
    </cacheField>
    <cacheField name="CUENTA" numFmtId="0">
      <sharedItems count="5">
        <s v="06-10-006-010"/>
        <s v="06-10-008-003"/>
        <s v="06-10-008-004"/>
        <s v="06-10-008-001"/>
        <s v="06-10-008-005"/>
      </sharedItems>
    </cacheField>
    <cacheField name="NOMBRE" numFmtId="0">
      <sharedItems count="5">
        <s v="Reparació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emiMixedTypes="0" containsString="0" containsNumber="1" minValue="0" maxValue="95000"/>
    </cacheField>
    <cacheField name="CREDITO" numFmtId="0">
      <sharedItems containsSemiMixedTypes="0" containsString="0" containsNumber="1" minValue="0" maxValue="29485"/>
    </cacheField>
    <cacheField name="SALDO" numFmtId="0">
      <sharedItems containsSemiMixedTypes="0" containsString="0" containsNumber="1" minValue="-29485" maxValue="95000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SemiMixedTypes="0" containsString="0" containsNumber="1" containsInteger="1" minValue="100" maxValue="100"/>
    </cacheField>
    <cacheField name="C-COSTO" numFmtId="0">
      <sharedItems count="88">
        <s v="AMPM27"/>
        <s v="AMPM52"/>
        <s v="AMPM79"/>
        <s v="ADMON"/>
        <s v="AMPM99"/>
        <s v="MONITOREO"/>
        <s v="OPERACIONES"/>
        <s v="PANADE"/>
        <s v="AMPM02"/>
        <s v="AMPM03"/>
        <s v="AMPM04"/>
        <s v="AMPM05"/>
        <s v="AMPM06"/>
        <s v="AMPM08"/>
        <s v="AMPM09"/>
        <s v="AMPM12"/>
        <s v="AMPM13"/>
        <s v="AMPM14"/>
        <s v="AMPM16"/>
        <s v="AMPM18"/>
        <s v="AMPM19"/>
        <s v="AMPM20"/>
        <s v="AMPM21"/>
        <s v="AMPM23"/>
        <s v="AMPM25"/>
        <s v="AMPM26"/>
        <s v="AMPM28"/>
        <s v="AMPM29"/>
        <s v="AMPM31"/>
        <s v="AMPM32"/>
        <s v="AMPM33"/>
        <s v="AMPM34"/>
        <s v="AMPM37"/>
        <s v="AMPM38"/>
        <s v="AMPM39"/>
        <s v="AMPM40"/>
        <s v="AMPM41"/>
        <s v="AMPM42"/>
        <s v="AMPM44"/>
        <s v="AMPM46"/>
        <s v="AMPM49"/>
        <s v="AMPM54"/>
        <s v="AMPM55"/>
        <s v="AMPM57"/>
        <s v="AMPM58"/>
        <s v="AMPM60"/>
        <s v="AMPM61"/>
        <s v="AMPM62"/>
        <s v="AMPM63"/>
        <s v="AMPM65"/>
        <s v="AMPM66"/>
        <s v="AMPM67"/>
        <s v="AMPM69"/>
        <s v="AMPM70"/>
        <s v="AMPM71"/>
        <s v="AMPM73"/>
        <s v="AMPM74"/>
        <s v="AMPM75"/>
        <s v="AMPM76"/>
        <s v="AMPM77"/>
        <s v="AMPM78"/>
        <s v="AMPM80"/>
        <s v="AMPM82"/>
        <s v="AMPM83"/>
        <s v="AMPM84"/>
        <s v="AMPM88"/>
        <s v="AMPM89"/>
        <s v="AMPM51"/>
        <s v="AMPM59"/>
        <s v="AMPM07"/>
        <s v="AMPM10"/>
        <s v="AMPM15"/>
        <s v="AMPM30"/>
        <s v="AMPM35"/>
        <s v="AMPM36"/>
        <s v="AMPM45"/>
        <s v="AMPM47"/>
        <s v="AMPM48"/>
        <s v="AMPM53"/>
        <s v="AMPM56"/>
        <s v="AMPM68"/>
        <s v="AMPM81"/>
        <s v="AMPM86"/>
        <s v="AMPM87"/>
        <s v="MERCADEO"/>
        <s v="AMPM85"/>
        <s v="AMPM90"/>
        <s v="AMPM91"/>
      </sharedItems>
    </cacheField>
    <cacheField name="COST-DESCRIPCION" numFmtId="0">
      <sharedItems count="88">
        <s v="TIENDA-27"/>
        <s v="TIENDA-52"/>
        <s v="TIENDA-79"/>
        <s v="ADMINISTRACION"/>
        <s v="CEDI"/>
        <s v="MONITOREO"/>
        <s v="OPERACIONES"/>
        <s v="PANADERIA"/>
        <s v="TIENDA-02"/>
        <s v="TIENDA-03"/>
        <s v="TIENDA-04"/>
        <s v="TIENDA-05"/>
        <s v="TIENDA-06"/>
        <s v="TIENDA-08"/>
        <s v="TIENDA-09"/>
        <s v="TIENDA-12"/>
        <s v="TIENDA-13"/>
        <s v="TIENDA-14"/>
        <s v="TIENDA-16"/>
        <s v="TIENDA-18"/>
        <s v="TIENDA-19"/>
        <s v="TIENDA-20"/>
        <s v="TIENDA-21"/>
        <s v="TIENDA-23"/>
        <s v="TIENDA-25"/>
        <s v="TIENDA-26"/>
        <s v="TIENDA-28"/>
        <s v="TIENDA-29"/>
        <s v="TIENDA-31"/>
        <s v="TIENDA-32"/>
        <s v="TIENDA-33"/>
        <s v="TIENDA-34"/>
        <s v="TIENDA-37"/>
        <s v="TIENDA-38"/>
        <s v="TIENDA-39"/>
        <s v="TIENDA-40"/>
        <s v="TIENDA-41"/>
        <s v="TIENDA-42"/>
        <s v="TIENDA-44"/>
        <s v="TIENDA-46"/>
        <s v="TIENDA-49"/>
        <s v="TIENDA-54"/>
        <s v="TIENDA-55"/>
        <s v="TIENDA-57"/>
        <s v="TIENDA-58"/>
        <s v="TIENDA-60"/>
        <s v="TIENDA-61"/>
        <s v="TIENDA-62"/>
        <s v="TIENDA-63"/>
        <s v="TIENDA-65"/>
        <s v="TIENDA-66"/>
        <s v="TIENDA-67"/>
        <s v="TIENDA-69"/>
        <s v="TIENDA-70"/>
        <s v="TIENDA-71"/>
        <s v="TIENDA-73"/>
        <s v="TIENDA-74"/>
        <s v="TIENDA-75"/>
        <s v="TIENDA-76"/>
        <s v="TIENDA-77"/>
        <s v="TIENDA-78"/>
        <s v="TIENDA-80"/>
        <s v="TIENDA-82"/>
        <s v="TIENDA-83"/>
        <s v="TIENDA-84"/>
        <s v="TIENDA-88"/>
        <s v="TIENDA-89"/>
        <s v="TIENDA-51"/>
        <s v="TIENDA-59"/>
        <s v="TIENDA-07"/>
        <s v="TIENDA-10"/>
        <s v="TIENDA-15"/>
        <s v="TIENDA-30"/>
        <s v="TIENDA-35"/>
        <s v="TIENDA-36"/>
        <s v="TIENDA-45"/>
        <s v="TIENDA-47"/>
        <s v="TIENDA-48"/>
        <s v="TIENDA-53"/>
        <s v="TIENDA-56"/>
        <s v="TIENDA-68"/>
        <s v="TIENDA-81"/>
        <s v="TIENDA-86"/>
        <s v="TIENDA-87"/>
        <s v="MERCADEO"/>
        <s v="TIENDA-85"/>
        <s v="TIENDA-90"/>
        <s v="TIENDA-91"/>
      </sharedItems>
    </cacheField>
    <cacheField name="REFERENCIA" numFmtId="0">
      <sharedItems/>
    </cacheField>
    <cacheField name="DESCRIPCION" numFmtId="0">
      <sharedItems count="307">
        <s v="DESINTALACION LLAVES A27"/>
        <s v="MATENIMIENTO ROTULO/ SERV GRUA"/>
        <s v="SERV DESINTA FASCIA LATERAL"/>
        <s v="ROTULO EXTINTOR+ABANICO ARCHIV"/>
        <s v="ESCALERA TIJERA ADMON"/>
        <s v="Silicon-Llave CEDI"/>
        <s v="Dipensador CEDI"/>
        <s v="Llave lavamano CEDI"/>
        <s v="LUMINARIA PANEL LED CELOXA"/>
        <s v="LIMPIEZA+PINTURA/ MONITOREO"/>
        <s v="Pintura punto de reuniones"/>
        <s v="Suministro mano obra SASA"/>
        <s v="KIT INODORO"/>
        <s v="Transfrmador Interior Generico"/>
        <s v="Apagador Sencillo PANADE"/>
        <s v="MT HIDROSANITARIO PANADERIA"/>
        <s v="DISPENSADOR PAPEL TOALLA PANAD"/>
        <s v="MANGUERA-LUMNARIA LED-PANADE"/>
        <s v="Instalación de televA02"/>
        <s v="LUMINARIA LED AMPM03"/>
        <s v="MT EN LIJADO TAPA INFERIOR A4"/>
        <s v="Locker Metalico A05"/>
        <s v="Luminaria Led A05"/>
        <s v="MT MOPI A05 LIJADO Y PINTURA"/>
        <s v="CAMBIO PUERTA QUEBRADA+VISAGRA"/>
        <s v="Locker Metalico A06"/>
        <s v="Tornillo-Espiche A06"/>
        <s v="Movimiento de tuberiA06"/>
        <s v="Cambio de laminas deA06"/>
        <s v="Traslado de laminas A06"/>
        <s v="INSTA PISO+TAPA TANQUE INODORO"/>
        <s v="MT MOPI A6 LIJADO Y PINTURA"/>
        <s v="Locker Metalico A08"/>
        <s v="Pasador Recto A08"/>
        <s v="COJINETE+CONTROL INFI A08"/>
        <s v="TORNILLO TANQUE A08"/>
        <s v="TRAMPA LAVAMANO+BISAGRA"/>
        <s v="MT EN COLUMNA EXTERIOR"/>
        <s v="Manguera-Llave A09"/>
        <s v="Dispensador A12"/>
        <s v="MT MOPI A13 LIJADO-PINTURA"/>
        <s v="MT PUERTA+VISAGRA A13"/>
        <s v="BOMBILLO LED A14"/>
        <s v="INST ASIENTO INODORO+LUZ LED"/>
        <s v="MT MOPI A16 LIJADO Y PINTURA"/>
        <s v="Bombillos Led A18"/>
        <s v="Bombillo Led A18"/>
        <s v="MT MOPI A18 LIJADO Y PINTURA"/>
        <s v="SILLAS CAJERO A18"/>
        <s v="MT MOPI A19 LIJADO Y PINTURA"/>
        <s v="Trasl planta A43 a A19"/>
        <s v="React palnta elect A20"/>
        <s v="CAMBIO DE ILUMINACIO-A20"/>
        <s v="DESTAQUEO Y SONDEO INODORO A20"/>
        <s v="DISPENSADOR PAPEL A20"/>
        <s v="ASIENTO SANITARIO A20"/>
        <s v="Locker Metalico A21"/>
        <s v="MT HIDROSANITARIO A21"/>
        <s v="Retiro Piezas Smartcash A21"/>
        <s v="SILICON A21"/>
        <s v="SINSA/CRREDURA MANECILLA A23"/>
        <s v="Luminaria-Breaker A25"/>
        <s v="Revision paneles Ele A25"/>
        <s v="Inst Puerta Melamina A26"/>
        <s v="Suministro e instalaA27"/>
        <s v="CARGO TRANS/A27"/>
        <s v="DISPENSADOR JABON A27"/>
        <s v="Cierra Puerta A28"/>
        <s v="MH+SISTEMA ELECTRICO,PARED GYP"/>
        <s v="Dispensador A29"/>
        <s v="Envío de salseras A31"/>
        <s v="Suministro e instala-A32"/>
        <s v="Construcción de pare-A32"/>
        <s v="LUMINARIA LED A32"/>
        <s v="SERV TAPIZADO 2 SILLAS A32"/>
        <s v="Envío de salseras A33"/>
        <s v="AJUSTE PUERTA ALUMINIO Y VIDRI"/>
        <s v="Traslado de granita A34"/>
        <s v="CAMBIO DE ILUMNACION-A34"/>
        <s v="Rep filtro agua y cielo A34"/>
        <s v="Rp filtra agua canal,techo A34"/>
        <s v="Punt elec bankito A37"/>
        <s v="BISAGRA DE PRESION A38"/>
        <s v="MT HIDROSANITARIO A39"/>
        <s v="Locker Metalico A40"/>
        <s v="Locker Metalico A41"/>
        <s v="CINTA DE EMPAQUE A41"/>
        <s v="LLAVE CHORO-DAPTADOR A41"/>
        <s v="Envío de salseras A42"/>
        <s v="Envío de salseras A44"/>
        <s v="Desint inodoro y sondeo A46"/>
        <s v="Panel Led A49"/>
        <s v="Gancho-Tornillo A49"/>
        <s v="LUMINARIA LED A49"/>
        <s v="CAMBIO DE LAMPARAS I-A52"/>
        <s v="CAM INST VISAGRA A52"/>
        <s v="SILLAS CAJERO A52"/>
        <s v="Envío de salseras A54"/>
        <s v="Chequeo paneles A55"/>
        <s v="cam ojos buey, bombillas, A55"/>
        <s v="Dispensador de Papel A57"/>
        <s v="Reflector Led A57"/>
        <s v="Luminaria Led A57"/>
        <s v="LUMINARIA LED A58"/>
        <s v="Locker Metalico A60"/>
        <s v="DESINTALACION DE CER-A61"/>
        <s v="CAMB LLAVE LAVAMANOS A61"/>
        <s v="Envío de salseras A62"/>
        <s v="Desint rotulos carretera A63"/>
        <s v="MATERIALES +PINTURA EN PARED"/>
        <s v="DESINTA Y TRASLADO MB A66"/>
        <s v="Traslado de granita A67"/>
        <s v="CAMBIO 3 VIDRIOS FACHADA A67"/>
        <s v="ASIENTO PARA INODORO A69"/>
        <s v="PARED GYPSUM+PINTURA+PUERTA"/>
        <s v="SINSA INTERUPTOR TAPE"/>
        <s v="Soporte-Cerrojo A73"/>
        <s v="Limp geral, poda y basura A73"/>
        <s v="Suministro e instala-A74"/>
        <s v="FILTRACION DE AGUA/R-A75"/>
        <s v="CAMB LAMP LED A75"/>
        <s v="Envío de salseras A76"/>
        <s v="Elaboración de pared-A77"/>
        <s v="REPARACION PUERTA+FUGA DE AGUA"/>
        <s v="DISPEN JABON+PAP A77"/>
        <s v="ESCALERA TIJERA A77"/>
        <s v="CERADURA+DISPENSADOR JABON A78"/>
        <s v="DISPE JABON+PAPEL A78"/>
        <s v="CIERRA PUERTA A78"/>
        <s v="CAMIO VIDRIO PUERTA A80"/>
        <s v="LUMINARIA LED A82"/>
        <s v="BROCHA DE 2 AMPM83"/>
        <s v="Transformador Generico A84"/>
        <s v="CAMBIO DE LAMPARA RE-A84"/>
        <s v="Suministro e instala-A84"/>
        <s v="TRANSFORMADOR DE INTERIOR A88"/>
        <s v="Transformadores Genericos A89"/>
        <s v="SONDEO DE BAÑOS,DESI-A89"/>
        <s v="CARGO TRANS/A89"/>
        <s v="MT HORNO+PLANCHA+BATIDORA"/>
        <s v="TUBERIA Y ARMAFLEX"/>
        <s v="TUBO CUADRADO, SOLDADURA"/>
        <s v="SUMINISTRO CABLE"/>
        <s v="INSUMOS VARIOS"/>
        <s v="SUMINI REFRIGERANTE CF A6"/>
        <s v="REFRIGERANTE AA A06"/>
        <s v="MAN OBRA+INST CF/AIRES"/>
        <s v="EVAPORADOR DIFUSOR A29"/>
        <s v="PROTECTOR VOLTAJE+KIT ARRANQ"/>
        <s v="MOTOR FAN+MANO OBRA"/>
        <s v="MOTOR FAN A59"/>
        <s v="TUBERIA+REFRIGERANTE+INSUMOS"/>
        <s v="PROTECTOR VOLTAJE+MANO OBRA"/>
        <s v="MANT PREVENTIVO IMPRESORA-ADM"/>
        <s v="LIMPIEZA DRENAJE/MOTOR"/>
        <s v="INST MANGUERA DE CONDENSADO"/>
        <s v="MT AA MINI SPLIT ARCHIVO"/>
        <s v="SUMIN PERLINES+ANGULARES"/>
        <s v="MANT PREVENTIVO IMPRESORA-SIST"/>
        <s v="DISPENSADOR DE 3 SALSERA A89"/>
        <s v="MT AIRE ACONDICIONADO PANADE"/>
        <s v="MT MESA FRIA+MANTENEDORA+FREEZ"/>
        <s v="SERV CALIBRACION MESA/PANADE"/>
        <s v="Compras"/>
        <s v="SIST ELECTRICO MUEBLE A04"/>
        <s v="INSULACION TUBERIA+REFRIGERANT"/>
        <s v="REEMPLAZO BOYA TANQUE AGUA"/>
        <s v="MT+AA+MH+AA GONDOLAS"/>
        <s v="MT AA+CF DE BEBIDAS"/>
        <s v="INSTA LUMINARIA MUEBLE A12"/>
        <s v="MT CF+AA+ MH A12"/>
        <s v="FUGA REFRIGERANTE+MH"/>
        <s v="CARGA DE REFRIGERANTE A15"/>
        <s v="REPARACION DE PLANTA A18"/>
        <s v="MANT PREVENTIVO IMPRESORA A18"/>
        <s v="KIT ARRANQUE+SUMINISTRO CONDEN"/>
        <s v="AA+CF+MH+ROLL SALCHICHA"/>
        <s v="CONTROL INFINITO MAQ HOTDOG"/>
        <s v="MT DE PLANTA A25"/>
        <s v="MANT PREVENTIVO IMPRESORA A25"/>
        <s v="MT AA+CF+ROLL SALCHICHA"/>
        <s v="REFRIGERANTE+ANGULARES+TUBERIA"/>
        <s v="INST DE LUMINARIA A30"/>
        <s v="MT AA+CF+MH+BEERCAVE"/>
        <s v="MT AA+CF+BEERCAVE+MH"/>
        <s v="SUMINISTRO FULL GAUGE A31"/>
        <s v="LIMPIEZA DRENAJE Y PANA"/>
        <s v="AA+CF+MT+ROLL SALCHICHA A34"/>
        <s v="CAMBIO FOTOCELDA+CABLEADO A35"/>
        <s v="DIAGNOSTICO FLETE A36"/>
        <s v="INSTA DE LUMINARIA A37"/>
        <s v="MT AA+CF+BEER CAVE A37"/>
        <s v="MT AA+CF+MH+ROLL SALCHICHA"/>
        <s v="CAMBIO FOTO CELDA+REVISON"/>
        <s v="INST DE LUMINARIA A39"/>
        <s v="CAMBIO BREAKER+FOTOCELDA+CABLE"/>
        <s v="AA+CF+BEERCAVE+ROLL SALCHICHA"/>
        <s v="BOMBA CONDENSADO A41"/>
        <s v="MT REFRIGERANT+ REPA FUGA"/>
        <s v="MANO OBRA PINTURA A44"/>
        <s v="INST TAPA INODORO A44"/>
        <s v="MT AA+CF+BEERCAVE"/>
        <s v="MT MOTOR FAN+MANO OBRA"/>
        <s v="MT FUGA MH+ RECARGA REFIGERANT"/>
        <s v="MT AA+CF+BEERCAVE A46"/>
        <s v="MT AA+ROLL SALCHICHA+MH"/>
        <s v="MT PANA DE DRENAJE A48"/>
        <s v="AA+MH+ROLL SALCHICHA"/>
        <s v="TUBERIA+BOMBA CONDENSADO A51"/>
        <s v="INSTA CERRADURA PUERTA A56"/>
        <s v="INSTA LUMINARIA A58"/>
        <s v="AA+CF+BEERCAVE+MH"/>
        <s v="TRANSPORTE A58"/>
        <s v="COJINETE+CADENA ROLLER A59"/>
        <s v="INST DE LUMINARIA A59"/>
        <s v="RECARGA REFRIGERANTE A61"/>
        <s v="AA+ SUMINISTRO TARJETA+FLETE"/>
        <s v="REFRIGERANTE+FUGA CF"/>
        <s v="INST LUMINARIA A62"/>
        <s v="MT AA+BEERCAVE+MH+CF"/>
        <s v="RECARGA REFRIGERANTE CF A63"/>
        <s v="AA+CF+BEERCAVE+MH A63"/>
        <s v="MT AA+CF+BEERCAVE+ROLL SALCHIC"/>
        <s v="ACTI DE AIRE ACONDICIONADO A67"/>
        <s v="RECARGA RERIGERANTE CF"/>
        <s v="MT REFRIGERANTE+FUGA MH"/>
        <s v="MT AA+CF+BEERCAVE+MH A68"/>
        <s v="CAMBIO ACCESORIOS PVC A69"/>
        <s v="MT FOTOCELDA A73"/>
        <s v="MT AA+CF+MH A74"/>
        <s v="MT TUBERIAS Y BOMBA A75"/>
        <s v="AA+CF+BEERCAVE"/>
        <s v="REFRIGERANTE CF A76"/>
        <s v="MT AA+MH"/>
        <s v="PLANTA Y REP VARIAS A80"/>
        <s v="GUARDAMOTOR+MDO+FLETE"/>
        <s v="PROTECTOR DE VOLTAJE A81"/>
        <s v="INSTA DE TUBOS LED A84"/>
        <s v="MT BOMBA HIDRONEUMATICA  A86"/>
        <s v="CORRECCION LINEAS ALIMENTA A87"/>
        <s v="AA+CF+ROLL SALCHICHA+MH"/>
        <s v="Mouse-ADMON"/>
        <s v="FORZA ACUMULADOR DIGITAL"/>
        <s v="Cargador Dell-MERCADEO"/>
        <s v="DISCO DURO MONITOREO"/>
        <s v="UPS FORZA/ MILTON GAMONEDA"/>
        <s v="SEVASA /CARTUCHO EPSON RESPALD"/>
        <s v="MEGA IMAGE /CABLE VIDEO WARROM"/>
        <s v="BATERIA INTERNA"/>
        <s v="SEVASA /MAUSE-CRISTAL"/>
        <s v="Equipos Computos-SISTEMAS"/>
        <s v="Importacion Equipos-SISTEMAS"/>
        <s v="Kit Inalambrico PANADE"/>
        <s v="Reparacion de Camaras A02"/>
        <s v="Reparacion de Camaras A03"/>
        <s v="Reparacion de Camaras A04"/>
        <s v="CARGADOR DELL ORIGINAL A05"/>
        <s v="FAN PARA DELL/BISAGRA A05"/>
        <s v="Bateria Interna A05"/>
        <s v="MEGA IMAGE/TECLA+MAUSE A12"/>
        <s v="forza acumulador tiendas A13 C"/>
        <s v="SEVASA /CARTUCHO EPSON A13"/>
        <s v="SEVASA/JACK CAT A13"/>
        <s v="SEVASA/CONECTOR A13"/>
        <s v="MEGA IMAGE/TECLADO +MAUSE A13"/>
        <s v="MEGA IMAGE /CABLE VIDEO A13"/>
        <s v="CINTA DOBLE A13"/>
        <s v="TAPA ELECTRICA A13"/>
        <s v="4 CANALETAS A13"/>
        <s v="TORNILLO GYPSUM A13"/>
        <s v="MONITOR DELL A13 MB"/>
        <s v="JACK+FACE PLATE A13-CAJA"/>
        <s v="Reparacion de Camaras A15"/>
        <s v="INST CABLEADO-PROGRAMACION A19"/>
        <s v="Suministro de cables A21"/>
        <s v="Reparacion de Camaras A23"/>
        <s v="ACUMULADOR A29"/>
        <s v="Reparacion de Camaras A29"/>
        <s v="SERV TECNICO HARDWARE A39"/>
        <s v="forza acumulador tiendas A55"/>
        <s v="FORZA PROTECTOR A55"/>
        <s v="MEGA IMAGE /CABLE VIDEO A55"/>
        <s v="MT IMPRESORA A56"/>
        <s v="SEVASA/CARTUCHO A60-"/>
        <s v="SERV TECNICO HARDWARE A65"/>
        <s v="SEVASA/CONECTOR A66"/>
        <s v="FORZA ACUMULADOR UPS A66"/>
        <s v="MEGA IMAGE /CABLE VIDEO A70"/>
        <s v="MT CAMARAS,FUENTE DE PODER"/>
        <s v="MEGA IMAGE /CABLE VIDEO A71"/>
        <s v="Cargador Dell-A77"/>
        <s v="CARGADOR DELL A78"/>
        <s v="SEVASA/CARTUCHO A-83"/>
        <s v="SEVASA/CARTUCHO A85"/>
        <s v="Reparacion de Camaras A85"/>
        <s v="SEVASA/2MONITOR SOPORTE A90"/>
        <s v="SEVASA/CONECTOR A90"/>
        <s v="CONICO/CAJA DE DINERO A90"/>
        <s v="UPS+SWITCH8 PUERTO A91"/>
        <s v="SEVASA/MONITOR SOPORTE A91"/>
        <s v="SEVASA/CONECTOR A91"/>
        <s v="CABLE DE REDTINAJITAS A91"/>
        <s v="CONICO/ RAUTER A91"/>
        <s v="CONICO/CAJA DE DINERO A91"/>
        <s v="4 PLACAS MONTAJE A91"/>
        <s v="5 CANALETAS A91"/>
        <s v="4 CAJAS PLASTICA A91"/>
      </sharedItems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410956" maxValue="4975524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2" maxValue="107"/>
    </cacheField>
    <cacheField name="REF A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21.788988773151" createdVersion="7" refreshedVersion="7" minRefreshableVersion="3" recordCount="467" xr:uid="{229648BC-FB9E-47EB-967B-35743795D4C3}">
  <cacheSource type="worksheet">
    <worksheetSource name="Tabla2"/>
  </cacheSource>
  <cacheFields count="19">
    <cacheField name="PDA" numFmtId="0">
      <sharedItems containsString="0" containsBlank="1" containsNumber="1" containsInteger="1" minValue="3009079" maxValue="3110694"/>
    </cacheField>
    <cacheField name="FECHA" numFmtId="14">
      <sharedItems containsNonDate="0" containsDate="1" containsString="0" containsBlank="1" minDate="2026-03-01T00:00:00" maxDate="2026-04-01T00:00:00" count="25">
        <d v="2026-03-02T00:00:00"/>
        <m/>
        <d v="2026-03-31T00:00:00"/>
        <d v="2026-03-12T00:00:00"/>
        <d v="2026-03-06T00:00:00"/>
        <d v="2026-03-24T00:00:00"/>
        <d v="2026-03-19T00:00:00"/>
        <d v="2026-03-18T00:00:00"/>
        <d v="2026-03-11T00:00:00"/>
        <d v="2026-03-09T00:00:00"/>
        <d v="2026-03-01T00:00:00"/>
        <d v="2026-03-10T00:00:00"/>
        <d v="2026-03-03T00:00:00"/>
        <d v="2026-03-21T00:00:00"/>
        <d v="2026-03-25T00:00:00"/>
        <d v="2026-03-26T00:00:00"/>
        <d v="2026-03-05T00:00:00"/>
        <d v="2026-03-20T00:00:00"/>
        <d v="2026-03-16T00:00:00"/>
        <d v="2026-03-04T00:00:00"/>
        <d v="2026-03-13T00:00:00"/>
        <d v="2026-03-23T00:00:00"/>
        <d v="2026-03-27T00:00:00"/>
        <d v="2026-03-30T00:00:00"/>
        <d v="2026-03-17T00:00:00"/>
      </sharedItems>
    </cacheField>
    <cacheField name="CUENTA" numFmtId="0">
      <sharedItems containsBlank="1"/>
    </cacheField>
    <cacheField name="NOMBRE" numFmtId="0">
      <sharedItems count="5">
        <s v="Reparació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tring="0" containsBlank="1" containsNumber="1" minValue="0" maxValue="95000"/>
    </cacheField>
    <cacheField name="CREDITO" numFmtId="0">
      <sharedItems containsString="0" containsBlank="1" containsNumber="1" minValue="0" maxValue="33064.559999999998"/>
    </cacheField>
    <cacheField name="SALDO" numFmtId="0">
      <sharedItems containsString="0" containsBlank="1" containsNumber="1" minValue="-33064.559999999998" maxValue="95000"/>
    </cacheField>
    <cacheField name="ASIGNA" numFmtId="0">
      <sharedItems containsString="0" containsBlank="1" containsNumber="1" containsInteger="1" minValue="5000" maxValue="10000"/>
    </cacheField>
    <cacheField name="% ASIGNACION" numFmtId="0">
      <sharedItems containsString="0" containsBlank="1" containsNumber="1" containsInteger="1" minValue="50" maxValue="100"/>
    </cacheField>
    <cacheField name="C-COSTO" numFmtId="0">
      <sharedItems/>
    </cacheField>
    <cacheField name="COST-DESCRIPCION" numFmtId="0">
      <sharedItems count="93">
        <s v="TIENDA-27"/>
        <s v="TIENDA-01"/>
        <s v="TIENDA-64"/>
        <s v="TIENDA-52"/>
        <s v="TIENDA-79"/>
        <s v="ADMINISTRACION"/>
        <s v="CEDI"/>
        <s v="MONITOREO"/>
        <s v="OPERACIONES"/>
        <s v="PANADERIA"/>
        <s v="TIENDA-02"/>
        <s v="TIENDA-03"/>
        <s v="TIENDA-04"/>
        <s v="TIENDA-05"/>
        <s v="TIENDA-06"/>
        <s v="TIENDA-08"/>
        <s v="TIENDA-09"/>
        <s v="TIENDA-12"/>
        <s v="TIENDA-13"/>
        <s v="TIENDA-14"/>
        <s v="TIENDA-16"/>
        <s v="TIENDA-18"/>
        <s v="TIENDA-19"/>
        <s v="TIENDA-20"/>
        <s v="TIENDA-21"/>
        <s v="TIENDA-23"/>
        <s v="TIENDA-25"/>
        <s v="TIENDA-26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4"/>
        <s v="TIENDA-46"/>
        <s v="TIENDA-47"/>
        <s v="TIENDA-49"/>
        <s v="TIENDA-50"/>
        <s v="TIENDA-51"/>
        <s v="TIENDA-53"/>
        <s v="TIENDA-54"/>
        <s v="TIENDA-55"/>
        <s v="TIENDA-57"/>
        <s v="TIENDA-58"/>
        <s v="TIENDA-60"/>
        <s v="TIENDA-61"/>
        <s v="TIENDA-62"/>
        <s v="TIENDA-63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80"/>
        <s v="TIENDA-82"/>
        <s v="TIENDA-83"/>
        <s v="TIENDA-84"/>
        <s v="TIENDA-87"/>
        <s v="TIENDA-88"/>
        <s v="TIENDA-89"/>
        <s v="TIENDA-59"/>
        <s v="TIENDA-07"/>
        <s v="TIENDA-10"/>
        <s v="TIENDA-15"/>
        <s v="TIENDA-45"/>
        <s v="TIENDA-48"/>
        <s v="TIENDA-56"/>
        <s v="TIENDA-81"/>
        <s v="TIENDA-86"/>
        <s v="MERCADEO"/>
        <s v="TIENDA-43"/>
        <s v="TIENDA-85"/>
        <s v="TIENDA-90"/>
        <s v="TIENDA-91"/>
      </sharedItems>
    </cacheField>
    <cacheField name="REFERENCIA" numFmtId="0">
      <sharedItems containsBlank="1"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4410956" maxValue="4992794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2" maxValue="107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n v="3041883"/>
    <x v="0"/>
    <x v="0"/>
    <x v="0"/>
    <n v="11902.9"/>
    <n v="0"/>
    <n v="11902.9"/>
    <n v="10000"/>
    <n v="100"/>
    <x v="0"/>
    <x v="0"/>
    <s v="DESINTALACION DE LLAVES A27"/>
    <x v="0"/>
    <s v="xmaltez"/>
    <s v="PMTRX00084826"/>
    <n v="4937727"/>
    <n v="1"/>
    <n v="34"/>
    <s v=""/>
  </r>
  <r>
    <n v="3041868"/>
    <x v="0"/>
    <x v="0"/>
    <x v="0"/>
    <n v="65923.740000000005"/>
    <n v="0"/>
    <n v="65923.740000000005"/>
    <n v="10000"/>
    <n v="100"/>
    <x v="1"/>
    <x v="1"/>
    <s v="MT ROTULO T EN AMPM52"/>
    <x v="1"/>
    <s v="xmaltez"/>
    <s v="PMTRX00084826"/>
    <n v="4937720"/>
    <n v="1"/>
    <n v="66"/>
    <s v=""/>
  </r>
  <r>
    <n v="3041876"/>
    <x v="0"/>
    <x v="0"/>
    <x v="0"/>
    <n v="8789.83"/>
    <n v="0"/>
    <n v="8789.83"/>
    <n v="10000"/>
    <n v="100"/>
    <x v="2"/>
    <x v="2"/>
    <s v="DESINTA FASCIA AMPM79"/>
    <x v="2"/>
    <s v="xmaltez"/>
    <s v="PMTRX00084826"/>
    <n v="4937721"/>
    <n v="1"/>
    <n v="95"/>
    <s v=""/>
  </r>
  <r>
    <n v="3041740"/>
    <x v="1"/>
    <x v="1"/>
    <x v="1"/>
    <n v="5209.87"/>
    <n v="0"/>
    <n v="5209.87"/>
    <n v="10000"/>
    <n v="100"/>
    <x v="3"/>
    <x v="3"/>
    <s v="SINSA/ MT ARCHIVO-DIONIS"/>
    <x v="3"/>
    <s v="xmaltez"/>
    <s v="GLTRX00956709"/>
    <n v="4937613"/>
    <n v="1"/>
    <n v="27"/>
    <s v=""/>
  </r>
  <r>
    <n v="3040736"/>
    <x v="2"/>
    <x v="1"/>
    <x v="1"/>
    <n v="2450.4299999999998"/>
    <n v="0"/>
    <n v="2450.4299999999998"/>
    <n v="10000"/>
    <n v="100"/>
    <x v="3"/>
    <x v="3"/>
    <s v="SINSA/MT TIENDAS-DIONIS"/>
    <x v="4"/>
    <s v="xmaltez"/>
    <s v="GLTRX00955853"/>
    <n v="4936012"/>
    <n v="1"/>
    <n v="27"/>
    <s v=""/>
  </r>
  <r>
    <n v="3088413"/>
    <x v="3"/>
    <x v="1"/>
    <x v="1"/>
    <n v="1244.19"/>
    <n v="0"/>
    <n v="1244.19"/>
    <n v="10000"/>
    <n v="100"/>
    <x v="4"/>
    <x v="4"/>
    <s v="SINSA"/>
    <x v="5"/>
    <s v="jlopez"/>
    <s v="GLTRX00970892"/>
    <n v="4975475"/>
    <n v="1"/>
    <n v="33"/>
    <s v=""/>
  </r>
  <r>
    <n v="3088389"/>
    <x v="4"/>
    <x v="1"/>
    <x v="1"/>
    <n v="4956.5200000000004"/>
    <n v="0"/>
    <n v="4956.5200000000004"/>
    <n v="10000"/>
    <n v="100"/>
    <x v="4"/>
    <x v="4"/>
    <s v="WALMART CARRETERA MASAYA"/>
    <x v="6"/>
    <s v="jlopez"/>
    <s v="GLTRX00970892"/>
    <n v="4975454"/>
    <n v="1"/>
    <n v="33"/>
    <s v=""/>
  </r>
  <r>
    <n v="3087867"/>
    <x v="3"/>
    <x v="1"/>
    <x v="1"/>
    <n v="480"/>
    <n v="0"/>
    <n v="480"/>
    <n v="10000"/>
    <n v="100"/>
    <x v="4"/>
    <x v="4"/>
    <s v="MAT DE CONST"/>
    <x v="7"/>
    <s v="jlopez"/>
    <s v="GLTRX00970892"/>
    <n v="4975033"/>
    <n v="1"/>
    <n v="33"/>
    <s v=""/>
  </r>
  <r>
    <n v="3040736"/>
    <x v="2"/>
    <x v="1"/>
    <x v="1"/>
    <n v="2120.87"/>
    <n v="0"/>
    <n v="2120.87"/>
    <n v="10000"/>
    <n v="100"/>
    <x v="4"/>
    <x v="4"/>
    <s v="SINSA/MT TIENDAS-DIONIS"/>
    <x v="8"/>
    <s v="xmaltez"/>
    <s v="GLTRX00955853"/>
    <n v="4936012"/>
    <n v="1"/>
    <n v="33"/>
    <s v=""/>
  </r>
  <r>
    <n v="3043244"/>
    <x v="5"/>
    <x v="1"/>
    <x v="1"/>
    <n v="21500"/>
    <n v="0"/>
    <n v="21500"/>
    <n v="10000"/>
    <n v="100"/>
    <x v="5"/>
    <x v="5"/>
    <s v="MT EN TIENDA- MONITOREO"/>
    <x v="9"/>
    <s v="xmaltez"/>
    <s v="PMTRX00084831"/>
    <n v="4938480"/>
    <n v="1"/>
    <n v="30"/>
    <s v=""/>
  </r>
  <r>
    <n v="3087549"/>
    <x v="1"/>
    <x v="1"/>
    <x v="1"/>
    <n v="5599.41"/>
    <n v="0"/>
    <n v="5599.41"/>
    <n v="10000"/>
    <n v="100"/>
    <x v="6"/>
    <x v="6"/>
    <s v="PINTURA SUR"/>
    <x v="10"/>
    <s v="jlopez"/>
    <s v="GLTRX00970892"/>
    <n v="4974747"/>
    <n v="1"/>
    <n v="31"/>
    <s v=""/>
  </r>
  <r>
    <n v="3084900"/>
    <x v="6"/>
    <x v="1"/>
    <x v="1"/>
    <n v="2500"/>
    <n v="0"/>
    <n v="2500"/>
    <n v="10000"/>
    <n v="100"/>
    <x v="6"/>
    <x v="6"/>
    <s v="Entrada: Transacción Externa."/>
    <x v="11"/>
    <s v="jgonzalez"/>
    <s v="GLTRX00969870"/>
    <n v="4971331"/>
    <n v="1"/>
    <n v="31"/>
    <s v=""/>
  </r>
  <r>
    <n v="3040738"/>
    <x v="6"/>
    <x v="1"/>
    <x v="1"/>
    <n v="319.85000000000002"/>
    <n v="0"/>
    <n v="319.85000000000002"/>
    <n v="10000"/>
    <n v="100"/>
    <x v="6"/>
    <x v="6"/>
    <s v="SINSA/ DIONIS"/>
    <x v="12"/>
    <s v="xmaltez"/>
    <s v="GLTRX00955853"/>
    <n v="4935877"/>
    <n v="1"/>
    <n v="31"/>
    <s v=""/>
  </r>
  <r>
    <n v="3009079"/>
    <x v="7"/>
    <x v="1"/>
    <x v="1"/>
    <n v="3108"/>
    <n v="0"/>
    <n v="3108"/>
    <n v="10000"/>
    <n v="100"/>
    <x v="6"/>
    <x v="6"/>
    <s v="LEDSOLUTIONS Nicaragua"/>
    <x v="13"/>
    <s v="jlopez"/>
    <s v="GLTRX00946637"/>
    <n v="4410956"/>
    <n v="1"/>
    <n v="31"/>
    <s v=""/>
  </r>
  <r>
    <n v="3087974"/>
    <x v="8"/>
    <x v="1"/>
    <x v="1"/>
    <n v="115"/>
    <n v="0"/>
    <n v="115"/>
    <n v="10000"/>
    <n v="100"/>
    <x v="7"/>
    <x v="7"/>
    <s v="LA ALFORJA"/>
    <x v="14"/>
    <s v="jlopez"/>
    <s v="GLTRX00970892"/>
    <n v="4975453"/>
    <n v="1"/>
    <n v="32"/>
    <s v=""/>
  </r>
  <r>
    <n v="3043243"/>
    <x v="5"/>
    <x v="1"/>
    <x v="1"/>
    <n v="11802.23"/>
    <n v="0"/>
    <n v="11802.23"/>
    <n v="10000"/>
    <n v="100"/>
    <x v="7"/>
    <x v="7"/>
    <s v="MT HIDROSANITARIO PANADERIA"/>
    <x v="15"/>
    <s v="xmaltez"/>
    <s v="PMTRX00084831"/>
    <n v="4938479"/>
    <n v="1"/>
    <n v="32"/>
    <s v=""/>
  </r>
  <r>
    <n v="3041354"/>
    <x v="9"/>
    <x v="1"/>
    <x v="1"/>
    <n v="7791"/>
    <n v="0"/>
    <n v="7791"/>
    <n v="10000"/>
    <n v="100"/>
    <x v="7"/>
    <x v="7"/>
    <s v="DISTNICA/MT PANADE-DIONIS"/>
    <x v="16"/>
    <s v="xmaltez"/>
    <s v="GLTRX00955853"/>
    <n v="4937359"/>
    <n v="1"/>
    <n v="32"/>
    <s v=""/>
  </r>
  <r>
    <n v="3040734"/>
    <x v="9"/>
    <x v="1"/>
    <x v="1"/>
    <n v="10922.8"/>
    <n v="0"/>
    <n v="10922.8"/>
    <n v="10000"/>
    <n v="100"/>
    <x v="7"/>
    <x v="7"/>
    <s v="SINSA/ MT PANADERIA- DIONIS"/>
    <x v="17"/>
    <s v="xmaltez"/>
    <s v="GLTRX00955853"/>
    <n v="4935876"/>
    <n v="1"/>
    <n v="32"/>
    <s v=""/>
  </r>
  <r>
    <n v="3087546"/>
    <x v="10"/>
    <x v="1"/>
    <x v="1"/>
    <n v="1500"/>
    <n v="0"/>
    <n v="1500"/>
    <n v="10000"/>
    <n v="100"/>
    <x v="8"/>
    <x v="8"/>
    <s v="Entrada: Transacción Externa."/>
    <x v="18"/>
    <s v="jgonzalez"/>
    <s v="GLTRX00970893"/>
    <n v="4974611"/>
    <n v="1"/>
    <n v="2"/>
    <s v=""/>
  </r>
  <r>
    <n v="3081645"/>
    <x v="11"/>
    <x v="1"/>
    <x v="1"/>
    <n v="709.97"/>
    <n v="0"/>
    <n v="709.97"/>
    <n v="10000"/>
    <n v="100"/>
    <x v="9"/>
    <x v="9"/>
    <s v="SINSA/AMPM03"/>
    <x v="19"/>
    <s v="xmaltez"/>
    <s v="GLTRX00968931"/>
    <n v="4969885"/>
    <n v="1"/>
    <n v="3"/>
    <s v=""/>
  </r>
  <r>
    <n v="3043201"/>
    <x v="12"/>
    <x v="1"/>
    <x v="1"/>
    <n v="2300"/>
    <n v="0"/>
    <n v="2300"/>
    <n v="10000"/>
    <n v="100"/>
    <x v="10"/>
    <x v="10"/>
    <s v="MT EN TIENDAS"/>
    <x v="20"/>
    <s v="xmaltez"/>
    <s v="PMTRX00084828"/>
    <n v="4937751"/>
    <n v="1"/>
    <n v="4"/>
    <s v=""/>
  </r>
  <r>
    <n v="3088392"/>
    <x v="3"/>
    <x v="1"/>
    <x v="1"/>
    <n v="4394.91"/>
    <n v="0"/>
    <n v="4394.91"/>
    <n v="10000"/>
    <n v="100"/>
    <x v="11"/>
    <x v="11"/>
    <s v="MOBI EQUIIPOS"/>
    <x v="21"/>
    <s v="jlopez"/>
    <s v="GLTRX00970892"/>
    <n v="4975459"/>
    <n v="1"/>
    <n v="5"/>
    <s v=""/>
  </r>
  <r>
    <n v="3087690"/>
    <x v="13"/>
    <x v="1"/>
    <x v="1"/>
    <n v="651.48"/>
    <n v="0"/>
    <n v="651.48"/>
    <n v="10000"/>
    <n v="100"/>
    <x v="11"/>
    <x v="11"/>
    <s v="SINSA"/>
    <x v="22"/>
    <s v="jlopez"/>
    <s v="GLTRX00970892"/>
    <n v="4974931"/>
    <n v="1"/>
    <n v="5"/>
    <s v=""/>
  </r>
  <r>
    <n v="3043201"/>
    <x v="12"/>
    <x v="1"/>
    <x v="1"/>
    <n v="2350"/>
    <n v="0"/>
    <n v="2350"/>
    <n v="10000"/>
    <n v="100"/>
    <x v="11"/>
    <x v="11"/>
    <s v="MT EN TIENDAS"/>
    <x v="23"/>
    <s v="xmaltez"/>
    <s v="PMTRX00084828"/>
    <n v="4937751"/>
    <n v="1"/>
    <n v="5"/>
    <s v=""/>
  </r>
  <r>
    <n v="3041881"/>
    <x v="0"/>
    <x v="1"/>
    <x v="1"/>
    <n v="6592.37"/>
    <n v="0"/>
    <n v="6592.37"/>
    <n v="10000"/>
    <n v="100"/>
    <x v="11"/>
    <x v="11"/>
    <s v="MT EN TIENDA A05"/>
    <x v="24"/>
    <s v="xmaltez"/>
    <s v="PMTRX00084826"/>
    <n v="4937725"/>
    <n v="1"/>
    <n v="5"/>
    <s v=""/>
  </r>
  <r>
    <n v="3088392"/>
    <x v="3"/>
    <x v="1"/>
    <x v="1"/>
    <n v="4394.91"/>
    <n v="0"/>
    <n v="4394.91"/>
    <n v="10000"/>
    <n v="100"/>
    <x v="12"/>
    <x v="12"/>
    <s v="MOBI EQUIIPOS"/>
    <x v="25"/>
    <s v="jlopez"/>
    <s v="GLTRX00970892"/>
    <n v="4975459"/>
    <n v="1"/>
    <n v="6"/>
    <s v=""/>
  </r>
  <r>
    <n v="3087690"/>
    <x v="13"/>
    <x v="1"/>
    <x v="1"/>
    <n v="182.08"/>
    <n v="0"/>
    <n v="182.08"/>
    <n v="10000"/>
    <n v="100"/>
    <x v="12"/>
    <x v="12"/>
    <s v="SINSA"/>
    <x v="26"/>
    <s v="jlopez"/>
    <s v="GLTRX00970892"/>
    <n v="4974931"/>
    <n v="1"/>
    <n v="6"/>
    <s v=""/>
  </r>
  <r>
    <n v="3084900"/>
    <x v="6"/>
    <x v="1"/>
    <x v="1"/>
    <n v="2500"/>
    <n v="0"/>
    <n v="2500"/>
    <n v="10000"/>
    <n v="100"/>
    <x v="12"/>
    <x v="12"/>
    <s v="Entrada: Transacción Externa."/>
    <x v="27"/>
    <s v="jgonzalez"/>
    <s v="GLTRX00969870"/>
    <n v="4971331"/>
    <n v="1"/>
    <n v="6"/>
    <s v=""/>
  </r>
  <r>
    <n v="3084900"/>
    <x v="6"/>
    <x v="1"/>
    <x v="1"/>
    <n v="16800"/>
    <n v="0"/>
    <n v="16800"/>
    <n v="10000"/>
    <n v="100"/>
    <x v="12"/>
    <x v="12"/>
    <s v="Entrada: Transacción Externa."/>
    <x v="28"/>
    <s v="jgonzalez"/>
    <s v="GLTRX00969870"/>
    <n v="4971331"/>
    <n v="1"/>
    <n v="6"/>
    <s v=""/>
  </r>
  <r>
    <n v="3084900"/>
    <x v="6"/>
    <x v="1"/>
    <x v="1"/>
    <n v="1750"/>
    <n v="0"/>
    <n v="1750"/>
    <n v="10000"/>
    <n v="100"/>
    <x v="12"/>
    <x v="12"/>
    <s v="Entrada: Transacción Externa."/>
    <x v="29"/>
    <s v="jgonzalez"/>
    <s v="GLTRX00969870"/>
    <n v="4971331"/>
    <n v="1"/>
    <n v="6"/>
    <s v=""/>
  </r>
  <r>
    <n v="3081609"/>
    <x v="4"/>
    <x v="1"/>
    <x v="1"/>
    <n v="12682"/>
    <n v="0"/>
    <n v="12682"/>
    <n v="10000"/>
    <n v="100"/>
    <x v="12"/>
    <x v="12"/>
    <s v="INSTA PORCELANATO A06"/>
    <x v="30"/>
    <s v="xmaltez"/>
    <s v="PMTRX00085694"/>
    <n v="4969833"/>
    <n v="1"/>
    <n v="6"/>
    <s v=""/>
  </r>
  <r>
    <n v="3043201"/>
    <x v="12"/>
    <x v="1"/>
    <x v="1"/>
    <n v="2300"/>
    <n v="0"/>
    <n v="2300"/>
    <n v="10000"/>
    <n v="100"/>
    <x v="12"/>
    <x v="12"/>
    <s v="MT EN TIENDAS"/>
    <x v="31"/>
    <s v="xmaltez"/>
    <s v="PMTRX00084828"/>
    <n v="4937751"/>
    <n v="1"/>
    <n v="6"/>
    <s v=""/>
  </r>
  <r>
    <n v="3088392"/>
    <x v="3"/>
    <x v="1"/>
    <x v="1"/>
    <n v="4394.91"/>
    <n v="0"/>
    <n v="4394.91"/>
    <n v="10000"/>
    <n v="100"/>
    <x v="13"/>
    <x v="13"/>
    <s v="MOBI EQUIIPOS"/>
    <x v="32"/>
    <s v="jlopez"/>
    <s v="GLTRX00970892"/>
    <n v="4975459"/>
    <n v="1"/>
    <n v="8"/>
    <s v=""/>
  </r>
  <r>
    <n v="3087690"/>
    <x v="13"/>
    <x v="1"/>
    <x v="1"/>
    <n v="80.09"/>
    <n v="0"/>
    <n v="80.09"/>
    <n v="10000"/>
    <n v="100"/>
    <x v="13"/>
    <x v="13"/>
    <s v="SINSA"/>
    <x v="33"/>
    <s v="jlopez"/>
    <s v="GLTRX00970892"/>
    <n v="4974931"/>
    <n v="1"/>
    <n v="8"/>
    <s v=""/>
  </r>
  <r>
    <n v="3041739"/>
    <x v="12"/>
    <x v="1"/>
    <x v="1"/>
    <n v="10380.94"/>
    <n v="0"/>
    <n v="10380.94"/>
    <n v="10000"/>
    <n v="100"/>
    <x v="13"/>
    <x v="13"/>
    <s v="ECONOMART/A08-DIONIS"/>
    <x v="34"/>
    <s v="xmaltez"/>
    <s v="GLTRX00956709"/>
    <n v="4937612"/>
    <n v="1"/>
    <n v="8"/>
    <s v=""/>
  </r>
  <r>
    <n v="3041737"/>
    <x v="12"/>
    <x v="1"/>
    <x v="1"/>
    <n v="30.43"/>
    <n v="0"/>
    <n v="30.43"/>
    <n v="10000"/>
    <n v="100"/>
    <x v="13"/>
    <x v="13"/>
    <s v="SINSA-MT A08-DIONIS"/>
    <x v="35"/>
    <s v="xmaltez"/>
    <s v="GLTRX00956709"/>
    <n v="4937610"/>
    <n v="1"/>
    <n v="8"/>
    <s v=""/>
  </r>
  <r>
    <n v="3041731"/>
    <x v="14"/>
    <x v="1"/>
    <x v="1"/>
    <n v="5972.25"/>
    <n v="0"/>
    <n v="5972.25"/>
    <n v="10000"/>
    <n v="100"/>
    <x v="13"/>
    <x v="13"/>
    <s v="SINSA-MT TIENDA A08-DIONIS"/>
    <x v="36"/>
    <s v="xmaltez"/>
    <s v="GLTRX00956704"/>
    <n v="4937604"/>
    <n v="1"/>
    <n v="8"/>
    <s v=""/>
  </r>
  <r>
    <n v="3088465"/>
    <x v="15"/>
    <x v="1"/>
    <x v="1"/>
    <n v="5404.4"/>
    <n v="0"/>
    <n v="5404.4"/>
    <n v="10000"/>
    <n v="100"/>
    <x v="14"/>
    <x v="14"/>
    <s v="MT EN TIENDA A09"/>
    <x v="37"/>
    <s v="xmaltez"/>
    <s v="PMTRX00085875"/>
    <n v="4975506"/>
    <n v="1"/>
    <n v="9"/>
    <s v=""/>
  </r>
  <r>
    <n v="3087684"/>
    <x v="5"/>
    <x v="1"/>
    <x v="1"/>
    <n v="857.95"/>
    <n v="0"/>
    <n v="857.95"/>
    <n v="10000"/>
    <n v="100"/>
    <x v="14"/>
    <x v="14"/>
    <s v="SINSA"/>
    <x v="38"/>
    <s v="jlopez"/>
    <s v="GLTRX00970892"/>
    <n v="4974750"/>
    <n v="1"/>
    <n v="9"/>
    <s v=""/>
  </r>
  <r>
    <n v="3088389"/>
    <x v="4"/>
    <x v="1"/>
    <x v="1"/>
    <n v="4953.92"/>
    <n v="0"/>
    <n v="4953.92"/>
    <n v="10000"/>
    <n v="100"/>
    <x v="15"/>
    <x v="15"/>
    <s v="WALMART CARRETERA MASAYA"/>
    <x v="39"/>
    <s v="jlopez"/>
    <s v="GLTRX00970892"/>
    <n v="4975454"/>
    <n v="1"/>
    <n v="12"/>
    <s v=""/>
  </r>
  <r>
    <n v="3043201"/>
    <x v="12"/>
    <x v="1"/>
    <x v="1"/>
    <n v="2350"/>
    <n v="0"/>
    <n v="2350"/>
    <n v="10000"/>
    <n v="100"/>
    <x v="16"/>
    <x v="16"/>
    <s v="MT EN TIENDAS"/>
    <x v="40"/>
    <s v="xmaltez"/>
    <s v="PMTRX00084828"/>
    <n v="4937751"/>
    <n v="1"/>
    <n v="13"/>
    <s v=""/>
  </r>
  <r>
    <n v="3041882"/>
    <x v="0"/>
    <x v="1"/>
    <x v="1"/>
    <n v="3479.31"/>
    <n v="0"/>
    <n v="3479.31"/>
    <n v="10000"/>
    <n v="100"/>
    <x v="16"/>
    <x v="16"/>
    <s v="MT EN TIENDA A13"/>
    <x v="41"/>
    <s v="xmaltez"/>
    <s v="PMTRX00084826"/>
    <n v="4937726"/>
    <n v="1"/>
    <n v="13"/>
    <s v=""/>
  </r>
  <r>
    <n v="3040750"/>
    <x v="9"/>
    <x v="1"/>
    <x v="1"/>
    <n v="308.60000000000002"/>
    <n v="0"/>
    <n v="308.60000000000002"/>
    <n v="10000"/>
    <n v="100"/>
    <x v="17"/>
    <x v="17"/>
    <s v="SINSA-MT TIENDA A14-DIONIS"/>
    <x v="42"/>
    <s v="xmaltez"/>
    <s v="GLTRX00955853"/>
    <n v="4936622"/>
    <n v="1"/>
    <n v="14"/>
    <s v=""/>
  </r>
  <r>
    <n v="3062390"/>
    <x v="14"/>
    <x v="1"/>
    <x v="1"/>
    <n v="7874.22"/>
    <n v="0"/>
    <n v="7874.22"/>
    <n v="10000"/>
    <n v="100"/>
    <x v="18"/>
    <x v="18"/>
    <s v="MT EN TIENDA AMPM16"/>
    <x v="43"/>
    <s v="xmaltez"/>
    <s v="PMTRX00085261"/>
    <n v="4947926"/>
    <n v="1"/>
    <n v="16"/>
    <s v=""/>
  </r>
  <r>
    <n v="3043201"/>
    <x v="12"/>
    <x v="1"/>
    <x v="1"/>
    <n v="2350"/>
    <n v="0"/>
    <n v="2350"/>
    <n v="10000"/>
    <n v="100"/>
    <x v="18"/>
    <x v="18"/>
    <s v="MT EN TIENDAS"/>
    <x v="44"/>
    <s v="xmaltez"/>
    <s v="PMTRX00084828"/>
    <n v="4937751"/>
    <n v="1"/>
    <n v="16"/>
    <s v=""/>
  </r>
  <r>
    <n v="3088398"/>
    <x v="6"/>
    <x v="1"/>
    <x v="1"/>
    <n v="324"/>
    <n v="0"/>
    <n v="324"/>
    <n v="10000"/>
    <n v="100"/>
    <x v="19"/>
    <x v="19"/>
    <s v="CUBAS ELECTRICAS"/>
    <x v="45"/>
    <s v="jlopez"/>
    <s v="GLTRX00970892"/>
    <n v="4975461"/>
    <n v="1"/>
    <n v="18"/>
    <s v=""/>
  </r>
  <r>
    <n v="3087690"/>
    <x v="13"/>
    <x v="1"/>
    <x v="1"/>
    <n v="270.69"/>
    <n v="0"/>
    <n v="270.69"/>
    <n v="10000"/>
    <n v="100"/>
    <x v="19"/>
    <x v="19"/>
    <s v="SINSA"/>
    <x v="46"/>
    <s v="jlopez"/>
    <s v="GLTRX00970892"/>
    <n v="4974931"/>
    <n v="1"/>
    <n v="18"/>
    <s v=""/>
  </r>
  <r>
    <n v="3043201"/>
    <x v="12"/>
    <x v="1"/>
    <x v="1"/>
    <n v="2350"/>
    <n v="0"/>
    <n v="2350"/>
    <n v="10000"/>
    <n v="100"/>
    <x v="19"/>
    <x v="19"/>
    <s v="MT EN TIENDAS"/>
    <x v="47"/>
    <s v="xmaltez"/>
    <s v="PMTRX00084828"/>
    <n v="4937751"/>
    <n v="1"/>
    <n v="18"/>
    <s v=""/>
  </r>
  <r>
    <n v="3041489"/>
    <x v="2"/>
    <x v="1"/>
    <x v="1"/>
    <n v="5550"/>
    <n v="0"/>
    <n v="5550"/>
    <n v="10000"/>
    <n v="100"/>
    <x v="19"/>
    <x v="19"/>
    <s v="OFICE SITE-MT A18-52-DIONIS"/>
    <x v="48"/>
    <s v="xmaltez"/>
    <s v="GLTRX00955853"/>
    <n v="4937603"/>
    <n v="1"/>
    <n v="18"/>
    <s v=""/>
  </r>
  <r>
    <n v="3043201"/>
    <x v="12"/>
    <x v="1"/>
    <x v="1"/>
    <n v="2350"/>
    <n v="0"/>
    <n v="2350"/>
    <n v="10000"/>
    <n v="100"/>
    <x v="20"/>
    <x v="20"/>
    <s v="MT EN TIENDAS"/>
    <x v="49"/>
    <s v="xmaltez"/>
    <s v="PMTRX00084828"/>
    <n v="4937751"/>
    <n v="1"/>
    <n v="19"/>
    <s v=""/>
  </r>
  <r>
    <n v="3026938"/>
    <x v="1"/>
    <x v="1"/>
    <x v="1"/>
    <n v="1500"/>
    <n v="0"/>
    <n v="1500"/>
    <n v="10000"/>
    <n v="100"/>
    <x v="20"/>
    <x v="20"/>
    <s v="PG MDO FREDDY ESP."/>
    <x v="50"/>
    <s v="jgonzalez"/>
    <s v="CMTRX00017015"/>
    <n v="4924490"/>
    <n v="1"/>
    <n v="19"/>
    <s v=""/>
  </r>
  <r>
    <n v="3087680"/>
    <x v="15"/>
    <x v="1"/>
    <x v="1"/>
    <n v="12000"/>
    <n v="0"/>
    <n v="12000"/>
    <n v="10000"/>
    <n v="100"/>
    <x v="21"/>
    <x v="21"/>
    <s v="PG MDO ROGER SALINAS"/>
    <x v="51"/>
    <s v="jgonzalez"/>
    <s v="GLTRX00970899"/>
    <n v="4974745"/>
    <n v="1"/>
    <n v="20"/>
    <s v=""/>
  </r>
  <r>
    <n v="3083726"/>
    <x v="10"/>
    <x v="1"/>
    <x v="1"/>
    <n v="11140"/>
    <n v="0"/>
    <n v="11140"/>
    <n v="10000"/>
    <n v="100"/>
    <x v="21"/>
    <x v="21"/>
    <s v="Entrada: Transacción Externa."/>
    <x v="52"/>
    <s v="jgonzalez"/>
    <s v="GLTRX00969851"/>
    <n v="4971287"/>
    <n v="1"/>
    <n v="20"/>
    <s v=""/>
  </r>
  <r>
    <n v="3083688"/>
    <x v="1"/>
    <x v="1"/>
    <x v="1"/>
    <n v="1720"/>
    <n v="0"/>
    <n v="1720"/>
    <n v="10000"/>
    <n v="100"/>
    <x v="21"/>
    <x v="21"/>
    <s v="PG MDO FREDDY ESPINOZA"/>
    <x v="53"/>
    <s v="jgonzalez"/>
    <s v="GLTRX00969845"/>
    <n v="4971251"/>
    <n v="1"/>
    <n v="20"/>
    <s v=""/>
  </r>
  <r>
    <n v="3040800"/>
    <x v="2"/>
    <x v="1"/>
    <x v="1"/>
    <n v="870"/>
    <n v="0"/>
    <n v="870"/>
    <n v="10000"/>
    <n v="100"/>
    <x v="21"/>
    <x v="21"/>
    <s v="DISTNICA/MT TIENDAS+DIONIS"/>
    <x v="54"/>
    <s v="xmaltez"/>
    <s v="GLTRX00955853"/>
    <n v="4937226"/>
    <n v="1"/>
    <n v="20"/>
    <s v=""/>
  </r>
  <r>
    <n v="3040736"/>
    <x v="2"/>
    <x v="1"/>
    <x v="1"/>
    <n v="918.91"/>
    <n v="0"/>
    <n v="918.91"/>
    <n v="10000"/>
    <n v="100"/>
    <x v="21"/>
    <x v="21"/>
    <s v="SINSA/MT TIENDAS-DIONIS"/>
    <x v="55"/>
    <s v="xmaltez"/>
    <s v="GLTRX00955853"/>
    <n v="4936012"/>
    <n v="1"/>
    <n v="20"/>
    <s v=""/>
  </r>
  <r>
    <n v="3088392"/>
    <x v="3"/>
    <x v="1"/>
    <x v="1"/>
    <n v="4394.91"/>
    <n v="0"/>
    <n v="4394.91"/>
    <n v="10000"/>
    <n v="100"/>
    <x v="22"/>
    <x v="22"/>
    <s v="MOBI EQUIIPOS"/>
    <x v="56"/>
    <s v="jlopez"/>
    <s v="GLTRX00970892"/>
    <n v="4975459"/>
    <n v="1"/>
    <n v="21"/>
    <s v=""/>
  </r>
  <r>
    <n v="3043200"/>
    <x v="0"/>
    <x v="1"/>
    <x v="1"/>
    <n v="10129.66"/>
    <n v="0"/>
    <n v="10129.66"/>
    <n v="10000"/>
    <n v="100"/>
    <x v="22"/>
    <x v="22"/>
    <s v="MT EN TIENDA A21"/>
    <x v="57"/>
    <s v="xmaltez"/>
    <s v="PMTRX00084828"/>
    <n v="4937750"/>
    <n v="1"/>
    <n v="21"/>
    <s v=""/>
  </r>
  <r>
    <n v="3041734"/>
    <x v="7"/>
    <x v="1"/>
    <x v="1"/>
    <n v="18953.080000000002"/>
    <n v="0"/>
    <n v="18953.080000000002"/>
    <n v="10000"/>
    <n v="100"/>
    <x v="22"/>
    <x v="22"/>
    <s v="Retiro Piezas Smartcash A21"/>
    <x v="58"/>
    <s v="jlopez"/>
    <s v="PMTRX00084810"/>
    <n v="4937607"/>
    <n v="1"/>
    <n v="21"/>
    <s v=""/>
  </r>
  <r>
    <n v="3041733"/>
    <x v="7"/>
    <x v="1"/>
    <x v="1"/>
    <n v="0"/>
    <n v="16480.939999999999"/>
    <n v="-16480.939999999999"/>
    <n v="10000"/>
    <n v="100"/>
    <x v="22"/>
    <x v="22"/>
    <s v="Retiro Piezas Smartcash A21"/>
    <x v="58"/>
    <s v="jlopez"/>
    <s v="PMTRX00084810"/>
    <n v="4937606"/>
    <n v="1"/>
    <n v="21"/>
    <s v=""/>
  </r>
  <r>
    <n v="3040751"/>
    <x v="6"/>
    <x v="1"/>
    <x v="1"/>
    <n v="200"/>
    <n v="0"/>
    <n v="200"/>
    <n v="10000"/>
    <n v="100"/>
    <x v="22"/>
    <x v="22"/>
    <s v="FERRETERIA ALGUERA/MT A21 DI"/>
    <x v="59"/>
    <s v="xmaltez"/>
    <s v="GLTRX00955853"/>
    <n v="4936672"/>
    <n v="1"/>
    <n v="21"/>
    <s v=""/>
  </r>
  <r>
    <n v="3088482"/>
    <x v="16"/>
    <x v="1"/>
    <x v="1"/>
    <n v="521.59"/>
    <n v="0"/>
    <n v="521.59"/>
    <n v="10000"/>
    <n v="100"/>
    <x v="23"/>
    <x v="23"/>
    <s v="SINSA/CRREDURA MANECILLA A23"/>
    <x v="60"/>
    <s v="xmaltez"/>
    <s v="GLTRX00971008"/>
    <n v="4975524"/>
    <n v="1"/>
    <n v="23"/>
    <s v=""/>
  </r>
  <r>
    <n v="3087687"/>
    <x v="13"/>
    <x v="1"/>
    <x v="1"/>
    <n v="1341.3"/>
    <n v="0"/>
    <n v="1341.3"/>
    <n v="10000"/>
    <n v="100"/>
    <x v="24"/>
    <x v="24"/>
    <s v="SINSA"/>
    <x v="61"/>
    <s v="jlopez"/>
    <s v="GLTRX00970892"/>
    <n v="4974754"/>
    <n v="1"/>
    <n v="25"/>
    <s v=""/>
  </r>
  <r>
    <n v="3026900"/>
    <x v="1"/>
    <x v="1"/>
    <x v="1"/>
    <n v="5500"/>
    <n v="0"/>
    <n v="5500"/>
    <n v="10000"/>
    <n v="100"/>
    <x v="24"/>
    <x v="24"/>
    <s v="PG CK 21623 MDO"/>
    <x v="62"/>
    <s v="jgonzalez"/>
    <s v="CMTRX00017009"/>
    <n v="4924450"/>
    <n v="1"/>
    <n v="25"/>
    <s v=""/>
  </r>
  <r>
    <n v="3039245"/>
    <x v="17"/>
    <x v="1"/>
    <x v="1"/>
    <n v="21974.58"/>
    <n v="0"/>
    <n v="21974.58"/>
    <n v="10000"/>
    <n v="100"/>
    <x v="25"/>
    <x v="25"/>
    <s v="Inst Puerta Melamina A26"/>
    <x v="63"/>
    <s v="jlopez"/>
    <s v="PMTRX00084801"/>
    <n v="4935767"/>
    <n v="1"/>
    <n v="26"/>
    <s v=""/>
  </r>
  <r>
    <n v="3088396"/>
    <x v="18"/>
    <x v="1"/>
    <x v="1"/>
    <n v="0"/>
    <n v="5000"/>
    <n v="-5000"/>
    <n v="10000"/>
    <n v="100"/>
    <x v="0"/>
    <x v="0"/>
    <s v="Revertir entrada de 3087541"/>
    <x v="64"/>
    <s v="crivera"/>
    <s v="GLTRX00970994"/>
    <n v="4975458"/>
    <n v="1"/>
    <n v="34"/>
    <s v=""/>
  </r>
  <r>
    <n v="3088396"/>
    <x v="18"/>
    <x v="1"/>
    <x v="1"/>
    <n v="0"/>
    <n v="9000"/>
    <n v="-9000"/>
    <n v="10000"/>
    <n v="100"/>
    <x v="0"/>
    <x v="0"/>
    <s v="Revertir entrada de 3087541"/>
    <x v="64"/>
    <s v="crivera"/>
    <s v="GLTRX00970994"/>
    <n v="4975458"/>
    <n v="1"/>
    <n v="34"/>
    <s v=""/>
  </r>
  <r>
    <n v="3087550"/>
    <x v="18"/>
    <x v="1"/>
    <x v="1"/>
    <n v="9000"/>
    <n v="0"/>
    <n v="9000"/>
    <n v="10000"/>
    <n v="100"/>
    <x v="0"/>
    <x v="0"/>
    <s v="Entrada: Transacción Externa."/>
    <x v="64"/>
    <s v="jgonzalez"/>
    <s v="GLTRX00970894"/>
    <n v="4974615"/>
    <n v="1"/>
    <n v="34"/>
    <s v=""/>
  </r>
  <r>
    <n v="3087550"/>
    <x v="18"/>
    <x v="1"/>
    <x v="1"/>
    <n v="5000"/>
    <n v="0"/>
    <n v="5000"/>
    <n v="10000"/>
    <n v="100"/>
    <x v="0"/>
    <x v="0"/>
    <s v="Entrada: Transacción Externa."/>
    <x v="64"/>
    <s v="jgonzalez"/>
    <s v="GLTRX00970894"/>
    <n v="4974615"/>
    <n v="1"/>
    <n v="34"/>
    <s v=""/>
  </r>
  <r>
    <n v="3087541"/>
    <x v="18"/>
    <x v="1"/>
    <x v="1"/>
    <n v="9000"/>
    <n v="0"/>
    <n v="9000"/>
    <n v="10000"/>
    <n v="100"/>
    <x v="0"/>
    <x v="0"/>
    <s v="Entrada: Transacción Externa."/>
    <x v="64"/>
    <s v="crivera"/>
    <s v="GLTRX00970776"/>
    <n v="4973309"/>
    <n v="1"/>
    <n v="34"/>
    <s v=""/>
  </r>
  <r>
    <n v="3087541"/>
    <x v="18"/>
    <x v="1"/>
    <x v="1"/>
    <n v="5000"/>
    <n v="0"/>
    <n v="5000"/>
    <n v="10000"/>
    <n v="100"/>
    <x v="0"/>
    <x v="0"/>
    <s v="Entrada: Transacción Externa."/>
    <x v="64"/>
    <s v="crivera"/>
    <s v="GLTRX00970776"/>
    <n v="4973309"/>
    <n v="1"/>
    <n v="34"/>
    <s v=""/>
  </r>
  <r>
    <n v="3081641"/>
    <x v="19"/>
    <x v="1"/>
    <x v="1"/>
    <n v="137"/>
    <n v="0"/>
    <n v="137"/>
    <n v="10000"/>
    <n v="100"/>
    <x v="0"/>
    <x v="0"/>
    <s v="CARGO TRANS/A89 -27"/>
    <x v="65"/>
    <s v="xmaltez"/>
    <s v="GLTRX00968931"/>
    <n v="4969883"/>
    <n v="1"/>
    <n v="34"/>
    <s v=""/>
  </r>
  <r>
    <n v="3040800"/>
    <x v="2"/>
    <x v="1"/>
    <x v="1"/>
    <n v="597"/>
    <n v="0"/>
    <n v="597"/>
    <n v="10000"/>
    <n v="100"/>
    <x v="0"/>
    <x v="0"/>
    <s v="DISTNICA/MT TIENDAS+DIONIS"/>
    <x v="66"/>
    <s v="xmaltez"/>
    <s v="GLTRX00955853"/>
    <n v="4937226"/>
    <n v="1"/>
    <n v="34"/>
    <s v=""/>
  </r>
  <r>
    <n v="3088404"/>
    <x v="11"/>
    <x v="1"/>
    <x v="1"/>
    <n v="969.24"/>
    <n v="0"/>
    <n v="969.24"/>
    <n v="10000"/>
    <n v="100"/>
    <x v="26"/>
    <x v="26"/>
    <s v="SINSA"/>
    <x v="67"/>
    <s v="jlopez"/>
    <s v="GLTRX00970892"/>
    <n v="4975466"/>
    <n v="1"/>
    <n v="35"/>
    <s v=""/>
  </r>
  <r>
    <n v="3062389"/>
    <x v="3"/>
    <x v="1"/>
    <x v="1"/>
    <n v="13184.74"/>
    <n v="0"/>
    <n v="13184.74"/>
    <n v="10000"/>
    <n v="100"/>
    <x v="26"/>
    <x v="26"/>
    <s v="MT MUEBLES EN FRIO A28"/>
    <x v="68"/>
    <s v="xmaltez"/>
    <s v="PMTRX00085261"/>
    <n v="4947925"/>
    <n v="1"/>
    <n v="35"/>
    <s v=""/>
  </r>
  <r>
    <n v="3088389"/>
    <x v="4"/>
    <x v="1"/>
    <x v="1"/>
    <n v="2478.2600000000002"/>
    <n v="0"/>
    <n v="2478.2600000000002"/>
    <n v="10000"/>
    <n v="100"/>
    <x v="27"/>
    <x v="27"/>
    <s v="WALMART CARRETERA MASAYA"/>
    <x v="69"/>
    <s v="jlopez"/>
    <s v="GLTRX00970892"/>
    <n v="4975454"/>
    <n v="1"/>
    <n v="36"/>
    <s v=""/>
  </r>
  <r>
    <n v="3088399"/>
    <x v="13"/>
    <x v="1"/>
    <x v="1"/>
    <n v="137"/>
    <n v="0"/>
    <n v="137"/>
    <n v="10000"/>
    <n v="100"/>
    <x v="28"/>
    <x v="28"/>
    <s v="CARGOTRANS"/>
    <x v="70"/>
    <s v="jlopez"/>
    <s v="GLTRX00970892"/>
    <n v="4975465"/>
    <n v="1"/>
    <n v="38"/>
    <s v=""/>
  </r>
  <r>
    <n v="3083726"/>
    <x v="10"/>
    <x v="1"/>
    <x v="1"/>
    <n v="27831.200000000001"/>
    <n v="0"/>
    <n v="27831.200000000001"/>
    <n v="10000"/>
    <n v="100"/>
    <x v="29"/>
    <x v="29"/>
    <s v="Entrada: Transacción Externa."/>
    <x v="71"/>
    <s v="jgonzalez"/>
    <s v="GLTRX00969851"/>
    <n v="4971287"/>
    <n v="1"/>
    <n v="40"/>
    <s v=""/>
  </r>
  <r>
    <n v="3083726"/>
    <x v="10"/>
    <x v="1"/>
    <x v="1"/>
    <n v="33064.559999999998"/>
    <n v="0"/>
    <n v="33064.559999999998"/>
    <n v="10000"/>
    <n v="100"/>
    <x v="29"/>
    <x v="29"/>
    <s v="Entrada: Transacción Externa."/>
    <x v="72"/>
    <s v="jgonzalez"/>
    <s v="GLTRX00969851"/>
    <n v="4971287"/>
    <n v="1"/>
    <n v="40"/>
    <s v=""/>
  </r>
  <r>
    <n v="3081626"/>
    <x v="20"/>
    <x v="1"/>
    <x v="1"/>
    <n v="2627.43"/>
    <n v="0"/>
    <n v="2627.43"/>
    <n v="10000"/>
    <n v="100"/>
    <x v="29"/>
    <x v="29"/>
    <s v="SINSA LEON /AMPM32"/>
    <x v="73"/>
    <s v="xmaltez"/>
    <s v="GLTRX00968931"/>
    <n v="4969836"/>
    <n v="1"/>
    <n v="40"/>
    <s v=""/>
  </r>
  <r>
    <n v="3043242"/>
    <x v="6"/>
    <x v="1"/>
    <x v="1"/>
    <n v="2100"/>
    <n v="0"/>
    <n v="2100"/>
    <n v="10000"/>
    <n v="100"/>
    <x v="29"/>
    <x v="29"/>
    <s v="SERV TAPIZADO A32"/>
    <x v="74"/>
    <s v="xmaltez"/>
    <s v="PMTRX00084831"/>
    <n v="4938478"/>
    <n v="1"/>
    <n v="40"/>
    <s v=""/>
  </r>
  <r>
    <n v="3088399"/>
    <x v="13"/>
    <x v="1"/>
    <x v="1"/>
    <n v="401"/>
    <n v="0"/>
    <n v="401"/>
    <n v="10000"/>
    <n v="100"/>
    <x v="30"/>
    <x v="30"/>
    <s v="CARGOTRANS"/>
    <x v="75"/>
    <s v="jlopez"/>
    <s v="GLTRX00970892"/>
    <n v="4975465"/>
    <n v="1"/>
    <n v="39"/>
    <s v=""/>
  </r>
  <r>
    <n v="3043239"/>
    <x v="17"/>
    <x v="1"/>
    <x v="1"/>
    <n v="8995"/>
    <n v="0"/>
    <n v="8995"/>
    <n v="10000"/>
    <n v="100"/>
    <x v="30"/>
    <x v="30"/>
    <s v="MT EN TIENDA A33"/>
    <x v="76"/>
    <s v="xmaltez"/>
    <s v="PMTRX00084831"/>
    <n v="4938475"/>
    <n v="1"/>
    <n v="39"/>
    <s v=""/>
  </r>
  <r>
    <n v="3088396"/>
    <x v="18"/>
    <x v="1"/>
    <x v="1"/>
    <n v="0"/>
    <n v="4500"/>
    <n v="-4500"/>
    <n v="10000"/>
    <n v="100"/>
    <x v="31"/>
    <x v="31"/>
    <s v="Revertir entrada de 3087541"/>
    <x v="77"/>
    <s v="crivera"/>
    <s v="GLTRX00970994"/>
    <n v="4975458"/>
    <n v="1"/>
    <n v="41"/>
    <s v=""/>
  </r>
  <r>
    <n v="3087550"/>
    <x v="18"/>
    <x v="1"/>
    <x v="1"/>
    <n v="4500"/>
    <n v="0"/>
    <n v="4500"/>
    <n v="10000"/>
    <n v="100"/>
    <x v="31"/>
    <x v="31"/>
    <s v="Entrada: Transacción Externa."/>
    <x v="77"/>
    <s v="jgonzalez"/>
    <s v="GLTRX00970894"/>
    <n v="4974615"/>
    <n v="1"/>
    <n v="41"/>
    <s v=""/>
  </r>
  <r>
    <n v="3087541"/>
    <x v="18"/>
    <x v="1"/>
    <x v="1"/>
    <n v="4500"/>
    <n v="0"/>
    <n v="4500"/>
    <n v="10000"/>
    <n v="100"/>
    <x v="31"/>
    <x v="31"/>
    <s v="Entrada: Transacción Externa."/>
    <x v="77"/>
    <s v="crivera"/>
    <s v="GLTRX00970776"/>
    <n v="4973309"/>
    <n v="1"/>
    <n v="41"/>
    <s v=""/>
  </r>
  <r>
    <n v="3083726"/>
    <x v="10"/>
    <x v="1"/>
    <x v="1"/>
    <n v="8220"/>
    <n v="0"/>
    <n v="8220"/>
    <n v="10000"/>
    <n v="100"/>
    <x v="31"/>
    <x v="31"/>
    <s v="Entrada: Transacción Externa."/>
    <x v="78"/>
    <s v="jgonzalez"/>
    <s v="GLTRX00969851"/>
    <n v="4971287"/>
    <n v="1"/>
    <n v="41"/>
    <s v=""/>
  </r>
  <r>
    <n v="3026938"/>
    <x v="1"/>
    <x v="1"/>
    <x v="1"/>
    <n v="4060"/>
    <n v="0"/>
    <n v="4060"/>
    <n v="10000"/>
    <n v="100"/>
    <x v="31"/>
    <x v="31"/>
    <s v="PG MDO FREDDY ESP."/>
    <x v="79"/>
    <s v="jgonzalez"/>
    <s v="CMTRX00017015"/>
    <n v="4924490"/>
    <n v="1"/>
    <n v="41"/>
    <s v=""/>
  </r>
  <r>
    <n v="3021333"/>
    <x v="5"/>
    <x v="1"/>
    <x v="1"/>
    <n v="4060"/>
    <n v="0"/>
    <n v="4060"/>
    <n v="10000"/>
    <n v="100"/>
    <x v="31"/>
    <x v="31"/>
    <s v="PG MANT FREDDY ESP"/>
    <x v="80"/>
    <s v="jgonzalez"/>
    <s v="CMTRX00017003"/>
    <n v="4921198"/>
    <n v="1"/>
    <n v="41"/>
    <s v=""/>
  </r>
  <r>
    <n v="3026938"/>
    <x v="1"/>
    <x v="1"/>
    <x v="1"/>
    <n v="3400"/>
    <n v="0"/>
    <n v="3400"/>
    <n v="10000"/>
    <n v="100"/>
    <x v="32"/>
    <x v="32"/>
    <s v="PG MDO FREDDY ESP."/>
    <x v="81"/>
    <s v="jgonzalez"/>
    <s v="CMTRX00017015"/>
    <n v="4924490"/>
    <n v="1"/>
    <n v="42"/>
    <s v=""/>
  </r>
  <r>
    <n v="3041741"/>
    <x v="17"/>
    <x v="1"/>
    <x v="1"/>
    <n v="366.52"/>
    <n v="0"/>
    <n v="366.52"/>
    <n v="10000"/>
    <n v="100"/>
    <x v="33"/>
    <x v="33"/>
    <s v="SINSA/MT TIENDAS-DIONIS"/>
    <x v="82"/>
    <s v="xmaltez"/>
    <s v="GLTRX00956709"/>
    <n v="4937614"/>
    <n v="1"/>
    <n v="47"/>
    <s v=""/>
  </r>
  <r>
    <n v="3043087"/>
    <x v="0"/>
    <x v="1"/>
    <x v="1"/>
    <n v="5310.73"/>
    <n v="0"/>
    <n v="5310.73"/>
    <n v="10000"/>
    <n v="100"/>
    <x v="34"/>
    <x v="34"/>
    <s v="MT HIDROSANITARIO A39"/>
    <x v="83"/>
    <s v="xmaltez"/>
    <s v="PMTRX00084828"/>
    <n v="4937749"/>
    <n v="1"/>
    <n v="48"/>
    <s v=""/>
  </r>
  <r>
    <n v="3088392"/>
    <x v="3"/>
    <x v="1"/>
    <x v="1"/>
    <n v="4394.91"/>
    <n v="0"/>
    <n v="4394.91"/>
    <n v="10000"/>
    <n v="100"/>
    <x v="35"/>
    <x v="35"/>
    <s v="MOBI EQUIIPOS"/>
    <x v="84"/>
    <s v="jlopez"/>
    <s v="GLTRX00970892"/>
    <n v="4975459"/>
    <n v="1"/>
    <n v="49"/>
    <s v=""/>
  </r>
  <r>
    <n v="3088392"/>
    <x v="3"/>
    <x v="1"/>
    <x v="1"/>
    <n v="4394.91"/>
    <n v="0"/>
    <n v="4394.91"/>
    <n v="10000"/>
    <n v="100"/>
    <x v="36"/>
    <x v="36"/>
    <s v="MOBI EQUIIPOS"/>
    <x v="85"/>
    <s v="jlopez"/>
    <s v="GLTRX00970892"/>
    <n v="4975459"/>
    <n v="1"/>
    <n v="50"/>
    <s v=""/>
  </r>
  <r>
    <n v="3081629"/>
    <x v="15"/>
    <x v="1"/>
    <x v="1"/>
    <n v="2289.87"/>
    <n v="0"/>
    <n v="2289.87"/>
    <n v="10000"/>
    <n v="100"/>
    <x v="36"/>
    <x v="36"/>
    <s v="SINSA MASAYA /AMPM41"/>
    <x v="86"/>
    <s v="xmaltez"/>
    <s v="GLTRX00968931"/>
    <n v="4969873"/>
    <n v="1"/>
    <n v="50"/>
    <s v=""/>
  </r>
  <r>
    <n v="3040739"/>
    <x v="2"/>
    <x v="1"/>
    <x v="1"/>
    <n v="391.01"/>
    <n v="0"/>
    <n v="391.01"/>
    <n v="10000"/>
    <n v="100"/>
    <x v="36"/>
    <x v="36"/>
    <s v="SINSA-MT TIENDA A41-DIONIS"/>
    <x v="87"/>
    <s v="xmaltez"/>
    <s v="GLTRX00955853"/>
    <n v="4935878"/>
    <n v="1"/>
    <n v="50"/>
    <s v=""/>
  </r>
  <r>
    <n v="3088399"/>
    <x v="13"/>
    <x v="1"/>
    <x v="1"/>
    <n v="165"/>
    <n v="0"/>
    <n v="165"/>
    <n v="10000"/>
    <n v="100"/>
    <x v="37"/>
    <x v="37"/>
    <s v="CARGOTRANS"/>
    <x v="88"/>
    <s v="jlopez"/>
    <s v="GLTRX00970892"/>
    <n v="4975465"/>
    <n v="1"/>
    <n v="51"/>
    <s v=""/>
  </r>
  <r>
    <n v="3088399"/>
    <x v="13"/>
    <x v="1"/>
    <x v="1"/>
    <n v="137"/>
    <n v="0"/>
    <n v="137"/>
    <n v="10000"/>
    <n v="100"/>
    <x v="38"/>
    <x v="38"/>
    <s v="CARGOTRANS"/>
    <x v="89"/>
    <s v="jlopez"/>
    <s v="GLTRX00970892"/>
    <n v="4975465"/>
    <n v="1"/>
    <n v="57"/>
    <s v=""/>
  </r>
  <r>
    <n v="3026938"/>
    <x v="1"/>
    <x v="1"/>
    <x v="1"/>
    <n v="10550"/>
    <n v="0"/>
    <n v="10550"/>
    <n v="10000"/>
    <n v="100"/>
    <x v="39"/>
    <x v="39"/>
    <s v="PG MDO FREDDY ESP."/>
    <x v="90"/>
    <s v="jgonzalez"/>
    <s v="CMTRX00017015"/>
    <n v="4924490"/>
    <n v="1"/>
    <n v="60"/>
    <s v=""/>
  </r>
  <r>
    <n v="3088397"/>
    <x v="5"/>
    <x v="1"/>
    <x v="1"/>
    <n v="1180.83"/>
    <n v="0"/>
    <n v="1180.83"/>
    <n v="10000"/>
    <n v="100"/>
    <x v="40"/>
    <x v="40"/>
    <s v="CUBAS ELECTRICAS"/>
    <x v="91"/>
    <s v="jlopez"/>
    <s v="GLTRX00970892"/>
    <n v="4975460"/>
    <n v="1"/>
    <n v="63"/>
    <s v=""/>
  </r>
  <r>
    <n v="3087686"/>
    <x v="5"/>
    <x v="1"/>
    <x v="1"/>
    <n v="663.67"/>
    <n v="0"/>
    <n v="663.67"/>
    <n v="10000"/>
    <n v="100"/>
    <x v="40"/>
    <x v="40"/>
    <s v="SINSA"/>
    <x v="92"/>
    <s v="jlopez"/>
    <s v="GLTRX00970892"/>
    <n v="4974751"/>
    <n v="1"/>
    <n v="63"/>
    <s v=""/>
  </r>
  <r>
    <n v="3041741"/>
    <x v="17"/>
    <x v="1"/>
    <x v="1"/>
    <n v="520.87"/>
    <n v="0"/>
    <n v="520.87"/>
    <n v="10000"/>
    <n v="100"/>
    <x v="40"/>
    <x v="40"/>
    <s v="SINSA/MT TIENDAS-DIONIS"/>
    <x v="93"/>
    <s v="xmaltez"/>
    <s v="GLTRX00956709"/>
    <n v="4937614"/>
    <n v="1"/>
    <n v="63"/>
    <s v=""/>
  </r>
  <r>
    <n v="3083726"/>
    <x v="10"/>
    <x v="1"/>
    <x v="1"/>
    <n v="7850"/>
    <n v="0"/>
    <n v="7850"/>
    <n v="10000"/>
    <n v="100"/>
    <x v="1"/>
    <x v="1"/>
    <s v="Entrada: Transacción Externa."/>
    <x v="94"/>
    <s v="jgonzalez"/>
    <s v="GLTRX00969851"/>
    <n v="4971287"/>
    <n v="1"/>
    <n v="66"/>
    <s v=""/>
  </r>
  <r>
    <n v="3083688"/>
    <x v="1"/>
    <x v="1"/>
    <x v="1"/>
    <n v="2100"/>
    <n v="0"/>
    <n v="2100"/>
    <n v="10000"/>
    <n v="100"/>
    <x v="1"/>
    <x v="1"/>
    <s v="PG MDO FREDDY ESPINOZA"/>
    <x v="95"/>
    <s v="jgonzalez"/>
    <s v="GLTRX00969845"/>
    <n v="4971251"/>
    <n v="1"/>
    <n v="66"/>
    <s v=""/>
  </r>
  <r>
    <n v="3041489"/>
    <x v="2"/>
    <x v="1"/>
    <x v="1"/>
    <n v="5550"/>
    <n v="0"/>
    <n v="5550"/>
    <n v="10000"/>
    <n v="100"/>
    <x v="1"/>
    <x v="1"/>
    <s v="OFICE SITE-MT A18-52-DIONIS"/>
    <x v="96"/>
    <s v="xmaltez"/>
    <s v="GLTRX00955853"/>
    <n v="4937603"/>
    <n v="1"/>
    <n v="66"/>
    <s v=""/>
  </r>
  <r>
    <n v="3088399"/>
    <x v="13"/>
    <x v="1"/>
    <x v="1"/>
    <n v="137"/>
    <n v="0"/>
    <n v="137"/>
    <n v="10000"/>
    <n v="100"/>
    <x v="41"/>
    <x v="41"/>
    <s v="CARGOTRANS"/>
    <x v="97"/>
    <s v="jlopez"/>
    <s v="GLTRX00970892"/>
    <n v="4975465"/>
    <n v="1"/>
    <n v="70"/>
    <s v=""/>
  </r>
  <r>
    <n v="3087680"/>
    <x v="15"/>
    <x v="1"/>
    <x v="1"/>
    <n v="5500"/>
    <n v="0"/>
    <n v="5500"/>
    <n v="10000"/>
    <n v="100"/>
    <x v="42"/>
    <x v="42"/>
    <s v="PG MDO ROGER SALINAS"/>
    <x v="98"/>
    <s v="jgonzalez"/>
    <s v="GLTRX00970899"/>
    <n v="4974745"/>
    <n v="1"/>
    <n v="71"/>
    <s v=""/>
  </r>
  <r>
    <n v="3021318"/>
    <x v="5"/>
    <x v="1"/>
    <x v="1"/>
    <n v="14500"/>
    <n v="0"/>
    <n v="14500"/>
    <n v="10000"/>
    <n v="100"/>
    <x v="42"/>
    <x v="42"/>
    <s v="PG MANT ALEXANDER"/>
    <x v="99"/>
    <s v="jgonzalez"/>
    <s v="CMTRX00017003"/>
    <n v="4921197"/>
    <n v="1"/>
    <n v="71"/>
    <s v=""/>
  </r>
  <r>
    <n v="3088415"/>
    <x v="21"/>
    <x v="1"/>
    <x v="1"/>
    <n v="2597"/>
    <n v="0"/>
    <n v="2597"/>
    <n v="10000"/>
    <n v="100"/>
    <x v="43"/>
    <x v="43"/>
    <s v="DISTNICA"/>
    <x v="100"/>
    <s v="jlopez"/>
    <s v="GLTRX00970892"/>
    <n v="4975476"/>
    <n v="1"/>
    <n v="73"/>
    <s v=""/>
  </r>
  <r>
    <n v="3088409"/>
    <x v="21"/>
    <x v="1"/>
    <x v="1"/>
    <n v="1565.2"/>
    <n v="0"/>
    <n v="1565.2"/>
    <n v="10000"/>
    <n v="100"/>
    <x v="43"/>
    <x v="43"/>
    <s v="SINSA"/>
    <x v="101"/>
    <s v="jlopez"/>
    <s v="GLTRX00970892"/>
    <n v="4975474"/>
    <n v="1"/>
    <n v="73"/>
    <s v=""/>
  </r>
  <r>
    <n v="3088409"/>
    <x v="21"/>
    <x v="1"/>
    <x v="1"/>
    <n v="2120.87"/>
    <n v="0"/>
    <n v="2120.87"/>
    <n v="10000"/>
    <n v="100"/>
    <x v="43"/>
    <x v="43"/>
    <s v="SINSA"/>
    <x v="102"/>
    <s v="jlopez"/>
    <s v="GLTRX00970892"/>
    <n v="4975474"/>
    <n v="1"/>
    <n v="73"/>
    <s v=""/>
  </r>
  <r>
    <n v="3040736"/>
    <x v="2"/>
    <x v="1"/>
    <x v="1"/>
    <n v="945"/>
    <n v="0"/>
    <n v="945"/>
    <n v="10000"/>
    <n v="100"/>
    <x v="44"/>
    <x v="44"/>
    <s v="SINSA/MT TIENDAS-DIONIS"/>
    <x v="103"/>
    <s v="xmaltez"/>
    <s v="GLTRX00955853"/>
    <n v="4936012"/>
    <n v="1"/>
    <n v="74"/>
    <s v=""/>
  </r>
  <r>
    <n v="3088392"/>
    <x v="3"/>
    <x v="1"/>
    <x v="1"/>
    <n v="4394.91"/>
    <n v="0"/>
    <n v="4394.91"/>
    <n v="10000"/>
    <n v="100"/>
    <x v="45"/>
    <x v="45"/>
    <s v="MOBI EQUIIPOS"/>
    <x v="104"/>
    <s v="jlopez"/>
    <s v="GLTRX00970892"/>
    <n v="4975459"/>
    <n v="1"/>
    <n v="76"/>
    <s v=""/>
  </r>
  <r>
    <n v="3083726"/>
    <x v="10"/>
    <x v="1"/>
    <x v="1"/>
    <n v="4100"/>
    <n v="0"/>
    <n v="4100"/>
    <n v="10000"/>
    <n v="100"/>
    <x v="46"/>
    <x v="46"/>
    <s v="Entrada: Transacción Externa."/>
    <x v="105"/>
    <s v="jgonzalez"/>
    <s v="GLTRX00969851"/>
    <n v="4971287"/>
    <n v="1"/>
    <n v="77"/>
    <s v=""/>
  </r>
  <r>
    <n v="3083688"/>
    <x v="1"/>
    <x v="1"/>
    <x v="1"/>
    <n v="2840"/>
    <n v="0"/>
    <n v="2840"/>
    <n v="10000"/>
    <n v="100"/>
    <x v="46"/>
    <x v="46"/>
    <s v="PG MDO FREDDY ESPINOZA"/>
    <x v="106"/>
    <s v="jgonzalez"/>
    <s v="GLTRX00969845"/>
    <n v="4971251"/>
    <n v="1"/>
    <n v="77"/>
    <s v=""/>
  </r>
  <r>
    <n v="3088399"/>
    <x v="13"/>
    <x v="1"/>
    <x v="1"/>
    <n v="165"/>
    <n v="0"/>
    <n v="165"/>
    <n v="10000"/>
    <n v="100"/>
    <x v="47"/>
    <x v="47"/>
    <s v="CARGOTRANS"/>
    <x v="107"/>
    <s v="jlopez"/>
    <s v="GLTRX00970892"/>
    <n v="4975465"/>
    <n v="1"/>
    <n v="78"/>
    <s v=""/>
  </r>
  <r>
    <n v="3026938"/>
    <x v="1"/>
    <x v="1"/>
    <x v="1"/>
    <n v="19840"/>
    <n v="0"/>
    <n v="19840"/>
    <n v="10000"/>
    <n v="100"/>
    <x v="48"/>
    <x v="48"/>
    <s v="PG MDO FREDDY ESP."/>
    <x v="108"/>
    <s v="jgonzalez"/>
    <s v="CMTRX00017015"/>
    <n v="4924490"/>
    <n v="1"/>
    <n v="79"/>
    <s v=""/>
  </r>
  <r>
    <n v="3088464"/>
    <x v="15"/>
    <x v="1"/>
    <x v="1"/>
    <n v="21041.01"/>
    <n v="0"/>
    <n v="21041.01"/>
    <n v="10000"/>
    <n v="100"/>
    <x v="49"/>
    <x v="49"/>
    <s v="MT TIENDA A65"/>
    <x v="109"/>
    <s v="xmaltez"/>
    <s v="PMTRX00085875"/>
    <n v="4975505"/>
    <n v="1"/>
    <n v="81"/>
    <s v=""/>
  </r>
  <r>
    <n v="3043549"/>
    <x v="17"/>
    <x v="1"/>
    <x v="1"/>
    <n v="14649.72"/>
    <n v="0"/>
    <n v="14649.72"/>
    <n v="10000"/>
    <n v="100"/>
    <x v="50"/>
    <x v="50"/>
    <s v="MB EMPOTRADO A66"/>
    <x v="110"/>
    <s v="xmaltez"/>
    <s v="PMTRX00084868"/>
    <n v="4939473"/>
    <n v="1"/>
    <n v="82"/>
    <s v=""/>
  </r>
  <r>
    <n v="3088396"/>
    <x v="18"/>
    <x v="1"/>
    <x v="1"/>
    <n v="0"/>
    <n v="2500"/>
    <n v="-2500"/>
    <n v="10000"/>
    <n v="100"/>
    <x v="51"/>
    <x v="51"/>
    <s v="Revertir entrada de 3087541"/>
    <x v="111"/>
    <s v="crivera"/>
    <s v="GLTRX00970994"/>
    <n v="4975458"/>
    <n v="1"/>
    <n v="83"/>
    <s v=""/>
  </r>
  <r>
    <n v="3087550"/>
    <x v="18"/>
    <x v="1"/>
    <x v="1"/>
    <n v="2500"/>
    <n v="0"/>
    <n v="2500"/>
    <n v="10000"/>
    <n v="100"/>
    <x v="51"/>
    <x v="51"/>
    <s v="Entrada: Transacción Externa."/>
    <x v="111"/>
    <s v="jgonzalez"/>
    <s v="GLTRX00970894"/>
    <n v="4974615"/>
    <n v="1"/>
    <n v="83"/>
    <s v=""/>
  </r>
  <r>
    <n v="3087541"/>
    <x v="18"/>
    <x v="1"/>
    <x v="1"/>
    <n v="2500"/>
    <n v="0"/>
    <n v="2500"/>
    <n v="10000"/>
    <n v="100"/>
    <x v="51"/>
    <x v="51"/>
    <s v="Entrada: Transacción Externa."/>
    <x v="111"/>
    <s v="crivera"/>
    <s v="GLTRX00970776"/>
    <n v="4973309"/>
    <n v="1"/>
    <n v="83"/>
    <s v=""/>
  </r>
  <r>
    <n v="3043238"/>
    <x v="17"/>
    <x v="1"/>
    <x v="1"/>
    <n v="11812"/>
    <n v="0"/>
    <n v="11812"/>
    <n v="10000"/>
    <n v="100"/>
    <x v="51"/>
    <x v="51"/>
    <s v="MT EN TIENDA A67"/>
    <x v="112"/>
    <s v="xmaltez"/>
    <s v="PMTRX00084831"/>
    <n v="4938474"/>
    <n v="1"/>
    <n v="83"/>
    <s v=""/>
  </r>
  <r>
    <n v="3081634"/>
    <x v="15"/>
    <x v="1"/>
    <x v="1"/>
    <n v="1098.23"/>
    <n v="0"/>
    <n v="1098.23"/>
    <n v="10000"/>
    <n v="100"/>
    <x v="52"/>
    <x v="52"/>
    <s v="SOFECONSA/ AMPM69"/>
    <x v="113"/>
    <s v="xmaltez"/>
    <s v="GLTRX00968931"/>
    <n v="4969878"/>
    <n v="1"/>
    <n v="85"/>
    <s v=""/>
  </r>
  <r>
    <n v="3043585"/>
    <x v="13"/>
    <x v="1"/>
    <x v="1"/>
    <n v="39130"/>
    <n v="0"/>
    <n v="39130"/>
    <n v="10000"/>
    <n v="100"/>
    <x v="53"/>
    <x v="53"/>
    <s v="MT EN TIENDA A70"/>
    <x v="114"/>
    <s v="xmaltez"/>
    <s v="PMTRX00084868"/>
    <n v="4939474"/>
    <n v="1"/>
    <n v="87"/>
    <s v=""/>
  </r>
  <r>
    <n v="3081560"/>
    <x v="20"/>
    <x v="1"/>
    <x v="1"/>
    <n v="306.98"/>
    <n v="0"/>
    <n v="306.98"/>
    <n v="10000"/>
    <n v="100"/>
    <x v="54"/>
    <x v="54"/>
    <s v="SINSA LEON/ A71"/>
    <x v="115"/>
    <s v="xmaltez"/>
    <s v="GLTRX00968931"/>
    <n v="4969803"/>
    <n v="1"/>
    <n v="86"/>
    <s v=""/>
  </r>
  <r>
    <n v="3088406"/>
    <x v="20"/>
    <x v="1"/>
    <x v="1"/>
    <n v="662.6"/>
    <n v="0"/>
    <n v="662.6"/>
    <n v="10000"/>
    <n v="100"/>
    <x v="55"/>
    <x v="55"/>
    <s v="SINSA"/>
    <x v="116"/>
    <s v="jlopez"/>
    <s v="GLTRX00970892"/>
    <n v="4975468"/>
    <n v="1"/>
    <n v="89"/>
    <s v=""/>
  </r>
  <r>
    <n v="3026938"/>
    <x v="1"/>
    <x v="1"/>
    <x v="1"/>
    <n v="10850"/>
    <n v="0"/>
    <n v="10850"/>
    <n v="10000"/>
    <n v="100"/>
    <x v="55"/>
    <x v="55"/>
    <s v="PG MDO FREDDY ESP."/>
    <x v="117"/>
    <s v="jgonzalez"/>
    <s v="CMTRX00017015"/>
    <n v="4924490"/>
    <n v="1"/>
    <n v="89"/>
    <s v=""/>
  </r>
  <r>
    <n v="3083726"/>
    <x v="10"/>
    <x v="1"/>
    <x v="1"/>
    <n v="22338.2"/>
    <n v="0"/>
    <n v="22338.2"/>
    <n v="10000"/>
    <n v="100"/>
    <x v="56"/>
    <x v="56"/>
    <s v="Entrada: Transacción Externa."/>
    <x v="118"/>
    <s v="jgonzalez"/>
    <s v="GLTRX00969851"/>
    <n v="4971287"/>
    <n v="1"/>
    <n v="90"/>
    <s v=""/>
  </r>
  <r>
    <n v="3083726"/>
    <x v="10"/>
    <x v="1"/>
    <x v="1"/>
    <n v="21442.11"/>
    <n v="0"/>
    <n v="21442.11"/>
    <n v="10000"/>
    <n v="100"/>
    <x v="56"/>
    <x v="56"/>
    <s v="Entrada: Transacción Externa."/>
    <x v="118"/>
    <s v="jgonzalez"/>
    <s v="GLTRX00969851"/>
    <n v="4971287"/>
    <n v="1"/>
    <n v="90"/>
    <s v=""/>
  </r>
  <r>
    <n v="3083726"/>
    <x v="10"/>
    <x v="1"/>
    <x v="1"/>
    <n v="3400"/>
    <n v="0"/>
    <n v="3400"/>
    <n v="10000"/>
    <n v="100"/>
    <x v="57"/>
    <x v="57"/>
    <s v="Entrada: Transacción Externa."/>
    <x v="119"/>
    <s v="jgonzalez"/>
    <s v="GLTRX00969851"/>
    <n v="4971287"/>
    <n v="1"/>
    <n v="91"/>
    <s v=""/>
  </r>
  <r>
    <n v="3083688"/>
    <x v="1"/>
    <x v="1"/>
    <x v="1"/>
    <n v="2500"/>
    <n v="0"/>
    <n v="2500"/>
    <n v="10000"/>
    <n v="100"/>
    <x v="57"/>
    <x v="57"/>
    <s v="PG MDO FREDDY ESPINOZA"/>
    <x v="120"/>
    <s v="jgonzalez"/>
    <s v="GLTRX00969845"/>
    <n v="4971251"/>
    <n v="1"/>
    <n v="91"/>
    <s v=""/>
  </r>
  <r>
    <n v="3088399"/>
    <x v="13"/>
    <x v="1"/>
    <x v="1"/>
    <n v="297"/>
    <n v="0"/>
    <n v="297"/>
    <n v="10000"/>
    <n v="100"/>
    <x v="58"/>
    <x v="58"/>
    <s v="CARGOTRANS"/>
    <x v="121"/>
    <s v="jlopez"/>
    <s v="GLTRX00970892"/>
    <n v="4975465"/>
    <n v="1"/>
    <n v="93"/>
    <s v=""/>
  </r>
  <r>
    <n v="3083726"/>
    <x v="10"/>
    <x v="1"/>
    <x v="1"/>
    <n v="32496.22"/>
    <n v="0"/>
    <n v="32496.22"/>
    <n v="10000"/>
    <n v="100"/>
    <x v="59"/>
    <x v="59"/>
    <s v="Entrada: Transacción Externa."/>
    <x v="122"/>
    <s v="jgonzalez"/>
    <s v="GLTRX00969851"/>
    <n v="4971287"/>
    <n v="1"/>
    <n v="92"/>
    <s v=""/>
  </r>
  <r>
    <n v="3043237"/>
    <x v="13"/>
    <x v="1"/>
    <x v="1"/>
    <n v="5775"/>
    <n v="0"/>
    <n v="5775"/>
    <n v="10000"/>
    <n v="100"/>
    <x v="59"/>
    <x v="59"/>
    <s v="REPARACION PUERTA A77"/>
    <x v="123"/>
    <s v="xmaltez"/>
    <s v="PMTRX00084831"/>
    <n v="4938473"/>
    <n v="1"/>
    <n v="92"/>
    <s v=""/>
  </r>
  <r>
    <n v="3040800"/>
    <x v="2"/>
    <x v="1"/>
    <x v="1"/>
    <n v="1467"/>
    <n v="0"/>
    <n v="1467"/>
    <n v="10000"/>
    <n v="100"/>
    <x v="59"/>
    <x v="59"/>
    <s v="DISTNICA/MT TIENDAS+DIONIS"/>
    <x v="124"/>
    <s v="xmaltez"/>
    <s v="GLTRX00955853"/>
    <n v="4937226"/>
    <n v="1"/>
    <n v="92"/>
    <s v=""/>
  </r>
  <r>
    <n v="3040736"/>
    <x v="2"/>
    <x v="1"/>
    <x v="1"/>
    <n v="2450.4299999999998"/>
    <n v="0"/>
    <n v="2450.4299999999998"/>
    <n v="10000"/>
    <n v="100"/>
    <x v="59"/>
    <x v="59"/>
    <s v="SINSA/MT TIENDAS-DIONIS"/>
    <x v="125"/>
    <s v="xmaltez"/>
    <s v="GLTRX00955853"/>
    <n v="4936012"/>
    <n v="1"/>
    <n v="92"/>
    <s v=""/>
  </r>
  <r>
    <n v="3041742"/>
    <x v="1"/>
    <x v="1"/>
    <x v="1"/>
    <n v="1285.94"/>
    <n v="0"/>
    <n v="1285.94"/>
    <n v="10000"/>
    <n v="100"/>
    <x v="60"/>
    <x v="60"/>
    <s v="SINSA/MT A78- DIONIS"/>
    <x v="126"/>
    <s v="xmaltez"/>
    <s v="GLTRX00956709"/>
    <n v="4937615"/>
    <n v="1"/>
    <n v="94"/>
    <s v=""/>
  </r>
  <r>
    <n v="3040800"/>
    <x v="2"/>
    <x v="1"/>
    <x v="1"/>
    <n v="2934"/>
    <n v="0"/>
    <n v="2934"/>
    <n v="10000"/>
    <n v="100"/>
    <x v="60"/>
    <x v="60"/>
    <s v="DISTNICA/MT TIENDAS+DIONIS"/>
    <x v="127"/>
    <s v="xmaltez"/>
    <s v="GLTRX00955853"/>
    <n v="4937226"/>
    <n v="1"/>
    <n v="94"/>
    <s v=""/>
  </r>
  <r>
    <n v="3040736"/>
    <x v="2"/>
    <x v="1"/>
    <x v="1"/>
    <n v="969.24"/>
    <n v="0"/>
    <n v="969.24"/>
    <n v="10000"/>
    <n v="100"/>
    <x v="60"/>
    <x v="60"/>
    <s v="SINSA/MT TIENDAS-DIONIS"/>
    <x v="128"/>
    <s v="xmaltez"/>
    <s v="GLTRX00955853"/>
    <n v="4936012"/>
    <n v="1"/>
    <n v="94"/>
    <s v=""/>
  </r>
  <r>
    <n v="3043240"/>
    <x v="17"/>
    <x v="1"/>
    <x v="1"/>
    <n v="21995"/>
    <n v="0"/>
    <n v="21995"/>
    <n v="10000"/>
    <n v="100"/>
    <x v="61"/>
    <x v="61"/>
    <s v="MT EN TIENDA A80"/>
    <x v="129"/>
    <s v="xmaltez"/>
    <s v="PMTRX00084831"/>
    <n v="4938476"/>
    <n v="1"/>
    <n v="98"/>
    <s v=""/>
  </r>
  <r>
    <n v="3081564"/>
    <x v="20"/>
    <x v="1"/>
    <x v="1"/>
    <n v="434.32"/>
    <n v="0"/>
    <n v="434.32"/>
    <n v="10000"/>
    <n v="100"/>
    <x v="62"/>
    <x v="62"/>
    <s v="SINSA LEON /AMPM82"/>
    <x v="130"/>
    <s v="xmaltez"/>
    <s v="GLTRX00968931"/>
    <n v="4969835"/>
    <n v="1"/>
    <n v="96"/>
    <s v=""/>
  </r>
  <r>
    <n v="3081639"/>
    <x v="11"/>
    <x v="1"/>
    <x v="1"/>
    <n v="495"/>
    <n v="0"/>
    <n v="495"/>
    <n v="10000"/>
    <n v="100"/>
    <x v="63"/>
    <x v="63"/>
    <s v="FERRETERIA EL REY/A83"/>
    <x v="131"/>
    <s v="xmaltez"/>
    <s v="GLTRX00968931"/>
    <n v="4969879"/>
    <n v="1"/>
    <n v="97"/>
    <s v=""/>
  </r>
  <r>
    <n v="3088390"/>
    <x v="8"/>
    <x v="1"/>
    <x v="1"/>
    <n v="1554"/>
    <n v="0"/>
    <n v="1554"/>
    <n v="10000"/>
    <n v="100"/>
    <x v="64"/>
    <x v="64"/>
    <s v="LED SOLUTIONS"/>
    <x v="132"/>
    <s v="jlopez"/>
    <s v="GLTRX00970892"/>
    <n v="4975456"/>
    <n v="1"/>
    <n v="100"/>
    <s v=""/>
  </r>
  <r>
    <n v="3083726"/>
    <x v="10"/>
    <x v="1"/>
    <x v="1"/>
    <n v="5700"/>
    <n v="0"/>
    <n v="5700"/>
    <n v="10000"/>
    <n v="100"/>
    <x v="64"/>
    <x v="64"/>
    <s v="Entrada: Transacción Externa."/>
    <x v="133"/>
    <s v="jgonzalez"/>
    <s v="GLTRX00969851"/>
    <n v="4971287"/>
    <n v="1"/>
    <n v="100"/>
    <s v=""/>
  </r>
  <r>
    <n v="3083726"/>
    <x v="10"/>
    <x v="1"/>
    <x v="1"/>
    <n v="18676.2"/>
    <n v="0"/>
    <n v="18676.2"/>
    <n v="10000"/>
    <n v="100"/>
    <x v="64"/>
    <x v="64"/>
    <s v="Entrada: Transacción Externa."/>
    <x v="134"/>
    <s v="jgonzalez"/>
    <s v="GLTRX00969851"/>
    <n v="4971287"/>
    <n v="1"/>
    <n v="100"/>
    <s v=""/>
  </r>
  <r>
    <n v="3081699"/>
    <x v="11"/>
    <x v="1"/>
    <x v="1"/>
    <n v="1748.25"/>
    <n v="0"/>
    <n v="1748.25"/>
    <n v="10000"/>
    <n v="100"/>
    <x v="65"/>
    <x v="65"/>
    <s v="LEDSOLUTIONS/ A88"/>
    <x v="135"/>
    <s v="xmaltez"/>
    <s v="GLTRX00968973"/>
    <n v="4969937"/>
    <n v="1"/>
    <n v="102"/>
    <s v=""/>
  </r>
  <r>
    <n v="3088391"/>
    <x v="20"/>
    <x v="1"/>
    <x v="1"/>
    <n v="3302.25"/>
    <n v="0"/>
    <n v="3302.25"/>
    <n v="10000"/>
    <n v="100"/>
    <x v="66"/>
    <x v="66"/>
    <s v="LED SOLUTIONS"/>
    <x v="136"/>
    <s v="jlopez"/>
    <s v="GLTRX00970892"/>
    <n v="4975457"/>
    <n v="1"/>
    <n v="105"/>
    <s v=""/>
  </r>
  <r>
    <n v="3083726"/>
    <x v="10"/>
    <x v="1"/>
    <x v="1"/>
    <n v="5600"/>
    <n v="0"/>
    <n v="5600"/>
    <n v="10000"/>
    <n v="100"/>
    <x v="66"/>
    <x v="66"/>
    <s v="Entrada: Transacción Externa."/>
    <x v="137"/>
    <s v="jgonzalez"/>
    <s v="GLTRX00969851"/>
    <n v="4971287"/>
    <n v="1"/>
    <n v="105"/>
    <s v=""/>
  </r>
  <r>
    <n v="3081641"/>
    <x v="19"/>
    <x v="1"/>
    <x v="1"/>
    <n v="137"/>
    <n v="0"/>
    <n v="137"/>
    <n v="10000"/>
    <n v="100"/>
    <x v="66"/>
    <x v="66"/>
    <s v="CARGO TRANS/A89 -27"/>
    <x v="138"/>
    <s v="xmaltez"/>
    <s v="GLTRX00968931"/>
    <n v="4969883"/>
    <n v="1"/>
    <n v="105"/>
    <s v=""/>
  </r>
  <r>
    <n v="3063609"/>
    <x v="20"/>
    <x v="2"/>
    <x v="2"/>
    <n v="41334.11"/>
    <n v="0"/>
    <n v="41334.11"/>
    <n v="10000"/>
    <n v="100"/>
    <x v="7"/>
    <x v="7"/>
    <s v="MT EQUIPOS EN PANADERIA"/>
    <x v="139"/>
    <s v="xmaltez"/>
    <s v="PMTRX00085265"/>
    <n v="4955133"/>
    <n v="1"/>
    <n v="32"/>
    <s v=""/>
  </r>
  <r>
    <n v="3081697"/>
    <x v="22"/>
    <x v="2"/>
    <x v="2"/>
    <n v="0"/>
    <n v="14000"/>
    <n v="-14000"/>
    <n v="10000"/>
    <n v="100"/>
    <x v="12"/>
    <x v="12"/>
    <s v="MOVIMIENTO CF+AA AMPM06"/>
    <x v="140"/>
    <s v="jlopez"/>
    <s v="GLTRX00968972"/>
    <n v="4969932"/>
    <n v="1"/>
    <n v="6"/>
    <s v=""/>
  </r>
  <r>
    <n v="3081697"/>
    <x v="22"/>
    <x v="2"/>
    <x v="2"/>
    <n v="0"/>
    <n v="2500"/>
    <n v="-2500"/>
    <n v="10000"/>
    <n v="100"/>
    <x v="12"/>
    <x v="12"/>
    <s v="MOVIMIENTO CF+AA AMPM06"/>
    <x v="141"/>
    <s v="jlopez"/>
    <s v="GLTRX00968972"/>
    <n v="4969932"/>
    <n v="1"/>
    <n v="6"/>
    <s v=""/>
  </r>
  <r>
    <n v="3081697"/>
    <x v="22"/>
    <x v="2"/>
    <x v="2"/>
    <n v="0"/>
    <n v="4500"/>
    <n v="-4500"/>
    <n v="10000"/>
    <n v="100"/>
    <x v="12"/>
    <x v="12"/>
    <s v="MOVIMIENTO CF+AA AMPM06"/>
    <x v="142"/>
    <s v="jlopez"/>
    <s v="GLTRX00968972"/>
    <n v="4969932"/>
    <n v="1"/>
    <n v="6"/>
    <s v=""/>
  </r>
  <r>
    <n v="3081697"/>
    <x v="22"/>
    <x v="2"/>
    <x v="2"/>
    <n v="0"/>
    <n v="2500"/>
    <n v="-2500"/>
    <n v="10000"/>
    <n v="100"/>
    <x v="12"/>
    <x v="12"/>
    <s v="MOVIMIENTO CF+AA AMPM06"/>
    <x v="143"/>
    <s v="jlopez"/>
    <s v="GLTRX00968972"/>
    <n v="4969932"/>
    <n v="1"/>
    <n v="6"/>
    <s v=""/>
  </r>
  <r>
    <n v="3081697"/>
    <x v="22"/>
    <x v="2"/>
    <x v="2"/>
    <n v="0"/>
    <n v="14000"/>
    <n v="-14000"/>
    <n v="10000"/>
    <n v="100"/>
    <x v="12"/>
    <x v="12"/>
    <s v="MOVIMIENTO CF+AA AMPM06"/>
    <x v="144"/>
    <s v="jlopez"/>
    <s v="GLTRX00968972"/>
    <n v="4969932"/>
    <n v="1"/>
    <n v="6"/>
    <s v=""/>
  </r>
  <r>
    <n v="3081697"/>
    <x v="22"/>
    <x v="2"/>
    <x v="2"/>
    <n v="0"/>
    <n v="14000"/>
    <n v="-14000"/>
    <n v="10000"/>
    <n v="100"/>
    <x v="12"/>
    <x v="12"/>
    <s v="MOVIMIENTO CF+AA AMPM06"/>
    <x v="145"/>
    <s v="jlopez"/>
    <s v="GLTRX00968972"/>
    <n v="4969932"/>
    <n v="1"/>
    <n v="6"/>
    <s v=""/>
  </r>
  <r>
    <n v="3081697"/>
    <x v="22"/>
    <x v="2"/>
    <x v="2"/>
    <n v="0"/>
    <n v="25000"/>
    <n v="-25000"/>
    <n v="10000"/>
    <n v="100"/>
    <x v="12"/>
    <x v="12"/>
    <s v="MOVIMIENTO CF+AA AMPM06"/>
    <x v="146"/>
    <s v="jlopez"/>
    <s v="GLTRX00968972"/>
    <n v="4969932"/>
    <n v="1"/>
    <n v="6"/>
    <s v=""/>
  </r>
  <r>
    <n v="3021130"/>
    <x v="7"/>
    <x v="2"/>
    <x v="2"/>
    <n v="14000"/>
    <n v="0"/>
    <n v="14000"/>
    <n v="10000"/>
    <n v="100"/>
    <x v="12"/>
    <x v="12"/>
    <s v="MOVIMIENTO CF+AA AMPM06"/>
    <x v="145"/>
    <s v="crivera"/>
    <s v="PMTRX00084374"/>
    <n v="4921306"/>
    <n v="1"/>
    <n v="6"/>
    <s v=""/>
  </r>
  <r>
    <n v="3021130"/>
    <x v="7"/>
    <x v="2"/>
    <x v="2"/>
    <n v="4500"/>
    <n v="0"/>
    <n v="4500"/>
    <n v="10000"/>
    <n v="100"/>
    <x v="12"/>
    <x v="12"/>
    <s v="MOVIMIENTO CF+AA AMPM06"/>
    <x v="142"/>
    <s v="crivera"/>
    <s v="PMTRX00084374"/>
    <n v="4921306"/>
    <n v="1"/>
    <n v="6"/>
    <s v=""/>
  </r>
  <r>
    <n v="3021130"/>
    <x v="7"/>
    <x v="2"/>
    <x v="2"/>
    <n v="14000"/>
    <n v="0"/>
    <n v="14000"/>
    <n v="10000"/>
    <n v="100"/>
    <x v="12"/>
    <x v="12"/>
    <s v="MOVIMIENTO CF+AA AMPM06"/>
    <x v="140"/>
    <s v="crivera"/>
    <s v="PMTRX00084374"/>
    <n v="4921306"/>
    <n v="1"/>
    <n v="6"/>
    <s v=""/>
  </r>
  <r>
    <n v="3021130"/>
    <x v="7"/>
    <x v="2"/>
    <x v="2"/>
    <n v="25000"/>
    <n v="0"/>
    <n v="25000"/>
    <n v="10000"/>
    <n v="100"/>
    <x v="12"/>
    <x v="12"/>
    <s v="MOVIMIENTO CF+AA AMPM06"/>
    <x v="146"/>
    <s v="crivera"/>
    <s v="PMTRX00084374"/>
    <n v="4921306"/>
    <n v="1"/>
    <n v="6"/>
    <s v=""/>
  </r>
  <r>
    <n v="3021130"/>
    <x v="7"/>
    <x v="2"/>
    <x v="2"/>
    <n v="14000"/>
    <n v="0"/>
    <n v="14000"/>
    <n v="10000"/>
    <n v="100"/>
    <x v="12"/>
    <x v="12"/>
    <s v="MOVIMIENTO CF+AA AMPM06"/>
    <x v="144"/>
    <s v="crivera"/>
    <s v="PMTRX00084374"/>
    <n v="4921306"/>
    <n v="1"/>
    <n v="6"/>
    <s v=""/>
  </r>
  <r>
    <n v="3021130"/>
    <x v="7"/>
    <x v="2"/>
    <x v="2"/>
    <n v="2500"/>
    <n v="0"/>
    <n v="2500"/>
    <n v="10000"/>
    <n v="100"/>
    <x v="12"/>
    <x v="12"/>
    <s v="MOVIMIENTO CF+AA AMPM06"/>
    <x v="141"/>
    <s v="crivera"/>
    <s v="PMTRX00084374"/>
    <n v="4921306"/>
    <n v="1"/>
    <n v="6"/>
    <s v=""/>
  </r>
  <r>
    <n v="3021130"/>
    <x v="7"/>
    <x v="2"/>
    <x v="2"/>
    <n v="2500"/>
    <n v="0"/>
    <n v="2500"/>
    <n v="10000"/>
    <n v="100"/>
    <x v="12"/>
    <x v="12"/>
    <s v="MOVIMIENTO CF+AA AMPM06"/>
    <x v="143"/>
    <s v="crivera"/>
    <s v="PMTRX00084374"/>
    <n v="4921306"/>
    <n v="1"/>
    <n v="6"/>
    <s v=""/>
  </r>
  <r>
    <n v="3054360"/>
    <x v="6"/>
    <x v="2"/>
    <x v="2"/>
    <n v="1800"/>
    <n v="0"/>
    <n v="1800"/>
    <n v="10000"/>
    <n v="100"/>
    <x v="27"/>
    <x v="27"/>
    <s v="MT EQUIPO EN TIENDA A29"/>
    <x v="147"/>
    <s v="xmaltez"/>
    <s v="PMTRX00085248"/>
    <n v="4946957"/>
    <n v="1"/>
    <n v="36"/>
    <s v=""/>
  </r>
  <r>
    <n v="3054265"/>
    <x v="6"/>
    <x v="2"/>
    <x v="2"/>
    <n v="8000"/>
    <n v="0"/>
    <n v="8000"/>
    <n v="10000"/>
    <n v="100"/>
    <x v="39"/>
    <x v="39"/>
    <s v="MT EQUIPO EN TIENDA A46"/>
    <x v="148"/>
    <s v="xmaltez"/>
    <s v="PMTRX00085236"/>
    <n v="4946902"/>
    <n v="1"/>
    <n v="60"/>
    <s v=""/>
  </r>
  <r>
    <n v="3054358"/>
    <x v="6"/>
    <x v="2"/>
    <x v="2"/>
    <n v="8420"/>
    <n v="0"/>
    <n v="8420"/>
    <n v="10000"/>
    <n v="100"/>
    <x v="67"/>
    <x v="67"/>
    <s v="MT EQUIPO EN TIENDA A51"/>
    <x v="149"/>
    <s v="xmaltez"/>
    <s v="PMTRX00085248"/>
    <n v="4946956"/>
    <n v="1"/>
    <n v="65"/>
    <s v=""/>
  </r>
  <r>
    <n v="3054287"/>
    <x v="6"/>
    <x v="2"/>
    <x v="2"/>
    <n v="8860"/>
    <n v="0"/>
    <n v="8860"/>
    <n v="10000"/>
    <n v="100"/>
    <x v="68"/>
    <x v="68"/>
    <s v="MT MOTOR FAN A59"/>
    <x v="150"/>
    <s v="xmaltez"/>
    <s v="PMTRX00085236"/>
    <n v="4946912"/>
    <n v="1"/>
    <n v="75"/>
    <s v=""/>
  </r>
  <r>
    <n v="3054298"/>
    <x v="6"/>
    <x v="2"/>
    <x v="2"/>
    <n v="46000"/>
    <n v="0"/>
    <n v="46000"/>
    <n v="10000"/>
    <n v="100"/>
    <x v="49"/>
    <x v="49"/>
    <s v="MT EQUIPO EN TIENDA A65"/>
    <x v="151"/>
    <s v="xmaltez"/>
    <s v="PMTRX00085236"/>
    <n v="4946914"/>
    <n v="1"/>
    <n v="81"/>
    <s v=""/>
  </r>
  <r>
    <n v="3053126"/>
    <x v="7"/>
    <x v="2"/>
    <x v="2"/>
    <n v="6100"/>
    <n v="0"/>
    <n v="6100"/>
    <n v="10000"/>
    <n v="100"/>
    <x v="57"/>
    <x v="57"/>
    <s v="MT EQUIPO EN  TIENDA A75"/>
    <x v="152"/>
    <s v="xmaltez"/>
    <s v="PMTRX00085101"/>
    <n v="4945107"/>
    <n v="1"/>
    <n v="91"/>
    <s v=""/>
  </r>
  <r>
    <n v="3068044"/>
    <x v="7"/>
    <x v="3"/>
    <x v="3"/>
    <n v="0"/>
    <n v="3700"/>
    <n v="-3700"/>
    <n v="10000"/>
    <n v="100"/>
    <x v="3"/>
    <x v="3"/>
    <s v="MANT PREVENTIVO IMPRESORA-ADM"/>
    <x v="153"/>
    <s v="jlopez"/>
    <s v="GLTRX00965212"/>
    <n v="4958908"/>
    <n v="1"/>
    <n v="27"/>
    <s v=""/>
  </r>
  <r>
    <n v="3054422"/>
    <x v="6"/>
    <x v="3"/>
    <x v="3"/>
    <n v="1920"/>
    <n v="0"/>
    <n v="1920"/>
    <n v="10000"/>
    <n v="100"/>
    <x v="3"/>
    <x v="3"/>
    <s v="MT OFICINA/ LIMPIEZA DRENAJE"/>
    <x v="154"/>
    <s v="xmaltez"/>
    <s v="PMTRX00085253"/>
    <n v="4947020"/>
    <n v="1"/>
    <n v="27"/>
    <s v=""/>
  </r>
  <r>
    <n v="3053123"/>
    <x v="7"/>
    <x v="3"/>
    <x v="3"/>
    <n v="2500"/>
    <n v="0"/>
    <n v="2500"/>
    <n v="10000"/>
    <n v="100"/>
    <x v="3"/>
    <x v="3"/>
    <s v="ANTENIMIENTO OFICINA"/>
    <x v="155"/>
    <s v="xmaltez"/>
    <s v="PMTRX00085101"/>
    <n v="4945106"/>
    <n v="1"/>
    <n v="27"/>
    <s v=""/>
  </r>
  <r>
    <n v="3043210"/>
    <x v="13"/>
    <x v="3"/>
    <x v="3"/>
    <n v="1486.95"/>
    <n v="0"/>
    <n v="1486.95"/>
    <n v="10000"/>
    <n v="100"/>
    <x v="3"/>
    <x v="3"/>
    <s v="MT EQUIPO A/A  ARCHIVO"/>
    <x v="156"/>
    <s v="xmaltez"/>
    <s v="PMTRX00084828"/>
    <n v="4937758"/>
    <n v="1"/>
    <n v="27"/>
    <s v=""/>
  </r>
  <r>
    <n v="3009121"/>
    <x v="7"/>
    <x v="3"/>
    <x v="3"/>
    <n v="3700"/>
    <n v="0"/>
    <n v="3700"/>
    <n v="10000"/>
    <n v="100"/>
    <x v="3"/>
    <x v="3"/>
    <s v="MANT PREVENTIVO IMPRESORA-ADM"/>
    <x v="153"/>
    <s v="jlopez"/>
    <s v="PMTRX00084221"/>
    <n v="4411001"/>
    <n v="1"/>
    <n v="27"/>
    <s v=""/>
  </r>
  <r>
    <n v="3053096"/>
    <x v="7"/>
    <x v="3"/>
    <x v="3"/>
    <n v="95000"/>
    <n v="0"/>
    <n v="95000"/>
    <n v="10000"/>
    <n v="100"/>
    <x v="4"/>
    <x v="4"/>
    <s v="MT EN TIENDA CELOXA"/>
    <x v="157"/>
    <s v="xmaltez"/>
    <s v="PMTRX00085101"/>
    <n v="4945097"/>
    <n v="1"/>
    <n v="33"/>
    <s v=""/>
  </r>
  <r>
    <n v="3068045"/>
    <x v="7"/>
    <x v="3"/>
    <x v="3"/>
    <n v="0"/>
    <n v="3330"/>
    <n v="-3330"/>
    <n v="10000"/>
    <n v="100"/>
    <x v="6"/>
    <x v="6"/>
    <s v="MANT PREVENTIVO IMPRESORA-SIST"/>
    <x v="158"/>
    <s v="jlopez"/>
    <s v="GLTRX00965212"/>
    <n v="4958909"/>
    <n v="1"/>
    <n v="31"/>
    <s v=""/>
  </r>
  <r>
    <n v="3063600"/>
    <x v="7"/>
    <x v="3"/>
    <x v="3"/>
    <n v="5850"/>
    <n v="0"/>
    <n v="5850"/>
    <n v="10000"/>
    <n v="100"/>
    <x v="6"/>
    <x v="6"/>
    <s v="DISPENSADOR DE 3 SALSERA A89"/>
    <x v="159"/>
    <s v="xmaltez"/>
    <s v="PMTRX00085264"/>
    <n v="4955116"/>
    <n v="1"/>
    <n v="31"/>
    <s v=""/>
  </r>
  <r>
    <n v="3009123"/>
    <x v="7"/>
    <x v="3"/>
    <x v="3"/>
    <n v="3330"/>
    <n v="0"/>
    <n v="3330"/>
    <n v="10000"/>
    <n v="100"/>
    <x v="6"/>
    <x v="6"/>
    <s v="MANT PREVENTIVO IMPRESORA-SIST"/>
    <x v="158"/>
    <s v="jlopez"/>
    <s v="PMTRX00084221"/>
    <n v="4411002"/>
    <n v="1"/>
    <n v="31"/>
    <s v=""/>
  </r>
  <r>
    <n v="3043233"/>
    <x v="13"/>
    <x v="3"/>
    <x v="3"/>
    <n v="4460.8500000000004"/>
    <n v="0"/>
    <n v="4460.8500000000004"/>
    <n v="10000"/>
    <n v="100"/>
    <x v="7"/>
    <x v="7"/>
    <s v="MT EQUIPO EN FRIO /PANADERIA"/>
    <x v="160"/>
    <s v="xmaltez"/>
    <s v="PMTRX00084828"/>
    <n v="4937762"/>
    <n v="1"/>
    <n v="32"/>
    <s v=""/>
  </r>
  <r>
    <n v="3043228"/>
    <x v="13"/>
    <x v="3"/>
    <x v="3"/>
    <n v="6592.38"/>
    <n v="0"/>
    <n v="6592.38"/>
    <n v="10000"/>
    <n v="100"/>
    <x v="7"/>
    <x v="7"/>
    <s v="MT EQUIPO EN FRIO PANADERIA"/>
    <x v="161"/>
    <s v="xmaltez"/>
    <s v="PMTRX00084828"/>
    <n v="4937761"/>
    <n v="1"/>
    <n v="32"/>
    <s v=""/>
  </r>
  <r>
    <n v="3043202"/>
    <x v="14"/>
    <x v="3"/>
    <x v="3"/>
    <n v="3740"/>
    <n v="0"/>
    <n v="3740"/>
    <n v="10000"/>
    <n v="100"/>
    <x v="7"/>
    <x v="7"/>
    <s v="MT EQUIPO PANADERIA"/>
    <x v="162"/>
    <s v="xmaltez"/>
    <s v="PMTRX00084828"/>
    <n v="4937752"/>
    <n v="1"/>
    <n v="32"/>
    <s v=""/>
  </r>
  <r>
    <n v="3062380"/>
    <x v="11"/>
    <x v="3"/>
    <x v="3"/>
    <n v="6550.27"/>
    <n v="0"/>
    <n v="6550.27"/>
    <n v="10000"/>
    <n v="100"/>
    <x v="9"/>
    <x v="9"/>
    <s v="EQUIPOS FRIOS Y A.A.A03"/>
    <x v="163"/>
    <s v="xmaltez"/>
    <s v="PMTRX00085260"/>
    <n v="4947909"/>
    <n v="1"/>
    <n v="3"/>
    <s v=""/>
  </r>
  <r>
    <n v="3062403"/>
    <x v="0"/>
    <x v="3"/>
    <x v="3"/>
    <n v="1098.73"/>
    <n v="0"/>
    <n v="1098.73"/>
    <n v="10000"/>
    <n v="100"/>
    <x v="10"/>
    <x v="10"/>
    <s v="SIST ELECTRICO MUEBLE A04"/>
    <x v="164"/>
    <s v="xmaltez"/>
    <s v="PMTRX00085262"/>
    <n v="4955099"/>
    <n v="1"/>
    <n v="4"/>
    <s v=""/>
  </r>
  <r>
    <n v="3053157"/>
    <x v="6"/>
    <x v="3"/>
    <x v="3"/>
    <n v="4300"/>
    <n v="0"/>
    <n v="4300"/>
    <n v="10000"/>
    <n v="100"/>
    <x v="12"/>
    <x v="12"/>
    <s v="MT EN TIENDA A06"/>
    <x v="165"/>
    <s v="xmaltez"/>
    <s v="PMTRX00085124"/>
    <n v="4945805"/>
    <n v="1"/>
    <n v="6"/>
    <s v=""/>
  </r>
  <r>
    <n v="3043213"/>
    <x v="13"/>
    <x v="3"/>
    <x v="3"/>
    <n v="732.49"/>
    <n v="0"/>
    <n v="732.49"/>
    <n v="10000"/>
    <n v="100"/>
    <x v="12"/>
    <x v="12"/>
    <s v="MT EQUIPO EN TIENDA A06"/>
    <x v="166"/>
    <s v="xmaltez"/>
    <s v="PMTRX00084828"/>
    <n v="4937759"/>
    <n v="1"/>
    <n v="6"/>
    <s v=""/>
  </r>
  <r>
    <n v="3062381"/>
    <x v="11"/>
    <x v="3"/>
    <x v="3"/>
    <n v="5493.65"/>
    <n v="0"/>
    <n v="5493.65"/>
    <n v="10000"/>
    <n v="100"/>
    <x v="69"/>
    <x v="69"/>
    <s v="REPARACION DE DUCTOS.A07"/>
    <x v="163"/>
    <s v="xmaltez"/>
    <s v="PMTRX00085260"/>
    <n v="4947910"/>
    <n v="1"/>
    <n v="7"/>
    <s v=""/>
  </r>
  <r>
    <n v="3062378"/>
    <x v="11"/>
    <x v="3"/>
    <x v="3"/>
    <n v="2563.6999999999998"/>
    <n v="0"/>
    <n v="2563.6999999999998"/>
    <n v="10000"/>
    <n v="100"/>
    <x v="13"/>
    <x v="13"/>
    <s v="TOMA CORREINTE.A08"/>
    <x v="163"/>
    <s v="xmaltez"/>
    <s v="PMTRX00085260"/>
    <n v="4947907"/>
    <n v="1"/>
    <n v="8"/>
    <s v=""/>
  </r>
  <r>
    <n v="3062392"/>
    <x v="8"/>
    <x v="3"/>
    <x v="3"/>
    <n v="8747.73"/>
    <n v="0"/>
    <n v="8747.73"/>
    <n v="10000"/>
    <n v="100"/>
    <x v="14"/>
    <x v="14"/>
    <s v="MT EQUIPO EN FRIO A09"/>
    <x v="167"/>
    <s v="xmaltez"/>
    <s v="PMTRX00085261"/>
    <n v="4947928"/>
    <n v="1"/>
    <n v="9"/>
    <s v=""/>
  </r>
  <r>
    <n v="3062382"/>
    <x v="11"/>
    <x v="3"/>
    <x v="3"/>
    <n v="1098.72"/>
    <n v="0"/>
    <n v="1098.72"/>
    <n v="10000"/>
    <n v="100"/>
    <x v="14"/>
    <x v="14"/>
    <s v="INSTLACION DE BUJAS.A09"/>
    <x v="163"/>
    <s v="xmaltez"/>
    <s v="PMTRX00085260"/>
    <n v="4947911"/>
    <n v="1"/>
    <n v="9"/>
    <s v=""/>
  </r>
  <r>
    <n v="3062374"/>
    <x v="11"/>
    <x v="3"/>
    <x v="3"/>
    <n v="25270.78"/>
    <n v="0"/>
    <n v="25270.78"/>
    <n v="10000"/>
    <n v="100"/>
    <x v="14"/>
    <x v="14"/>
    <s v="HABILITACION DE MH.A09"/>
    <x v="163"/>
    <s v="xmaltez"/>
    <s v="PMTRX00085260"/>
    <n v="4947903"/>
    <n v="1"/>
    <n v="9"/>
    <s v=""/>
  </r>
  <r>
    <n v="3062388"/>
    <x v="8"/>
    <x v="3"/>
    <x v="3"/>
    <n v="6550.27"/>
    <n v="0"/>
    <n v="6550.27"/>
    <n v="10000"/>
    <n v="100"/>
    <x v="70"/>
    <x v="70"/>
    <s v="MT EQUIPO EN FRIO A10"/>
    <x v="168"/>
    <s v="xmaltez"/>
    <s v="PMTRX00085261"/>
    <n v="4947924"/>
    <n v="1"/>
    <n v="10"/>
    <s v=""/>
  </r>
  <r>
    <n v="3062401"/>
    <x v="3"/>
    <x v="3"/>
    <x v="3"/>
    <n v="549.36"/>
    <n v="0"/>
    <n v="549.36"/>
    <n v="10000"/>
    <n v="100"/>
    <x v="15"/>
    <x v="15"/>
    <s v="INSTA LUMINARIA A12"/>
    <x v="169"/>
    <s v="xmaltez"/>
    <s v="PMTRX00085262"/>
    <n v="4955098"/>
    <n v="1"/>
    <n v="12"/>
    <s v=""/>
  </r>
  <r>
    <n v="3062376"/>
    <x v="11"/>
    <x v="3"/>
    <x v="3"/>
    <n v="732.49"/>
    <n v="0"/>
    <n v="732.49"/>
    <n v="10000"/>
    <n v="100"/>
    <x v="15"/>
    <x v="15"/>
    <s v="LIMPIEZA DE DRENAJE.A12"/>
    <x v="163"/>
    <s v="xmaltez"/>
    <s v="PMTRX00085260"/>
    <n v="4947905"/>
    <n v="1"/>
    <n v="12"/>
    <s v=""/>
  </r>
  <r>
    <n v="3043227"/>
    <x v="13"/>
    <x v="3"/>
    <x v="3"/>
    <n v="5063.32"/>
    <n v="0"/>
    <n v="5063.32"/>
    <n v="10000"/>
    <n v="100"/>
    <x v="15"/>
    <x v="15"/>
    <s v="MT EQUIPO EN FRIO A12"/>
    <x v="170"/>
    <s v="xmaltez"/>
    <s v="PMTRX00084828"/>
    <n v="4937760"/>
    <n v="1"/>
    <n v="12"/>
    <s v=""/>
  </r>
  <r>
    <n v="3062391"/>
    <x v="3"/>
    <x v="3"/>
    <x v="3"/>
    <n v="5493.65"/>
    <n v="0"/>
    <n v="5493.65"/>
    <n v="10000"/>
    <n v="100"/>
    <x v="71"/>
    <x v="71"/>
    <s v="MT EQUIPO EN TIENDA A15"/>
    <x v="171"/>
    <s v="xmaltez"/>
    <s v="PMTRX00085261"/>
    <n v="4947927"/>
    <n v="1"/>
    <n v="15"/>
    <s v=""/>
  </r>
  <r>
    <n v="3062384"/>
    <x v="11"/>
    <x v="3"/>
    <x v="3"/>
    <n v="8789.82"/>
    <n v="0"/>
    <n v="8789.82"/>
    <n v="10000"/>
    <n v="100"/>
    <x v="71"/>
    <x v="71"/>
    <s v="PROTECTO VOLTAJE .A15"/>
    <x v="163"/>
    <s v="xmaltez"/>
    <s v="PMTRX00085260"/>
    <n v="4947913"/>
    <n v="1"/>
    <n v="15"/>
    <s v=""/>
  </r>
  <r>
    <n v="3062383"/>
    <x v="11"/>
    <x v="3"/>
    <x v="3"/>
    <n v="6550.27"/>
    <n v="0"/>
    <n v="6550.27"/>
    <n v="10000"/>
    <n v="100"/>
    <x v="71"/>
    <x v="71"/>
    <s v="EQUIPOS FRIOS Y A.A.A15"/>
    <x v="163"/>
    <s v="xmaltez"/>
    <s v="PMTRX00085260"/>
    <n v="4947912"/>
    <n v="1"/>
    <n v="15"/>
    <s v=""/>
  </r>
  <r>
    <n v="3043209"/>
    <x v="13"/>
    <x v="3"/>
    <x v="3"/>
    <n v="1831.22"/>
    <n v="0"/>
    <n v="1831.22"/>
    <n v="10000"/>
    <n v="100"/>
    <x v="71"/>
    <x v="71"/>
    <s v="MT EQUIPO EN TIENDA A15"/>
    <x v="172"/>
    <s v="xmaltez"/>
    <s v="PMTRX00084828"/>
    <n v="4937757"/>
    <n v="1"/>
    <n v="15"/>
    <s v=""/>
  </r>
  <r>
    <n v="3063591"/>
    <x v="8"/>
    <x v="3"/>
    <x v="3"/>
    <n v="6333.44"/>
    <n v="0"/>
    <n v="6333.44"/>
    <n v="10000"/>
    <n v="100"/>
    <x v="19"/>
    <x v="19"/>
    <s v="REPARACION DE PLANTA A18"/>
    <x v="173"/>
    <s v="xmaltez"/>
    <s v="PMTRX00085262"/>
    <n v="4955108"/>
    <n v="1"/>
    <n v="18"/>
    <s v=""/>
  </r>
  <r>
    <n v="3009125"/>
    <x v="7"/>
    <x v="3"/>
    <x v="3"/>
    <n v="1850"/>
    <n v="0"/>
    <n v="1850"/>
    <n v="10000"/>
    <n v="100"/>
    <x v="19"/>
    <x v="19"/>
    <s v="MANT PREVENTIVO IMPRESORA A18"/>
    <x v="174"/>
    <s v="jlopez"/>
    <s v="PMTRX00084221"/>
    <n v="4411004"/>
    <n v="1"/>
    <n v="18"/>
    <s v=""/>
  </r>
  <r>
    <n v="3062379"/>
    <x v="11"/>
    <x v="3"/>
    <x v="3"/>
    <n v="6592.38"/>
    <n v="0"/>
    <n v="6592.38"/>
    <n v="10000"/>
    <n v="100"/>
    <x v="20"/>
    <x v="20"/>
    <s v="SUMINSTRO E INSTALACION .A19"/>
    <x v="163"/>
    <s v="xmaltez"/>
    <s v="PMTRX00085260"/>
    <n v="4947908"/>
    <n v="1"/>
    <n v="19"/>
    <s v=""/>
  </r>
  <r>
    <n v="3062377"/>
    <x v="11"/>
    <x v="3"/>
    <x v="3"/>
    <n v="4394.92"/>
    <n v="0"/>
    <n v="4394.92"/>
    <n v="10000"/>
    <n v="100"/>
    <x v="20"/>
    <x v="20"/>
    <s v="SUMIINI DE FULL GATE.A19"/>
    <x v="163"/>
    <s v="xmaltez"/>
    <s v="PMTRX00085260"/>
    <n v="4947906"/>
    <n v="1"/>
    <n v="19"/>
    <s v=""/>
  </r>
  <r>
    <n v="3062373"/>
    <x v="11"/>
    <x v="3"/>
    <x v="3"/>
    <n v="3662.43"/>
    <n v="0"/>
    <n v="3662.43"/>
    <n v="10000"/>
    <n v="100"/>
    <x v="20"/>
    <x v="20"/>
    <s v="PROTECTOR WAGNER .A19"/>
    <x v="163"/>
    <s v="xmaltez"/>
    <s v="PMTRX00085260"/>
    <n v="4947902"/>
    <n v="1"/>
    <n v="19"/>
    <s v=""/>
  </r>
  <r>
    <n v="3054356"/>
    <x v="6"/>
    <x v="3"/>
    <x v="3"/>
    <n v="8160"/>
    <n v="0"/>
    <n v="8160"/>
    <n v="10000"/>
    <n v="100"/>
    <x v="21"/>
    <x v="21"/>
    <s v="MT EQUIPO EN TIENDA A20"/>
    <x v="175"/>
    <s v="xmaltez"/>
    <s v="PMTRX00085248"/>
    <n v="4946954"/>
    <n v="1"/>
    <n v="20"/>
    <s v=""/>
  </r>
  <r>
    <n v="3054268"/>
    <x v="6"/>
    <x v="3"/>
    <x v="3"/>
    <n v="7700"/>
    <n v="0"/>
    <n v="7700"/>
    <n v="10000"/>
    <n v="100"/>
    <x v="22"/>
    <x v="22"/>
    <s v="MT EQUIPO EN FRIO A21"/>
    <x v="176"/>
    <s v="xmaltez"/>
    <s v="PMTRX00085236"/>
    <n v="4946903"/>
    <n v="1"/>
    <n v="21"/>
    <s v=""/>
  </r>
  <r>
    <n v="3062371"/>
    <x v="11"/>
    <x v="3"/>
    <x v="3"/>
    <n v="1464.98"/>
    <n v="0"/>
    <n v="1464.98"/>
    <n v="10000"/>
    <n v="100"/>
    <x v="23"/>
    <x v="23"/>
    <s v="INSPECCION AIRE A.A23"/>
    <x v="163"/>
    <s v="xmaltez"/>
    <s v="PMTRX00085260"/>
    <n v="4947900"/>
    <n v="1"/>
    <n v="23"/>
    <s v=""/>
  </r>
  <r>
    <n v="3062370"/>
    <x v="11"/>
    <x v="3"/>
    <x v="3"/>
    <n v="3296.2"/>
    <n v="0"/>
    <n v="3296.2"/>
    <n v="10000"/>
    <n v="100"/>
    <x v="23"/>
    <x v="23"/>
    <s v="SUMINSTRO LAMAP LED.A23"/>
    <x v="163"/>
    <s v="xmaltez"/>
    <s v="PMTRX00085260"/>
    <n v="4947899"/>
    <n v="1"/>
    <n v="23"/>
    <s v=""/>
  </r>
  <r>
    <n v="3088455"/>
    <x v="3"/>
    <x v="3"/>
    <x v="3"/>
    <n v="4921.74"/>
    <n v="0"/>
    <n v="4921.74"/>
    <n v="10000"/>
    <n v="100"/>
    <x v="24"/>
    <x v="24"/>
    <s v="MT MAQUINA HOTDOG A25"/>
    <x v="177"/>
    <s v="xmaltez"/>
    <s v="PMTRX00085875"/>
    <n v="4975496"/>
    <n v="1"/>
    <n v="25"/>
    <s v=""/>
  </r>
  <r>
    <n v="3063592"/>
    <x v="8"/>
    <x v="3"/>
    <x v="3"/>
    <n v="17378.23"/>
    <n v="0"/>
    <n v="17378.23"/>
    <n v="10000"/>
    <n v="100"/>
    <x v="24"/>
    <x v="24"/>
    <s v="MT DE  PLANTA A25"/>
    <x v="178"/>
    <s v="xmaltez"/>
    <s v="PMTRX00085262"/>
    <n v="4955109"/>
    <n v="1"/>
    <n v="25"/>
    <s v=""/>
  </r>
  <r>
    <n v="3009124"/>
    <x v="7"/>
    <x v="3"/>
    <x v="3"/>
    <n v="1850"/>
    <n v="0"/>
    <n v="1850"/>
    <n v="10000"/>
    <n v="100"/>
    <x v="24"/>
    <x v="24"/>
    <s v="MANT PREVENTIVO IMPRESORA A25"/>
    <x v="179"/>
    <s v="jlopez"/>
    <s v="PMTRX00084221"/>
    <n v="4411003"/>
    <n v="1"/>
    <n v="25"/>
    <s v=""/>
  </r>
  <r>
    <n v="3053182"/>
    <x v="8"/>
    <x v="3"/>
    <x v="3"/>
    <n v="7700"/>
    <n v="0"/>
    <n v="7700"/>
    <n v="10000"/>
    <n v="100"/>
    <x v="27"/>
    <x v="27"/>
    <s v="MT EQUIPO EN FRIO A29"/>
    <x v="180"/>
    <s v="xmaltez"/>
    <s v="PMTRX00085124"/>
    <n v="4945811"/>
    <n v="1"/>
    <n v="36"/>
    <s v=""/>
  </r>
  <r>
    <n v="3053181"/>
    <x v="8"/>
    <x v="3"/>
    <x v="3"/>
    <n v="53000"/>
    <n v="0"/>
    <n v="53000"/>
    <n v="10000"/>
    <n v="100"/>
    <x v="27"/>
    <x v="27"/>
    <s v="MT EQUIPO EN FRIO A29"/>
    <x v="181"/>
    <s v="xmaltez"/>
    <s v="PMTRX00085124"/>
    <n v="4945810"/>
    <n v="1"/>
    <n v="36"/>
    <s v=""/>
  </r>
  <r>
    <n v="3053113"/>
    <x v="0"/>
    <x v="3"/>
    <x v="3"/>
    <n v="600"/>
    <n v="0"/>
    <n v="600"/>
    <n v="10000"/>
    <n v="100"/>
    <x v="72"/>
    <x v="72"/>
    <s v="INST DE LUMINARIA A30"/>
    <x v="182"/>
    <s v="xmaltez"/>
    <s v="PMTRX00085101"/>
    <n v="4945103"/>
    <n v="1"/>
    <n v="37"/>
    <s v=""/>
  </r>
  <r>
    <n v="3053099"/>
    <x v="0"/>
    <x v="3"/>
    <x v="3"/>
    <n v="7660"/>
    <n v="0"/>
    <n v="7660"/>
    <n v="10000"/>
    <n v="100"/>
    <x v="72"/>
    <x v="72"/>
    <s v="MT EQUIPO EN FRIO A30"/>
    <x v="183"/>
    <s v="xmaltez"/>
    <s v="PMTRX00085101"/>
    <n v="4945099"/>
    <n v="1"/>
    <n v="37"/>
    <s v=""/>
  </r>
  <r>
    <n v="3054230"/>
    <x v="6"/>
    <x v="3"/>
    <x v="3"/>
    <n v="7880"/>
    <n v="0"/>
    <n v="7880"/>
    <n v="10000"/>
    <n v="100"/>
    <x v="28"/>
    <x v="28"/>
    <s v="MT EQUIPO EN FRIO A31"/>
    <x v="184"/>
    <s v="xmaltez"/>
    <s v="PMTRX00085231"/>
    <n v="4947917"/>
    <n v="1"/>
    <n v="38"/>
    <s v=""/>
  </r>
  <r>
    <n v="3053191"/>
    <x v="6"/>
    <x v="3"/>
    <x v="3"/>
    <n v="6300"/>
    <n v="0"/>
    <n v="6300"/>
    <n v="10000"/>
    <n v="100"/>
    <x v="28"/>
    <x v="28"/>
    <s v="MT EQUIPO EN TIENDA A31"/>
    <x v="185"/>
    <s v="xmaltez"/>
    <s v="PMTRX00085124"/>
    <n v="4945818"/>
    <n v="1"/>
    <n v="38"/>
    <s v=""/>
  </r>
  <r>
    <n v="3053156"/>
    <x v="6"/>
    <x v="3"/>
    <x v="3"/>
    <n v="3420"/>
    <n v="0"/>
    <n v="3420"/>
    <n v="10000"/>
    <n v="100"/>
    <x v="30"/>
    <x v="30"/>
    <s v="MT LIMPIEZA DRENAJE A33"/>
    <x v="186"/>
    <s v="xmaltez"/>
    <s v="PMTRX00085124"/>
    <n v="4945804"/>
    <n v="1"/>
    <n v="39"/>
    <s v=""/>
  </r>
  <r>
    <n v="3055780"/>
    <x v="15"/>
    <x v="3"/>
    <x v="3"/>
    <n v="1500"/>
    <n v="0"/>
    <n v="1500"/>
    <n v="10000"/>
    <n v="100"/>
    <x v="31"/>
    <x v="31"/>
    <s v="REV EQUIPO A34"/>
    <x v="163"/>
    <s v="xmaltez"/>
    <s v="PMTRX00085254"/>
    <n v="4947040"/>
    <n v="1"/>
    <n v="41"/>
    <s v=""/>
  </r>
  <r>
    <n v="3054246"/>
    <x v="6"/>
    <x v="3"/>
    <x v="3"/>
    <n v="8420"/>
    <n v="0"/>
    <n v="8420"/>
    <n v="10000"/>
    <n v="100"/>
    <x v="31"/>
    <x v="31"/>
    <s v="MT EQUIPO EN FRIO A34"/>
    <x v="187"/>
    <s v="xmaltez"/>
    <s v="PMTRX00085236"/>
    <n v="4946899"/>
    <n v="1"/>
    <n v="41"/>
    <s v=""/>
  </r>
  <r>
    <n v="3041877"/>
    <x v="0"/>
    <x v="3"/>
    <x v="3"/>
    <n v="9888.56"/>
    <n v="0"/>
    <n v="9888.56"/>
    <n v="10000"/>
    <n v="100"/>
    <x v="73"/>
    <x v="73"/>
    <s v="MT EN TIENDA A35"/>
    <x v="188"/>
    <s v="xmaltez"/>
    <s v="PMTRX00084826"/>
    <n v="4937722"/>
    <n v="1"/>
    <n v="43"/>
    <s v=""/>
  </r>
  <r>
    <n v="3053166"/>
    <x v="6"/>
    <x v="3"/>
    <x v="3"/>
    <n v="2280"/>
    <n v="0"/>
    <n v="2280"/>
    <n v="10000"/>
    <n v="100"/>
    <x v="74"/>
    <x v="74"/>
    <s v="MT EQUIPO EN FRIO A36"/>
    <x v="189"/>
    <s v="xmaltez"/>
    <s v="PMTRX00085124"/>
    <n v="4945807"/>
    <n v="1"/>
    <n v="44"/>
    <s v=""/>
  </r>
  <r>
    <n v="3053111"/>
    <x v="0"/>
    <x v="3"/>
    <x v="3"/>
    <n v="600"/>
    <n v="0"/>
    <n v="600"/>
    <n v="10000"/>
    <n v="100"/>
    <x v="32"/>
    <x v="32"/>
    <s v="MT EQUIPO EN TIENDA A37"/>
    <x v="190"/>
    <s v="xmaltez"/>
    <s v="PMTRX00085101"/>
    <n v="4945102"/>
    <n v="1"/>
    <n v="42"/>
    <s v=""/>
  </r>
  <r>
    <n v="3053098"/>
    <x v="0"/>
    <x v="3"/>
    <x v="3"/>
    <n v="7040"/>
    <n v="0"/>
    <n v="7040"/>
    <n v="10000"/>
    <n v="100"/>
    <x v="32"/>
    <x v="32"/>
    <s v="MT EQUIPO COMPUTO A37"/>
    <x v="191"/>
    <s v="xmaltez"/>
    <s v="PMTRX00085101"/>
    <n v="4945098"/>
    <n v="1"/>
    <n v="42"/>
    <s v=""/>
  </r>
  <r>
    <n v="3063594"/>
    <x v="4"/>
    <x v="3"/>
    <x v="3"/>
    <n v="8362"/>
    <n v="0"/>
    <n v="8362"/>
    <n v="10000"/>
    <n v="100"/>
    <x v="33"/>
    <x v="33"/>
    <s v="MT EQUIPOS EN FRIO A38"/>
    <x v="192"/>
    <s v="xmaltez"/>
    <s v="PMTRX00085262"/>
    <n v="4955111"/>
    <n v="1"/>
    <n v="47"/>
    <s v=""/>
  </r>
  <r>
    <n v="3041884"/>
    <x v="0"/>
    <x v="3"/>
    <x v="3"/>
    <n v="3479.31"/>
    <n v="0"/>
    <n v="3479.31"/>
    <n v="10000"/>
    <n v="100"/>
    <x v="33"/>
    <x v="33"/>
    <s v="MT EN TIENDA A38"/>
    <x v="193"/>
    <s v="xmaltez"/>
    <s v="PMTRX00084826"/>
    <n v="4937728"/>
    <n v="1"/>
    <n v="47"/>
    <s v=""/>
  </r>
  <r>
    <n v="3053115"/>
    <x v="7"/>
    <x v="3"/>
    <x v="3"/>
    <n v="750"/>
    <n v="0"/>
    <n v="750"/>
    <n v="10000"/>
    <n v="100"/>
    <x v="34"/>
    <x v="34"/>
    <s v="INST DE LUMINARIA A39"/>
    <x v="194"/>
    <s v="xmaltez"/>
    <s v="PMTRX00085101"/>
    <n v="4945104"/>
    <n v="1"/>
    <n v="48"/>
    <s v=""/>
  </r>
  <r>
    <n v="3041878"/>
    <x v="0"/>
    <x v="3"/>
    <x v="3"/>
    <n v="17030.3"/>
    <n v="0"/>
    <n v="17030.3"/>
    <n v="10000"/>
    <n v="100"/>
    <x v="34"/>
    <x v="34"/>
    <s v="MT EN TIENDA A39"/>
    <x v="195"/>
    <s v="xmaltez"/>
    <s v="PMTRX00084826"/>
    <n v="4937723"/>
    <n v="1"/>
    <n v="48"/>
    <s v=""/>
  </r>
  <r>
    <n v="3054236"/>
    <x v="6"/>
    <x v="3"/>
    <x v="3"/>
    <n v="7700"/>
    <n v="0"/>
    <n v="7700"/>
    <n v="10000"/>
    <n v="100"/>
    <x v="35"/>
    <x v="35"/>
    <s v="MT EQUIPO EN FRIO A40"/>
    <x v="196"/>
    <s v="xmaltez"/>
    <s v="PMTRX00085231"/>
    <n v="4947921"/>
    <n v="1"/>
    <n v="49"/>
    <s v=""/>
  </r>
  <r>
    <n v="3054433"/>
    <x v="23"/>
    <x v="3"/>
    <x v="3"/>
    <n v="6550"/>
    <n v="0"/>
    <n v="6550"/>
    <n v="10000"/>
    <n v="100"/>
    <x v="36"/>
    <x v="36"/>
    <s v="MT EN TIENDA A41"/>
    <x v="197"/>
    <s v="xmaltez"/>
    <s v="PMTRX00085253"/>
    <n v="4947031"/>
    <n v="1"/>
    <n v="50"/>
    <s v=""/>
  </r>
  <r>
    <n v="3053154"/>
    <x v="7"/>
    <x v="3"/>
    <x v="3"/>
    <n v="4840"/>
    <n v="0"/>
    <n v="4840"/>
    <n v="10000"/>
    <n v="100"/>
    <x v="36"/>
    <x v="36"/>
    <s v="MT EQUIPO EN FRIO A41"/>
    <x v="198"/>
    <s v="xmaltez"/>
    <s v="PMTRX00085124"/>
    <n v="4945802"/>
    <n v="1"/>
    <n v="50"/>
    <s v=""/>
  </r>
  <r>
    <n v="3055786"/>
    <x v="15"/>
    <x v="3"/>
    <x v="3"/>
    <n v="1860"/>
    <n v="0"/>
    <n v="1860"/>
    <n v="10000"/>
    <n v="100"/>
    <x v="37"/>
    <x v="37"/>
    <s v="LUMINARIA A42"/>
    <x v="163"/>
    <s v="xmaltez"/>
    <s v="PMTRX00085254"/>
    <n v="4947043"/>
    <n v="1"/>
    <n v="51"/>
    <s v=""/>
  </r>
  <r>
    <n v="3054432"/>
    <x v="23"/>
    <x v="3"/>
    <x v="3"/>
    <n v="2300"/>
    <n v="0"/>
    <n v="2300"/>
    <n v="10000"/>
    <n v="100"/>
    <x v="38"/>
    <x v="38"/>
    <s v="MT EN TIENDA A44"/>
    <x v="199"/>
    <s v="xmaltez"/>
    <s v="PMTRX00085253"/>
    <n v="4947030"/>
    <n v="1"/>
    <n v="57"/>
    <s v=""/>
  </r>
  <r>
    <n v="3054431"/>
    <x v="23"/>
    <x v="3"/>
    <x v="3"/>
    <n v="400"/>
    <n v="0"/>
    <n v="400"/>
    <n v="10000"/>
    <n v="100"/>
    <x v="38"/>
    <x v="38"/>
    <s v="MT EN TIENDA A44"/>
    <x v="200"/>
    <s v="xmaltez"/>
    <s v="PMTRX00085253"/>
    <n v="4947029"/>
    <n v="1"/>
    <n v="57"/>
    <s v=""/>
  </r>
  <r>
    <n v="3054427"/>
    <x v="23"/>
    <x v="3"/>
    <x v="3"/>
    <n v="7100"/>
    <n v="0"/>
    <n v="7100"/>
    <n v="10000"/>
    <n v="100"/>
    <x v="38"/>
    <x v="38"/>
    <s v="MT EQUIPO EN FRIO A44"/>
    <x v="201"/>
    <s v="xmaltez"/>
    <s v="PMTRX00085253"/>
    <n v="4947025"/>
    <n v="1"/>
    <n v="57"/>
    <s v=""/>
  </r>
  <r>
    <n v="3054423"/>
    <x v="6"/>
    <x v="3"/>
    <x v="3"/>
    <n v="7300"/>
    <n v="0"/>
    <n v="7300"/>
    <n v="10000"/>
    <n v="100"/>
    <x v="75"/>
    <x v="75"/>
    <s v="MT EN TIENDA A45"/>
    <x v="202"/>
    <s v="xmaltez"/>
    <s v="PMTRX00085253"/>
    <n v="4947021"/>
    <n v="1"/>
    <n v="59"/>
    <s v=""/>
  </r>
  <r>
    <n v="3053105"/>
    <x v="0"/>
    <x v="3"/>
    <x v="3"/>
    <n v="4500"/>
    <n v="0"/>
    <n v="4500"/>
    <n v="10000"/>
    <n v="100"/>
    <x v="75"/>
    <x v="75"/>
    <s v="MT EQUIPO EN FRIO A45"/>
    <x v="203"/>
    <s v="xmaltez"/>
    <s v="PMTRX00085101"/>
    <n v="4945100"/>
    <n v="1"/>
    <n v="59"/>
    <s v=""/>
  </r>
  <r>
    <n v="3054250"/>
    <x v="6"/>
    <x v="3"/>
    <x v="3"/>
    <n v="9140"/>
    <n v="0"/>
    <n v="9140"/>
    <n v="10000"/>
    <n v="100"/>
    <x v="39"/>
    <x v="39"/>
    <s v="MT EQUIPO EN FRIO A46"/>
    <x v="204"/>
    <s v="xmaltez"/>
    <s v="PMTRX00085236"/>
    <n v="4946900"/>
    <n v="1"/>
    <n v="60"/>
    <s v=""/>
  </r>
  <r>
    <n v="3054426"/>
    <x v="23"/>
    <x v="3"/>
    <x v="3"/>
    <n v="7100"/>
    <n v="0"/>
    <n v="7100"/>
    <n v="10000"/>
    <n v="100"/>
    <x v="76"/>
    <x v="76"/>
    <s v="MT EQUIPO EN FRIO A47"/>
    <x v="205"/>
    <s v="xmaltez"/>
    <s v="PMTRX00085253"/>
    <n v="4947024"/>
    <n v="1"/>
    <n v="61"/>
    <s v=""/>
  </r>
  <r>
    <n v="3054276"/>
    <x v="6"/>
    <x v="3"/>
    <x v="3"/>
    <n v="1200"/>
    <n v="0"/>
    <n v="1200"/>
    <n v="10000"/>
    <n v="100"/>
    <x v="77"/>
    <x v="77"/>
    <s v="MT PANA DE DRENAJE A48"/>
    <x v="206"/>
    <s v="xmaltez"/>
    <s v="PMTRX00085236"/>
    <n v="4946906"/>
    <n v="1"/>
    <n v="62"/>
    <s v=""/>
  </r>
  <r>
    <n v="3054233"/>
    <x v="6"/>
    <x v="3"/>
    <x v="3"/>
    <n v="7300"/>
    <n v="0"/>
    <n v="7300"/>
    <n v="10000"/>
    <n v="100"/>
    <x v="77"/>
    <x v="77"/>
    <s v="MT EQUIPO EN FRIO A48"/>
    <x v="207"/>
    <s v="xmaltez"/>
    <s v="PMTRX00085231"/>
    <n v="4947919"/>
    <n v="1"/>
    <n v="62"/>
    <s v=""/>
  </r>
  <r>
    <n v="3054357"/>
    <x v="6"/>
    <x v="3"/>
    <x v="3"/>
    <n v="10020"/>
    <n v="0"/>
    <n v="10020"/>
    <n v="10000"/>
    <n v="100"/>
    <x v="67"/>
    <x v="67"/>
    <s v="MT EN TIENDA AMPM51"/>
    <x v="208"/>
    <s v="xmaltez"/>
    <s v="PMTRX00085248"/>
    <n v="4946955"/>
    <n v="1"/>
    <n v="65"/>
    <s v=""/>
  </r>
  <r>
    <n v="3053188"/>
    <x v="6"/>
    <x v="3"/>
    <x v="3"/>
    <n v="7700"/>
    <n v="0"/>
    <n v="7700"/>
    <n v="10000"/>
    <n v="100"/>
    <x v="78"/>
    <x v="78"/>
    <s v="MT EQUIPO EN FRIO A53"/>
    <x v="184"/>
    <s v="xmaltez"/>
    <s v="PMTRX00085124"/>
    <n v="4945815"/>
    <n v="1"/>
    <n v="64"/>
    <s v=""/>
  </r>
  <r>
    <n v="3055782"/>
    <x v="15"/>
    <x v="3"/>
    <x v="3"/>
    <n v="2110"/>
    <n v="0"/>
    <n v="2110"/>
    <n v="10000"/>
    <n v="100"/>
    <x v="42"/>
    <x v="42"/>
    <s v="REVI EQUIPO A55"/>
    <x v="163"/>
    <s v="xmaltez"/>
    <s v="PMTRX00085254"/>
    <n v="4947041"/>
    <n v="1"/>
    <n v="71"/>
    <s v=""/>
  </r>
  <r>
    <n v="3054285"/>
    <x v="6"/>
    <x v="3"/>
    <x v="3"/>
    <n v="1800"/>
    <n v="0"/>
    <n v="1800"/>
    <n v="10000"/>
    <n v="100"/>
    <x v="79"/>
    <x v="79"/>
    <s v="INSTA CERRADURA PUERTA A56"/>
    <x v="209"/>
    <s v="xmaltez"/>
    <s v="PMTRX00085236"/>
    <n v="4946911"/>
    <n v="1"/>
    <n v="72"/>
    <s v=""/>
  </r>
  <r>
    <n v="3054281"/>
    <x v="6"/>
    <x v="3"/>
    <x v="3"/>
    <n v="500"/>
    <n v="0"/>
    <n v="500"/>
    <n v="10000"/>
    <n v="100"/>
    <x v="44"/>
    <x v="44"/>
    <s v="INSTA LUMINARIA A58"/>
    <x v="210"/>
    <s v="xmaltez"/>
    <s v="PMTRX00085236"/>
    <n v="4946908"/>
    <n v="1"/>
    <n v="74"/>
    <s v=""/>
  </r>
  <r>
    <n v="3053190"/>
    <x v="6"/>
    <x v="3"/>
    <x v="3"/>
    <n v="9680"/>
    <n v="0"/>
    <n v="9680"/>
    <n v="10000"/>
    <n v="100"/>
    <x v="44"/>
    <x v="44"/>
    <s v="MT EQUIPO EN FRIO A58"/>
    <x v="211"/>
    <s v="xmaltez"/>
    <s v="PMTRX00085124"/>
    <n v="4945817"/>
    <n v="1"/>
    <n v="74"/>
    <s v=""/>
  </r>
  <r>
    <n v="3053167"/>
    <x v="6"/>
    <x v="3"/>
    <x v="3"/>
    <n v="3180"/>
    <n v="0"/>
    <n v="3180"/>
    <n v="10000"/>
    <n v="100"/>
    <x v="44"/>
    <x v="44"/>
    <s v="TRANSPORTE A58"/>
    <x v="212"/>
    <s v="xmaltez"/>
    <s v="PMTRX00085124"/>
    <n v="4945808"/>
    <n v="1"/>
    <n v="74"/>
    <s v=""/>
  </r>
  <r>
    <n v="3088456"/>
    <x v="3"/>
    <x v="3"/>
    <x v="3"/>
    <n v="4394.92"/>
    <n v="0"/>
    <n v="4394.92"/>
    <n v="10000"/>
    <n v="100"/>
    <x v="68"/>
    <x v="68"/>
    <s v="MT MAQUNA HOTDOG A59"/>
    <x v="213"/>
    <s v="xmaltez"/>
    <s v="PMTRX00085875"/>
    <n v="4975497"/>
    <n v="1"/>
    <n v="75"/>
    <s v=""/>
  </r>
  <r>
    <n v="3053120"/>
    <x v="7"/>
    <x v="3"/>
    <x v="3"/>
    <n v="1000"/>
    <n v="0"/>
    <n v="1000"/>
    <n v="10000"/>
    <n v="100"/>
    <x v="68"/>
    <x v="68"/>
    <s v="INST DE LUMINARIA A59"/>
    <x v="214"/>
    <s v="xmaltez"/>
    <s v="PMTRX00085101"/>
    <n v="4945105"/>
    <n v="1"/>
    <n v="75"/>
    <s v=""/>
  </r>
  <r>
    <n v="3054241"/>
    <x v="6"/>
    <x v="3"/>
    <x v="3"/>
    <n v="6500"/>
    <n v="0"/>
    <n v="6500"/>
    <n v="10000"/>
    <n v="100"/>
    <x v="45"/>
    <x v="45"/>
    <s v="MT EQUIPO EN FRIO A60"/>
    <x v="201"/>
    <s v="xmaltez"/>
    <s v="PMTRX00085231"/>
    <n v="4947922"/>
    <n v="1"/>
    <n v="76"/>
    <s v=""/>
  </r>
  <r>
    <n v="3055809"/>
    <x v="6"/>
    <x v="3"/>
    <x v="3"/>
    <n v="2540"/>
    <n v="0"/>
    <n v="2540"/>
    <n v="10000"/>
    <n v="100"/>
    <x v="46"/>
    <x v="46"/>
    <s v="RECARGA REFRIGERANTE A61"/>
    <x v="215"/>
    <s v="xmaltez"/>
    <s v="PMTRX00085256"/>
    <n v="4947059"/>
    <n v="1"/>
    <n v="77"/>
    <s v=""/>
  </r>
  <r>
    <n v="3054275"/>
    <x v="6"/>
    <x v="3"/>
    <x v="3"/>
    <n v="6040"/>
    <n v="0"/>
    <n v="6040"/>
    <n v="10000"/>
    <n v="100"/>
    <x v="46"/>
    <x v="46"/>
    <s v="MT EQUIPO EN TIENDA A61"/>
    <x v="216"/>
    <s v="xmaltez"/>
    <s v="PMTRX00085236"/>
    <n v="4946905"/>
    <n v="1"/>
    <n v="77"/>
    <s v=""/>
  </r>
  <r>
    <n v="3053128"/>
    <x v="7"/>
    <x v="3"/>
    <x v="3"/>
    <n v="7040"/>
    <n v="0"/>
    <n v="7040"/>
    <n v="10000"/>
    <n v="100"/>
    <x v="46"/>
    <x v="46"/>
    <s v="MT EQUIPO EN FRIO A61"/>
    <x v="217"/>
    <s v="xmaltez"/>
    <s v="PMTRX00085101"/>
    <n v="4945108"/>
    <n v="1"/>
    <n v="77"/>
    <s v=""/>
  </r>
  <r>
    <n v="3055784"/>
    <x v="15"/>
    <x v="3"/>
    <x v="3"/>
    <n v="37640"/>
    <n v="0"/>
    <n v="37640"/>
    <n v="10000"/>
    <n v="100"/>
    <x v="47"/>
    <x v="47"/>
    <s v="COMP MH A62"/>
    <x v="163"/>
    <s v="xmaltez"/>
    <s v="PMTRX00085254"/>
    <n v="4947042"/>
    <n v="1"/>
    <n v="78"/>
    <s v=""/>
  </r>
  <r>
    <n v="3054430"/>
    <x v="23"/>
    <x v="3"/>
    <x v="3"/>
    <n v="500"/>
    <n v="0"/>
    <n v="500"/>
    <n v="10000"/>
    <n v="100"/>
    <x v="47"/>
    <x v="47"/>
    <s v="INST LUMINARIA A62"/>
    <x v="218"/>
    <s v="xmaltez"/>
    <s v="PMTRX00085253"/>
    <n v="4947028"/>
    <n v="1"/>
    <n v="78"/>
    <s v=""/>
  </r>
  <r>
    <n v="3054428"/>
    <x v="23"/>
    <x v="3"/>
    <x v="3"/>
    <n v="7880"/>
    <n v="0"/>
    <n v="7880"/>
    <n v="10000"/>
    <n v="100"/>
    <x v="47"/>
    <x v="47"/>
    <s v="MT EQUIPO EN FRIO A62"/>
    <x v="219"/>
    <s v="xmaltez"/>
    <s v="PMTRX00085253"/>
    <n v="4947026"/>
    <n v="1"/>
    <n v="78"/>
    <s v=""/>
  </r>
  <r>
    <n v="3054283"/>
    <x v="6"/>
    <x v="3"/>
    <x v="3"/>
    <n v="4000"/>
    <n v="0"/>
    <n v="4000"/>
    <n v="10000"/>
    <n v="100"/>
    <x v="48"/>
    <x v="48"/>
    <s v="RECARGA REFRIGERANTE CF A63"/>
    <x v="220"/>
    <s v="xmaltez"/>
    <s v="PMTRX00085236"/>
    <n v="4946909"/>
    <n v="1"/>
    <n v="79"/>
    <s v=""/>
  </r>
  <r>
    <n v="3054272"/>
    <x v="6"/>
    <x v="3"/>
    <x v="3"/>
    <n v="7340"/>
    <n v="0"/>
    <n v="7340"/>
    <n v="10000"/>
    <n v="100"/>
    <x v="48"/>
    <x v="48"/>
    <s v="MT EQUIPO EN FRIO A63"/>
    <x v="221"/>
    <s v="xmaltez"/>
    <s v="PMTRX00085236"/>
    <n v="4946904"/>
    <n v="1"/>
    <n v="79"/>
    <s v=""/>
  </r>
  <r>
    <n v="3054425"/>
    <x v="23"/>
    <x v="3"/>
    <x v="3"/>
    <n v="6500"/>
    <n v="0"/>
    <n v="6500"/>
    <n v="10000"/>
    <n v="100"/>
    <x v="49"/>
    <x v="49"/>
    <s v="MT EQUIPO EN FRIO A65"/>
    <x v="222"/>
    <s v="xmaltez"/>
    <s v="PMTRX00085253"/>
    <n v="4947023"/>
    <n v="1"/>
    <n v="81"/>
    <s v=""/>
  </r>
  <r>
    <n v="3054424"/>
    <x v="23"/>
    <x v="3"/>
    <x v="3"/>
    <n v="8000"/>
    <n v="0"/>
    <n v="8000"/>
    <n v="10000"/>
    <n v="100"/>
    <x v="50"/>
    <x v="50"/>
    <s v="MT EQUIPO EN FRIO A66"/>
    <x v="184"/>
    <s v="xmaltez"/>
    <s v="PMTRX00085253"/>
    <n v="4947022"/>
    <n v="1"/>
    <n v="82"/>
    <s v=""/>
  </r>
  <r>
    <n v="3054290"/>
    <x v="6"/>
    <x v="3"/>
    <x v="3"/>
    <n v="730"/>
    <n v="0"/>
    <n v="730"/>
    <n v="10000"/>
    <n v="100"/>
    <x v="51"/>
    <x v="51"/>
    <s v="ACTI DE AIRE ACONDICIONADO A67"/>
    <x v="223"/>
    <s v="xmaltez"/>
    <s v="PMTRX00085236"/>
    <n v="4946913"/>
    <n v="1"/>
    <n v="83"/>
    <s v=""/>
  </r>
  <r>
    <n v="3053158"/>
    <x v="6"/>
    <x v="3"/>
    <x v="3"/>
    <n v="6500"/>
    <n v="0"/>
    <n v="6500"/>
    <n v="10000"/>
    <n v="100"/>
    <x v="51"/>
    <x v="51"/>
    <s v="MT EQUIPO EN FRIO A67"/>
    <x v="224"/>
    <s v="xmaltez"/>
    <s v="PMTRX00085124"/>
    <n v="4945806"/>
    <n v="1"/>
    <n v="83"/>
    <s v=""/>
  </r>
  <r>
    <n v="3053132"/>
    <x v="7"/>
    <x v="3"/>
    <x v="3"/>
    <n v="4500"/>
    <n v="0"/>
    <n v="4500"/>
    <n v="10000"/>
    <n v="100"/>
    <x v="51"/>
    <x v="51"/>
    <s v="MT EQUIPO EN FRIO A67"/>
    <x v="225"/>
    <s v="xmaltez"/>
    <s v="PMTRX00085101"/>
    <n v="4945109"/>
    <n v="1"/>
    <n v="83"/>
    <s v=""/>
  </r>
  <r>
    <n v="3054257"/>
    <x v="6"/>
    <x v="3"/>
    <x v="3"/>
    <n v="11260"/>
    <n v="0"/>
    <n v="11260"/>
    <n v="10000"/>
    <n v="100"/>
    <x v="80"/>
    <x v="80"/>
    <s v="MT EQUIPO EN FRIO A68"/>
    <x v="226"/>
    <s v="xmaltez"/>
    <s v="PMTRX00085236"/>
    <n v="4946901"/>
    <n v="1"/>
    <n v="84"/>
    <s v=""/>
  </r>
  <r>
    <n v="3063595"/>
    <x v="4"/>
    <x v="3"/>
    <x v="3"/>
    <n v="7252"/>
    <n v="0"/>
    <n v="7252"/>
    <n v="10000"/>
    <n v="100"/>
    <x v="52"/>
    <x v="52"/>
    <s v="MT EQUIPO EN FRIO A69"/>
    <x v="192"/>
    <s v="xmaltez"/>
    <s v="PMTRX00085262"/>
    <n v="4955112"/>
    <n v="1"/>
    <n v="85"/>
    <s v=""/>
  </r>
  <r>
    <n v="3062375"/>
    <x v="11"/>
    <x v="3"/>
    <x v="3"/>
    <n v="1831.22"/>
    <n v="0"/>
    <n v="1831.22"/>
    <n v="10000"/>
    <n v="100"/>
    <x v="52"/>
    <x v="52"/>
    <s v="BOMBA HIDROENUMATI.A69"/>
    <x v="163"/>
    <s v="xmaltez"/>
    <s v="PMTRX00085260"/>
    <n v="4947904"/>
    <n v="1"/>
    <n v="85"/>
    <s v=""/>
  </r>
  <r>
    <n v="3043234"/>
    <x v="13"/>
    <x v="3"/>
    <x v="3"/>
    <n v="1831.22"/>
    <n v="0"/>
    <n v="1831.22"/>
    <n v="10000"/>
    <n v="100"/>
    <x v="52"/>
    <x v="52"/>
    <s v="MT EQUIPO EN TIENDA A69"/>
    <x v="227"/>
    <s v="xmaltez"/>
    <s v="PMTRX00084828"/>
    <n v="4937763"/>
    <n v="1"/>
    <n v="85"/>
    <s v=""/>
  </r>
  <r>
    <n v="3054231"/>
    <x v="6"/>
    <x v="3"/>
    <x v="3"/>
    <n v="8660"/>
    <n v="0"/>
    <n v="8660"/>
    <n v="10000"/>
    <n v="100"/>
    <x v="53"/>
    <x v="53"/>
    <s v="MT EQUIPO EN FRIO A70"/>
    <x v="201"/>
    <s v="xmaltez"/>
    <s v="PMTRX00085231"/>
    <n v="4947918"/>
    <n v="1"/>
    <n v="87"/>
    <s v=""/>
  </r>
  <r>
    <n v="3041879"/>
    <x v="0"/>
    <x v="3"/>
    <x v="3"/>
    <n v="4944.28"/>
    <n v="0"/>
    <n v="4944.28"/>
    <n v="10000"/>
    <n v="100"/>
    <x v="55"/>
    <x v="55"/>
    <s v="MT EN TIENDA A73"/>
    <x v="228"/>
    <s v="xmaltez"/>
    <s v="PMTRX00084826"/>
    <n v="4937724"/>
    <n v="1"/>
    <n v="89"/>
    <s v=""/>
  </r>
  <r>
    <n v="3054234"/>
    <x v="6"/>
    <x v="3"/>
    <x v="3"/>
    <n v="7400"/>
    <n v="0"/>
    <n v="7400"/>
    <n v="10000"/>
    <n v="100"/>
    <x v="56"/>
    <x v="56"/>
    <s v="MT EQUIPO EN FRIO A74"/>
    <x v="229"/>
    <s v="xmaltez"/>
    <s v="PMTRX00085231"/>
    <n v="4947920"/>
    <n v="1"/>
    <n v="90"/>
    <s v=""/>
  </r>
  <r>
    <n v="3053185"/>
    <x v="8"/>
    <x v="3"/>
    <x v="3"/>
    <n v="1800"/>
    <n v="0"/>
    <n v="1800"/>
    <n v="10000"/>
    <n v="100"/>
    <x v="57"/>
    <x v="57"/>
    <s v="MT EN TIENDA A75"/>
    <x v="230"/>
    <s v="xmaltez"/>
    <s v="PMTRX00085124"/>
    <n v="4945813"/>
    <n v="1"/>
    <n v="91"/>
    <s v=""/>
  </r>
  <r>
    <n v="3053183"/>
    <x v="8"/>
    <x v="3"/>
    <x v="3"/>
    <n v="7040"/>
    <n v="0"/>
    <n v="7040"/>
    <n v="10000"/>
    <n v="100"/>
    <x v="57"/>
    <x v="57"/>
    <s v="MT EQUIPO EN FRIO A75"/>
    <x v="231"/>
    <s v="xmaltez"/>
    <s v="PMTRX00085124"/>
    <n v="4945812"/>
    <n v="1"/>
    <n v="91"/>
    <s v=""/>
  </r>
  <r>
    <n v="3054284"/>
    <x v="6"/>
    <x v="3"/>
    <x v="3"/>
    <n v="6500"/>
    <n v="0"/>
    <n v="6500"/>
    <n v="10000"/>
    <n v="100"/>
    <x v="58"/>
    <x v="58"/>
    <s v="MT EQUIPO CUARTO FRIO A76"/>
    <x v="232"/>
    <s v="xmaltez"/>
    <s v="PMTRX00085236"/>
    <n v="4946910"/>
    <n v="1"/>
    <n v="93"/>
    <s v=""/>
  </r>
  <r>
    <n v="3054251"/>
    <x v="6"/>
    <x v="3"/>
    <x v="3"/>
    <n v="11260"/>
    <n v="0"/>
    <n v="11260"/>
    <n v="10000"/>
    <n v="100"/>
    <x v="58"/>
    <x v="58"/>
    <s v="MT EQUIPO EN FRIO A76"/>
    <x v="196"/>
    <s v="xmaltez"/>
    <s v="PMTRX00085231"/>
    <n v="4947923"/>
    <n v="1"/>
    <n v="93"/>
    <s v=""/>
  </r>
  <r>
    <n v="3062393"/>
    <x v="1"/>
    <x v="3"/>
    <x v="3"/>
    <n v="6550.27"/>
    <n v="0"/>
    <n v="6550.27"/>
    <n v="10000"/>
    <n v="100"/>
    <x v="2"/>
    <x v="2"/>
    <s v="MT EQUIPO EN FRIO A79"/>
    <x v="233"/>
    <s v="xmaltez"/>
    <s v="PMTRX00085261"/>
    <n v="4947929"/>
    <n v="1"/>
    <n v="95"/>
    <s v=""/>
  </r>
  <r>
    <n v="3062372"/>
    <x v="11"/>
    <x v="3"/>
    <x v="3"/>
    <n v="2929.84"/>
    <n v="0"/>
    <n v="2929.84"/>
    <n v="10000"/>
    <n v="100"/>
    <x v="2"/>
    <x v="2"/>
    <s v="MANTENIMIENTO BOMBA.A79"/>
    <x v="163"/>
    <s v="xmaltez"/>
    <s v="PMTRX00085260"/>
    <n v="4947901"/>
    <n v="1"/>
    <n v="95"/>
    <s v=""/>
  </r>
  <r>
    <n v="3063593"/>
    <x v="8"/>
    <x v="3"/>
    <x v="3"/>
    <n v="20609.59"/>
    <n v="0"/>
    <n v="20609.59"/>
    <n v="10000"/>
    <n v="100"/>
    <x v="61"/>
    <x v="61"/>
    <s v="PLANTA Y REP VARIAS A80"/>
    <x v="234"/>
    <s v="xmaltez"/>
    <s v="PMTRX00085262"/>
    <n v="4955110"/>
    <n v="1"/>
    <n v="98"/>
    <s v=""/>
  </r>
  <r>
    <n v="3053109"/>
    <x v="0"/>
    <x v="3"/>
    <x v="3"/>
    <n v="13900"/>
    <n v="0"/>
    <n v="13900"/>
    <n v="10000"/>
    <n v="100"/>
    <x v="61"/>
    <x v="61"/>
    <s v="MT EQUIPO EN TIENDA A80"/>
    <x v="235"/>
    <s v="xmaltez"/>
    <s v="PMTRX00085101"/>
    <n v="4945101"/>
    <n v="1"/>
    <n v="98"/>
    <s v=""/>
  </r>
  <r>
    <n v="3053155"/>
    <x v="6"/>
    <x v="3"/>
    <x v="3"/>
    <n v="5300"/>
    <n v="0"/>
    <n v="5300"/>
    <n v="10000"/>
    <n v="100"/>
    <x v="81"/>
    <x v="81"/>
    <s v="PROTECTOR DE VOLTAJE A81"/>
    <x v="236"/>
    <s v="xmaltez"/>
    <s v="PMTRX00085124"/>
    <n v="4945803"/>
    <n v="1"/>
    <n v="99"/>
    <s v=""/>
  </r>
  <r>
    <n v="3053187"/>
    <x v="8"/>
    <x v="3"/>
    <x v="3"/>
    <n v="5950"/>
    <n v="0"/>
    <n v="5950"/>
    <n v="10000"/>
    <n v="100"/>
    <x v="64"/>
    <x v="64"/>
    <s v="MT EQUIPO EN FRIO A84"/>
    <x v="222"/>
    <s v="xmaltez"/>
    <s v="PMTRX00085124"/>
    <n v="4945814"/>
    <n v="1"/>
    <n v="100"/>
    <s v=""/>
  </r>
  <r>
    <n v="3053168"/>
    <x v="8"/>
    <x v="3"/>
    <x v="3"/>
    <n v="1500"/>
    <n v="0"/>
    <n v="1500"/>
    <n v="10000"/>
    <n v="100"/>
    <x v="64"/>
    <x v="64"/>
    <s v="INSTA DE TUBOS LED A84"/>
    <x v="237"/>
    <s v="xmaltez"/>
    <s v="PMTRX00085124"/>
    <n v="4945809"/>
    <n v="1"/>
    <n v="100"/>
    <s v=""/>
  </r>
  <r>
    <n v="3068052"/>
    <x v="20"/>
    <x v="3"/>
    <x v="3"/>
    <n v="2563.6999999999998"/>
    <n v="0"/>
    <n v="2563.6999999999998"/>
    <n v="10000"/>
    <n v="100"/>
    <x v="82"/>
    <x v="82"/>
    <s v="MT BOMBA HIDRONEUMATICA  A86"/>
    <x v="238"/>
    <s v="xmaltez"/>
    <s v="PMTRX00085440"/>
    <n v="4958915"/>
    <n v="1"/>
    <n v="104"/>
    <s v=""/>
  </r>
  <r>
    <n v="3054279"/>
    <x v="6"/>
    <x v="3"/>
    <x v="3"/>
    <n v="1800"/>
    <n v="0"/>
    <n v="1800"/>
    <n v="10000"/>
    <n v="100"/>
    <x v="83"/>
    <x v="83"/>
    <s v="CORRECCION LINEAS ALIMENTA A87"/>
    <x v="239"/>
    <s v="xmaltez"/>
    <s v="PMTRX00085236"/>
    <n v="4946907"/>
    <n v="1"/>
    <n v="103"/>
    <s v=""/>
  </r>
  <r>
    <n v="3053189"/>
    <x v="6"/>
    <x v="3"/>
    <x v="3"/>
    <n v="9680"/>
    <n v="0"/>
    <n v="9680"/>
    <n v="10000"/>
    <n v="100"/>
    <x v="83"/>
    <x v="83"/>
    <s v="MT EQUIPO EN FRIO A87"/>
    <x v="240"/>
    <s v="xmaltez"/>
    <s v="PMTRX00085124"/>
    <n v="4945816"/>
    <n v="1"/>
    <n v="103"/>
    <s v=""/>
  </r>
  <r>
    <n v="3054429"/>
    <x v="23"/>
    <x v="3"/>
    <x v="3"/>
    <n v="6940"/>
    <n v="0"/>
    <n v="6940"/>
    <n v="10000"/>
    <n v="100"/>
    <x v="66"/>
    <x v="66"/>
    <s v="MT EQUIPO EN FRIO A89"/>
    <x v="184"/>
    <s v="xmaltez"/>
    <s v="PMTRX00085253"/>
    <n v="4947027"/>
    <n v="1"/>
    <n v="105"/>
    <s v=""/>
  </r>
  <r>
    <n v="3083223"/>
    <x v="2"/>
    <x v="4"/>
    <x v="4"/>
    <n v="377.77"/>
    <n v="0"/>
    <n v="377.77"/>
    <n v="10000"/>
    <n v="100"/>
    <x v="3"/>
    <x v="3"/>
    <s v="SICSA"/>
    <x v="241"/>
    <s v="jlopez"/>
    <s v="GLTRX00969743"/>
    <n v="4970785"/>
    <n v="1"/>
    <n v="27"/>
    <s v=""/>
  </r>
  <r>
    <n v="3068293"/>
    <x v="23"/>
    <x v="4"/>
    <x v="4"/>
    <n v="2075.6999999999998"/>
    <n v="0"/>
    <n v="2075.6999999999998"/>
    <n v="10000"/>
    <n v="100"/>
    <x v="3"/>
    <x v="3"/>
    <s v="FORZA ACUMULADOR UPS/TIENDA"/>
    <x v="242"/>
    <s v="xmaltez"/>
    <s v="PMTRX00085442"/>
    <n v="4958930"/>
    <n v="1"/>
    <n v="27"/>
    <s v=""/>
  </r>
  <r>
    <n v="3068044"/>
    <x v="7"/>
    <x v="4"/>
    <x v="4"/>
    <n v="3700"/>
    <n v="0"/>
    <n v="3700"/>
    <n v="10000"/>
    <n v="100"/>
    <x v="3"/>
    <x v="3"/>
    <s v="MANT PREVENTIVO IMPRESORA-ADM"/>
    <x v="153"/>
    <s v="jlopez"/>
    <s v="GLTRX00965212"/>
    <n v="4958908"/>
    <n v="1"/>
    <n v="27"/>
    <s v=""/>
  </r>
  <r>
    <n v="3009126"/>
    <x v="7"/>
    <x v="4"/>
    <x v="4"/>
    <n v="2300"/>
    <n v="0"/>
    <n v="2300"/>
    <n v="10000"/>
    <n v="100"/>
    <x v="84"/>
    <x v="84"/>
    <s v="Cargador Dell-MERCADEO"/>
    <x v="243"/>
    <s v="jlopez"/>
    <s v="PMTRX00084221"/>
    <n v="4411005"/>
    <n v="1"/>
    <n v="29"/>
    <s v=""/>
  </r>
  <r>
    <n v="3067805"/>
    <x v="5"/>
    <x v="4"/>
    <x v="4"/>
    <n v="6580"/>
    <n v="0"/>
    <n v="6580"/>
    <n v="10000"/>
    <n v="100"/>
    <x v="5"/>
    <x v="5"/>
    <s v="MASTER TECNOLOGIES-DISCO D"/>
    <x v="244"/>
    <s v="xmaltez"/>
    <s v="GLTRX00965015"/>
    <n v="4957712"/>
    <n v="1"/>
    <n v="30"/>
    <s v=""/>
  </r>
  <r>
    <n v="3088418"/>
    <x v="22"/>
    <x v="4"/>
    <x v="4"/>
    <n v="5449.29"/>
    <n v="0"/>
    <n v="5449.29"/>
    <n v="10000"/>
    <n v="100"/>
    <x v="6"/>
    <x v="6"/>
    <s v="UPS FORZA/ MILTON GAMONEDA"/>
    <x v="245"/>
    <s v="xmaltez"/>
    <s v="PMTRX00085873"/>
    <n v="4975479"/>
    <n v="1"/>
    <n v="31"/>
    <s v=""/>
  </r>
  <r>
    <n v="3084867"/>
    <x v="11"/>
    <x v="4"/>
    <x v="4"/>
    <n v="769.12"/>
    <n v="0"/>
    <n v="769.12"/>
    <n v="10000"/>
    <n v="100"/>
    <x v="6"/>
    <x v="6"/>
    <s v="SEVASA /CARTUCHO EPSON A13+RES"/>
    <x v="246"/>
    <s v="xmaltez"/>
    <s v="GLTRX00969840"/>
    <n v="4971301"/>
    <n v="1"/>
    <n v="31"/>
    <s v=""/>
  </r>
  <r>
    <n v="3083637"/>
    <x v="15"/>
    <x v="4"/>
    <x v="4"/>
    <n v="111.21"/>
    <n v="0"/>
    <n v="111.21"/>
    <n v="10000"/>
    <n v="100"/>
    <x v="6"/>
    <x v="6"/>
    <s v="MEGA IMAGE /CABLE VIDEO TIENDA"/>
    <x v="247"/>
    <s v="xmaltez"/>
    <s v="GLTRX00969753"/>
    <n v="4971194"/>
    <n v="1"/>
    <n v="31"/>
    <s v=""/>
  </r>
  <r>
    <n v="3068045"/>
    <x v="7"/>
    <x v="4"/>
    <x v="4"/>
    <n v="3330"/>
    <n v="0"/>
    <n v="3330"/>
    <n v="10000"/>
    <n v="100"/>
    <x v="6"/>
    <x v="6"/>
    <s v="MANT PREVENTIVO IMPRESORA-SIST"/>
    <x v="158"/>
    <s v="jlopez"/>
    <s v="GLTRX00965212"/>
    <n v="4958909"/>
    <n v="1"/>
    <n v="31"/>
    <s v=""/>
  </r>
  <r>
    <n v="3068030"/>
    <x v="1"/>
    <x v="4"/>
    <x v="4"/>
    <n v="2960"/>
    <n v="0"/>
    <n v="2960"/>
    <n v="10000"/>
    <n v="100"/>
    <x v="6"/>
    <x v="6"/>
    <s v="BATERIA INTERNA/CRISTAL"/>
    <x v="248"/>
    <s v="xmaltez"/>
    <s v="PMTRX00085437"/>
    <n v="4958900"/>
    <n v="1"/>
    <n v="31"/>
    <s v=""/>
  </r>
  <r>
    <n v="3068008"/>
    <x v="20"/>
    <x v="4"/>
    <x v="4"/>
    <n v="713.26"/>
    <n v="0"/>
    <n v="713.26"/>
    <n v="10000"/>
    <n v="100"/>
    <x v="6"/>
    <x v="6"/>
    <s v="SEVASA /MAUSE-CRISTAL"/>
    <x v="249"/>
    <s v="xmaltez"/>
    <s v="GLTRX00965015"/>
    <n v="4958848"/>
    <n v="1"/>
    <n v="31"/>
    <s v=""/>
  </r>
  <r>
    <n v="3025689"/>
    <x v="9"/>
    <x v="4"/>
    <x v="4"/>
    <n v="6679.17"/>
    <n v="0"/>
    <n v="6679.17"/>
    <n v="10000"/>
    <n v="100"/>
    <x v="6"/>
    <x v="6"/>
    <s v="AMAZON MARK* BP6MY6MA2"/>
    <x v="250"/>
    <s v="jlopez"/>
    <s v="GLTRX00951225"/>
    <n v="4924425"/>
    <n v="1"/>
    <n v="31"/>
    <s v=""/>
  </r>
  <r>
    <n v="3021154"/>
    <x v="6"/>
    <x v="4"/>
    <x v="4"/>
    <n v="1281.8499999999999"/>
    <n v="0"/>
    <n v="1281.8499999999999"/>
    <n v="10000"/>
    <n v="100"/>
    <x v="6"/>
    <x v="6"/>
    <s v="Importacion Equipos-SISTEMAS"/>
    <x v="251"/>
    <s v="crivera"/>
    <s v="PMTRX00084376"/>
    <n v="4921314"/>
    <n v="1"/>
    <n v="31"/>
    <s v=""/>
  </r>
  <r>
    <n v="3009129"/>
    <x v="7"/>
    <x v="4"/>
    <x v="4"/>
    <n v="9885"/>
    <n v="0"/>
    <n v="9885"/>
    <n v="10000"/>
    <n v="100"/>
    <x v="7"/>
    <x v="7"/>
    <s v="Kit Inalambrico PANADE"/>
    <x v="252"/>
    <s v="jlopez"/>
    <s v="PMTRX00084221"/>
    <n v="4411008"/>
    <n v="1"/>
    <n v="32"/>
    <s v=""/>
  </r>
  <r>
    <n v="3009134"/>
    <x v="7"/>
    <x v="4"/>
    <x v="4"/>
    <n v="700"/>
    <n v="0"/>
    <n v="700"/>
    <n v="10000"/>
    <n v="100"/>
    <x v="8"/>
    <x v="8"/>
    <s v="REPARACIONES DE CAMARAS"/>
    <x v="253"/>
    <s v="jlopez"/>
    <s v="PMTRX00084221"/>
    <n v="4411011"/>
    <n v="1"/>
    <n v="2"/>
    <s v=""/>
  </r>
  <r>
    <n v="3009134"/>
    <x v="7"/>
    <x v="4"/>
    <x v="4"/>
    <n v="700"/>
    <n v="0"/>
    <n v="700"/>
    <n v="10000"/>
    <n v="100"/>
    <x v="9"/>
    <x v="9"/>
    <s v="REPARACIONES DE CAMARAS"/>
    <x v="254"/>
    <s v="jlopez"/>
    <s v="PMTRX00084221"/>
    <n v="4411011"/>
    <n v="1"/>
    <n v="3"/>
    <s v=""/>
  </r>
  <r>
    <n v="3009134"/>
    <x v="7"/>
    <x v="4"/>
    <x v="4"/>
    <n v="700"/>
    <n v="0"/>
    <n v="700"/>
    <n v="10000"/>
    <n v="100"/>
    <x v="10"/>
    <x v="10"/>
    <s v="REPARACIONES DE CAMARAS"/>
    <x v="255"/>
    <s v="jlopez"/>
    <s v="PMTRX00084221"/>
    <n v="4411011"/>
    <n v="1"/>
    <n v="4"/>
    <s v=""/>
  </r>
  <r>
    <n v="3068031"/>
    <x v="5"/>
    <x v="4"/>
    <x v="4"/>
    <n v="1739"/>
    <n v="0"/>
    <n v="1739"/>
    <n v="10000"/>
    <n v="100"/>
    <x v="11"/>
    <x v="11"/>
    <s v="CARGADOR DELL A05"/>
    <x v="256"/>
    <s v="xmaltez"/>
    <s v="PMTRX00085437"/>
    <n v="4958901"/>
    <n v="1"/>
    <n v="5"/>
    <s v=""/>
  </r>
  <r>
    <n v="3067945"/>
    <x v="14"/>
    <x v="4"/>
    <x v="4"/>
    <n v="1648.1"/>
    <n v="0"/>
    <n v="1648.1"/>
    <n v="10000"/>
    <n v="100"/>
    <x v="11"/>
    <x v="11"/>
    <s v="GLOBAL SISTEMAS/ A05"/>
    <x v="257"/>
    <s v="xmaltez"/>
    <s v="GLTRX00965015"/>
    <n v="4957762"/>
    <n v="1"/>
    <n v="5"/>
    <s v=""/>
  </r>
  <r>
    <n v="3009128"/>
    <x v="7"/>
    <x v="4"/>
    <x v="4"/>
    <n v="2960"/>
    <n v="0"/>
    <n v="2960"/>
    <n v="10000"/>
    <n v="100"/>
    <x v="11"/>
    <x v="11"/>
    <s v="Bateria Interna A05"/>
    <x v="258"/>
    <s v="jlopez"/>
    <s v="PMTRX00084221"/>
    <n v="4411007"/>
    <n v="1"/>
    <n v="5"/>
    <s v=""/>
  </r>
  <r>
    <n v="3083712"/>
    <x v="22"/>
    <x v="4"/>
    <x v="4"/>
    <n v="926.75"/>
    <n v="0"/>
    <n v="926.75"/>
    <n v="10000"/>
    <n v="100"/>
    <x v="15"/>
    <x v="15"/>
    <s v="MEGA IMAGE/ TECLADO A12/13"/>
    <x v="259"/>
    <s v="xmaltez"/>
    <s v="GLTRX00969840"/>
    <n v="4971283"/>
    <n v="1"/>
    <n v="12"/>
    <s v=""/>
  </r>
  <r>
    <n v="3088470"/>
    <x v="21"/>
    <x v="4"/>
    <x v="4"/>
    <n v="2075.7199999999998"/>
    <n v="0"/>
    <n v="2075.7199999999998"/>
    <n v="10000"/>
    <n v="100"/>
    <x v="16"/>
    <x v="16"/>
    <s v="forza acumulador tiendas"/>
    <x v="260"/>
    <s v="xmaltez"/>
    <s v="PMTRX00085875"/>
    <n v="4975511"/>
    <n v="1"/>
    <n v="13"/>
    <s v=""/>
  </r>
  <r>
    <n v="3084867"/>
    <x v="11"/>
    <x v="4"/>
    <x v="4"/>
    <n v="384.55"/>
    <n v="0"/>
    <n v="384.55"/>
    <n v="10000"/>
    <n v="100"/>
    <x v="16"/>
    <x v="16"/>
    <s v="SEVASA /CARTUCHO EPSON A13+RES"/>
    <x v="261"/>
    <s v="xmaltez"/>
    <s v="GLTRX00969840"/>
    <n v="4971301"/>
    <n v="1"/>
    <n v="13"/>
    <s v=""/>
  </r>
  <r>
    <n v="3084178"/>
    <x v="4"/>
    <x v="4"/>
    <x v="4"/>
    <n v="1155.1300000000001"/>
    <n v="0"/>
    <n v="1155.1300000000001"/>
    <n v="10000"/>
    <n v="100"/>
    <x v="16"/>
    <x v="16"/>
    <s v="SEVASA/JACK CAT A13"/>
    <x v="262"/>
    <s v="xmaltez"/>
    <s v="GLTRX00969840"/>
    <n v="4971296"/>
    <n v="1"/>
    <n v="13"/>
    <s v=""/>
  </r>
  <r>
    <n v="3083727"/>
    <x v="4"/>
    <x v="4"/>
    <x v="4"/>
    <n v="269.64"/>
    <n v="0"/>
    <n v="269.64"/>
    <n v="10000"/>
    <n v="100"/>
    <x v="16"/>
    <x v="16"/>
    <s v="SEVASA/CONECTOR A13-90-91-66"/>
    <x v="263"/>
    <s v="xmaltez"/>
    <s v="GLTRX00969840"/>
    <n v="4971290"/>
    <n v="1"/>
    <n v="13"/>
    <s v=""/>
  </r>
  <r>
    <n v="3083712"/>
    <x v="22"/>
    <x v="4"/>
    <x v="4"/>
    <n v="926.75"/>
    <n v="0"/>
    <n v="926.75"/>
    <n v="10000"/>
    <n v="100"/>
    <x v="16"/>
    <x v="16"/>
    <s v="MEGA IMAGE/ TECLADO A12/13"/>
    <x v="264"/>
    <s v="xmaltez"/>
    <s v="GLTRX00969840"/>
    <n v="4971283"/>
    <n v="1"/>
    <n v="13"/>
    <s v=""/>
  </r>
  <r>
    <n v="3083637"/>
    <x v="15"/>
    <x v="4"/>
    <x v="4"/>
    <n v="111.21"/>
    <n v="0"/>
    <n v="111.21"/>
    <n v="10000"/>
    <n v="100"/>
    <x v="16"/>
    <x v="16"/>
    <s v="MEGA IMAGE /CABLE VIDEO TIENDA"/>
    <x v="265"/>
    <s v="xmaltez"/>
    <s v="GLTRX00969753"/>
    <n v="4971194"/>
    <n v="1"/>
    <n v="13"/>
    <s v=""/>
  </r>
  <r>
    <n v="3067927"/>
    <x v="6"/>
    <x v="4"/>
    <x v="4"/>
    <n v="1119.1199999999999"/>
    <n v="0"/>
    <n v="1119.1199999999999"/>
    <n v="10000"/>
    <n v="100"/>
    <x v="16"/>
    <x v="16"/>
    <s v="SINSA RADIAL/ A13"/>
    <x v="266"/>
    <s v="xmaltez"/>
    <s v="GLTRX00965015"/>
    <n v="4957743"/>
    <n v="1"/>
    <n v="13"/>
    <s v=""/>
  </r>
  <r>
    <n v="3067927"/>
    <x v="6"/>
    <x v="4"/>
    <x v="4"/>
    <n v="457.9"/>
    <n v="0"/>
    <n v="457.9"/>
    <n v="10000"/>
    <n v="100"/>
    <x v="16"/>
    <x v="16"/>
    <s v="SINSA RADIAL/ A13"/>
    <x v="267"/>
    <s v="xmaltez"/>
    <s v="GLTRX00965015"/>
    <n v="4957743"/>
    <n v="1"/>
    <n v="13"/>
    <s v=""/>
  </r>
  <r>
    <n v="3067927"/>
    <x v="6"/>
    <x v="4"/>
    <x v="4"/>
    <n v="1957.67"/>
    <n v="0"/>
    <n v="1957.67"/>
    <n v="10000"/>
    <n v="100"/>
    <x v="16"/>
    <x v="16"/>
    <s v="SINSA RADIAL/ A13"/>
    <x v="268"/>
    <s v="xmaltez"/>
    <s v="GLTRX00965015"/>
    <n v="4957743"/>
    <n v="1"/>
    <n v="13"/>
    <s v=""/>
  </r>
  <r>
    <n v="3067893"/>
    <x v="4"/>
    <x v="4"/>
    <x v="4"/>
    <n v="19.89"/>
    <n v="0"/>
    <n v="19.89"/>
    <n v="10000"/>
    <n v="100"/>
    <x v="16"/>
    <x v="16"/>
    <s v="SINSA RADIAL / TIENDAS"/>
    <x v="269"/>
    <s v="xmaltez"/>
    <s v="GLTRX00965015"/>
    <n v="4957737"/>
    <n v="1"/>
    <n v="13"/>
    <s v=""/>
  </r>
  <r>
    <n v="3067893"/>
    <x v="4"/>
    <x v="4"/>
    <x v="4"/>
    <n v="1957.69"/>
    <n v="0"/>
    <n v="1957.69"/>
    <n v="10000"/>
    <n v="100"/>
    <x v="16"/>
    <x v="16"/>
    <s v="SINSA RADIAL / TIENDAS"/>
    <x v="268"/>
    <s v="xmaltez"/>
    <s v="GLTRX00965015"/>
    <n v="4957737"/>
    <n v="1"/>
    <n v="13"/>
    <s v=""/>
  </r>
  <r>
    <n v="3067863"/>
    <x v="6"/>
    <x v="4"/>
    <x v="4"/>
    <n v="4935"/>
    <n v="0"/>
    <n v="4935"/>
    <n v="10000"/>
    <n v="100"/>
    <x v="16"/>
    <x v="16"/>
    <s v="MASTER TECNOLOGIES- A13"/>
    <x v="270"/>
    <s v="xmaltez"/>
    <s v="GLTRX00965015"/>
    <n v="4957714"/>
    <n v="1"/>
    <n v="13"/>
    <s v=""/>
  </r>
  <r>
    <n v="3067862"/>
    <x v="6"/>
    <x v="4"/>
    <x v="4"/>
    <n v="1528"/>
    <n v="0"/>
    <n v="1528"/>
    <n v="10000"/>
    <n v="100"/>
    <x v="16"/>
    <x v="16"/>
    <s v="MASTER TECNOLOGIES- A13"/>
    <x v="271"/>
    <s v="xmaltez"/>
    <s v="GLTRX00965015"/>
    <n v="4957713"/>
    <n v="1"/>
    <n v="13"/>
    <s v=""/>
  </r>
  <r>
    <n v="3009134"/>
    <x v="7"/>
    <x v="4"/>
    <x v="4"/>
    <n v="700"/>
    <n v="0"/>
    <n v="700"/>
    <n v="10000"/>
    <n v="100"/>
    <x v="71"/>
    <x v="71"/>
    <s v="REPARACIONES DE CAMARAS"/>
    <x v="272"/>
    <s v="jlopez"/>
    <s v="PMTRX00084221"/>
    <n v="4411011"/>
    <n v="1"/>
    <n v="15"/>
    <s v=""/>
  </r>
  <r>
    <n v="3077692"/>
    <x v="7"/>
    <x v="4"/>
    <x v="4"/>
    <n v="0"/>
    <n v="29485"/>
    <n v="-29485"/>
    <n v="10000"/>
    <n v="100"/>
    <x v="20"/>
    <x v="20"/>
    <s v="INST CABLEADO-PROGRAMACION A19"/>
    <x v="273"/>
    <s v="archivo01"/>
    <s v="GLTRX00967958"/>
    <n v="4966753"/>
    <n v="1"/>
    <n v="19"/>
    <s v=""/>
  </r>
  <r>
    <n v="3009132"/>
    <x v="7"/>
    <x v="4"/>
    <x v="4"/>
    <n v="29485"/>
    <n v="0"/>
    <n v="29485"/>
    <n v="10000"/>
    <n v="100"/>
    <x v="20"/>
    <x v="20"/>
    <s v="Inst Cableado-Programacion A19"/>
    <x v="273"/>
    <s v="jlopez"/>
    <s v="PMTRX00084221"/>
    <n v="4411009"/>
    <n v="1"/>
    <n v="19"/>
    <s v=""/>
  </r>
  <r>
    <n v="3009133"/>
    <x v="7"/>
    <x v="4"/>
    <x v="4"/>
    <n v="3600"/>
    <n v="0"/>
    <n v="3600"/>
    <n v="10000"/>
    <n v="100"/>
    <x v="22"/>
    <x v="22"/>
    <s v="Suministro de cables A21"/>
    <x v="274"/>
    <s v="jlopez"/>
    <s v="PMTRX00084221"/>
    <n v="4411010"/>
    <n v="1"/>
    <n v="21"/>
    <s v=""/>
  </r>
  <r>
    <n v="3009134"/>
    <x v="7"/>
    <x v="4"/>
    <x v="4"/>
    <n v="1400"/>
    <n v="0"/>
    <n v="1400"/>
    <n v="10000"/>
    <n v="100"/>
    <x v="23"/>
    <x v="23"/>
    <s v="REPARACIONES DE CAMARAS"/>
    <x v="275"/>
    <s v="jlopez"/>
    <s v="PMTRX00084221"/>
    <n v="4411011"/>
    <n v="1"/>
    <n v="23"/>
    <s v=""/>
  </r>
  <r>
    <n v="3068293"/>
    <x v="23"/>
    <x v="4"/>
    <x v="4"/>
    <n v="2075.6999999999998"/>
    <n v="0"/>
    <n v="2075.6999999999998"/>
    <n v="10000"/>
    <n v="100"/>
    <x v="27"/>
    <x v="27"/>
    <s v="FORZA ACUMULADOR UPS/TIENDA"/>
    <x v="276"/>
    <s v="xmaltez"/>
    <s v="PMTRX00085442"/>
    <n v="4958930"/>
    <n v="1"/>
    <n v="36"/>
    <s v=""/>
  </r>
  <r>
    <n v="3009134"/>
    <x v="7"/>
    <x v="4"/>
    <x v="4"/>
    <n v="700"/>
    <n v="0"/>
    <n v="700"/>
    <n v="10000"/>
    <n v="100"/>
    <x v="27"/>
    <x v="27"/>
    <s v="REPARACIONES DE CAMARAS"/>
    <x v="277"/>
    <s v="jlopez"/>
    <s v="PMTRX00084221"/>
    <n v="4411011"/>
    <n v="1"/>
    <n v="36"/>
    <s v=""/>
  </r>
  <r>
    <n v="3067935"/>
    <x v="12"/>
    <x v="4"/>
    <x v="4"/>
    <n v="1850"/>
    <n v="0"/>
    <n v="1850"/>
    <n v="10000"/>
    <n v="100"/>
    <x v="34"/>
    <x v="34"/>
    <s v="GEEK PLAY / MT EQUIPO"/>
    <x v="278"/>
    <s v="xmaltez"/>
    <s v="GLTRX00965015"/>
    <n v="4957748"/>
    <n v="1"/>
    <n v="48"/>
    <s v=""/>
  </r>
  <r>
    <n v="3088470"/>
    <x v="21"/>
    <x v="4"/>
    <x v="4"/>
    <n v="2075.7199999999998"/>
    <n v="0"/>
    <n v="2075.7199999999998"/>
    <n v="10000"/>
    <n v="100"/>
    <x v="42"/>
    <x v="42"/>
    <s v="forza acumulador tiendas"/>
    <x v="279"/>
    <s v="xmaltez"/>
    <s v="PMTRX00085875"/>
    <n v="4975511"/>
    <n v="1"/>
    <n v="71"/>
    <s v=""/>
  </r>
  <r>
    <n v="3088467"/>
    <x v="21"/>
    <x v="4"/>
    <x v="4"/>
    <n v="896.64"/>
    <n v="0"/>
    <n v="896.64"/>
    <n v="10000"/>
    <n v="100"/>
    <x v="42"/>
    <x v="42"/>
    <s v="FORZA PROTECTOR A55"/>
    <x v="280"/>
    <s v="xmaltez"/>
    <s v="PMTRX00085875"/>
    <n v="4975508"/>
    <n v="1"/>
    <n v="71"/>
    <s v=""/>
  </r>
  <r>
    <n v="3083637"/>
    <x v="15"/>
    <x v="4"/>
    <x v="4"/>
    <n v="111.21"/>
    <n v="0"/>
    <n v="111.21"/>
    <n v="10000"/>
    <n v="100"/>
    <x v="42"/>
    <x v="42"/>
    <s v="MEGA IMAGE /CABLE VIDEO TIENDA"/>
    <x v="281"/>
    <s v="xmaltez"/>
    <s v="GLTRX00969753"/>
    <n v="4971194"/>
    <n v="1"/>
    <n v="71"/>
    <s v=""/>
  </r>
  <r>
    <n v="3067888"/>
    <x v="8"/>
    <x v="4"/>
    <x v="4"/>
    <n v="1295"/>
    <n v="0"/>
    <n v="1295"/>
    <n v="10000"/>
    <n v="100"/>
    <x v="79"/>
    <x v="79"/>
    <s v="GEEK PLAY/MT IMPRESORA A56"/>
    <x v="282"/>
    <s v="xmaltez"/>
    <s v="GLTRX00965015"/>
    <n v="4957728"/>
    <n v="1"/>
    <n v="72"/>
    <s v=""/>
  </r>
  <r>
    <n v="3083725"/>
    <x v="23"/>
    <x v="4"/>
    <x v="4"/>
    <n v="384.55"/>
    <n v="0"/>
    <n v="384.55"/>
    <n v="10000"/>
    <n v="100"/>
    <x v="45"/>
    <x v="45"/>
    <s v="SEVASA/CARTUCHO A60-85-83"/>
    <x v="283"/>
    <s v="xmaltez"/>
    <s v="GLTRX00969840"/>
    <n v="4971288"/>
    <n v="1"/>
    <n v="76"/>
    <s v=""/>
  </r>
  <r>
    <n v="3067935"/>
    <x v="12"/>
    <x v="4"/>
    <x v="4"/>
    <n v="1295"/>
    <n v="0"/>
    <n v="1295"/>
    <n v="10000"/>
    <n v="100"/>
    <x v="49"/>
    <x v="49"/>
    <s v="GEEK PLAY / MT EQUIPO"/>
    <x v="284"/>
    <s v="xmaltez"/>
    <s v="GLTRX00965015"/>
    <n v="4957748"/>
    <n v="1"/>
    <n v="81"/>
    <s v=""/>
  </r>
  <r>
    <n v="3083727"/>
    <x v="4"/>
    <x v="4"/>
    <x v="4"/>
    <n v="269.64"/>
    <n v="0"/>
    <n v="269.64"/>
    <n v="10000"/>
    <n v="100"/>
    <x v="50"/>
    <x v="50"/>
    <s v="SEVASA/CONECTOR A13-90-91-66"/>
    <x v="285"/>
    <s v="xmaltez"/>
    <s v="GLTRX00969840"/>
    <n v="4971290"/>
    <n v="1"/>
    <n v="82"/>
    <s v=""/>
  </r>
  <r>
    <n v="3068369"/>
    <x v="20"/>
    <x v="4"/>
    <x v="4"/>
    <n v="2075.7199999999998"/>
    <n v="0"/>
    <n v="2075.7199999999998"/>
    <n v="10000"/>
    <n v="100"/>
    <x v="50"/>
    <x v="50"/>
    <s v="FORZA ACUMULADOR UPS A66"/>
    <x v="286"/>
    <s v="xmaltez"/>
    <s v="PMTRX00085442"/>
    <n v="4958931"/>
    <n v="1"/>
    <n v="82"/>
    <s v=""/>
  </r>
  <r>
    <n v="3083637"/>
    <x v="15"/>
    <x v="4"/>
    <x v="4"/>
    <n v="111.21"/>
    <n v="0"/>
    <n v="111.21"/>
    <n v="10000"/>
    <n v="100"/>
    <x v="53"/>
    <x v="53"/>
    <s v="MEGA IMAGE /CABLE VIDEO TIENDA"/>
    <x v="287"/>
    <s v="xmaltez"/>
    <s v="GLTRX00969753"/>
    <n v="4971194"/>
    <n v="1"/>
    <n v="87"/>
    <s v=""/>
  </r>
  <r>
    <n v="3083559"/>
    <x v="15"/>
    <x v="4"/>
    <x v="4"/>
    <n v="8425"/>
    <n v="0"/>
    <n v="8425"/>
    <n v="10000"/>
    <n v="100"/>
    <x v="53"/>
    <x v="53"/>
    <s v="MT CAMARAS A70"/>
    <x v="288"/>
    <s v="xmaltez"/>
    <s v="PMTRX00085722"/>
    <n v="4971108"/>
    <n v="1"/>
    <n v="87"/>
    <s v=""/>
  </r>
  <r>
    <n v="3083637"/>
    <x v="15"/>
    <x v="4"/>
    <x v="4"/>
    <n v="111.21"/>
    <n v="0"/>
    <n v="111.21"/>
    <n v="10000"/>
    <n v="100"/>
    <x v="54"/>
    <x v="54"/>
    <s v="MEGA IMAGE /CABLE VIDEO TIENDA"/>
    <x v="289"/>
    <s v="xmaltez"/>
    <s v="GLTRX00969753"/>
    <n v="4971194"/>
    <n v="1"/>
    <n v="86"/>
    <s v=""/>
  </r>
  <r>
    <n v="3009127"/>
    <x v="7"/>
    <x v="4"/>
    <x v="4"/>
    <n v="1739"/>
    <n v="0"/>
    <n v="1739"/>
    <n v="10000"/>
    <n v="100"/>
    <x v="59"/>
    <x v="59"/>
    <s v="Cargador Dell-A77"/>
    <x v="290"/>
    <s v="jlopez"/>
    <s v="PMTRX00084221"/>
    <n v="4411006"/>
    <n v="1"/>
    <n v="92"/>
    <s v=""/>
  </r>
  <r>
    <n v="3088414"/>
    <x v="22"/>
    <x v="4"/>
    <x v="4"/>
    <n v="2300"/>
    <n v="0"/>
    <n v="2300"/>
    <n v="10000"/>
    <n v="100"/>
    <x v="60"/>
    <x v="60"/>
    <s v="CARGADOR DELL A78"/>
    <x v="291"/>
    <s v="xmaltez"/>
    <s v="PMTRX00085873"/>
    <n v="4975478"/>
    <n v="1"/>
    <n v="94"/>
    <s v=""/>
  </r>
  <r>
    <n v="3083725"/>
    <x v="23"/>
    <x v="4"/>
    <x v="4"/>
    <n v="384.55"/>
    <n v="0"/>
    <n v="384.55"/>
    <n v="10000"/>
    <n v="100"/>
    <x v="63"/>
    <x v="63"/>
    <s v="SEVASA/CARTUCHO A60-85-83"/>
    <x v="292"/>
    <s v="xmaltez"/>
    <s v="GLTRX00969840"/>
    <n v="4971288"/>
    <n v="1"/>
    <n v="97"/>
    <s v=""/>
  </r>
  <r>
    <n v="3083725"/>
    <x v="23"/>
    <x v="4"/>
    <x v="4"/>
    <n v="384.55"/>
    <n v="0"/>
    <n v="384.55"/>
    <n v="10000"/>
    <n v="100"/>
    <x v="85"/>
    <x v="85"/>
    <s v="SEVASA/CARTUCHO A60-85-83"/>
    <x v="293"/>
    <s v="xmaltez"/>
    <s v="GLTRX00969840"/>
    <n v="4971288"/>
    <n v="1"/>
    <n v="101"/>
    <s v=""/>
  </r>
  <r>
    <n v="3009134"/>
    <x v="7"/>
    <x v="4"/>
    <x v="4"/>
    <n v="700"/>
    <n v="0"/>
    <n v="700"/>
    <n v="10000"/>
    <n v="100"/>
    <x v="85"/>
    <x v="85"/>
    <s v="REPARACIONES DE CAMARAS"/>
    <x v="294"/>
    <s v="jlopez"/>
    <s v="PMTRX00084221"/>
    <n v="4411011"/>
    <n v="1"/>
    <n v="101"/>
    <s v=""/>
  </r>
  <r>
    <n v="3084869"/>
    <x v="11"/>
    <x v="4"/>
    <x v="4"/>
    <n v="1924.46"/>
    <n v="0"/>
    <n v="1924.46"/>
    <n v="10000"/>
    <n v="100"/>
    <x v="86"/>
    <x v="86"/>
    <s v="SEVASA/MONITOR SOPORTE A90+91"/>
    <x v="295"/>
    <s v="xmaltez"/>
    <s v="GLTRX00969840"/>
    <n v="4971305"/>
    <n v="1"/>
    <n v="107"/>
    <s v=""/>
  </r>
  <r>
    <n v="3083727"/>
    <x v="4"/>
    <x v="4"/>
    <x v="4"/>
    <n v="269.64"/>
    <n v="0"/>
    <n v="269.64"/>
    <n v="10000"/>
    <n v="100"/>
    <x v="86"/>
    <x v="86"/>
    <s v="SEVASA/CONECTOR A13-90-91-66"/>
    <x v="296"/>
    <s v="xmaltez"/>
    <s v="GLTRX00969840"/>
    <n v="4971290"/>
    <n v="1"/>
    <n v="107"/>
    <s v=""/>
  </r>
  <r>
    <n v="3067980"/>
    <x v="4"/>
    <x v="4"/>
    <x v="4"/>
    <n v="6946.56"/>
    <n v="0"/>
    <n v="6946.56"/>
    <n v="10000"/>
    <n v="100"/>
    <x v="86"/>
    <x v="86"/>
    <s v="CONICO/CAJA DE DINERO"/>
    <x v="297"/>
    <s v="xmaltez"/>
    <s v="GLTRX00965015"/>
    <n v="4958847"/>
    <n v="1"/>
    <n v="107"/>
    <s v=""/>
  </r>
  <r>
    <n v="3088473"/>
    <x v="21"/>
    <x v="4"/>
    <x v="4"/>
    <n v="12233.1"/>
    <n v="0"/>
    <n v="12233.1"/>
    <n v="10000"/>
    <n v="100"/>
    <x v="87"/>
    <x v="87"/>
    <s v="UPS+SWITCH8 PUERTO A91"/>
    <x v="298"/>
    <s v="xmaltez"/>
    <s v="PMTRX00085875"/>
    <n v="4975514"/>
    <n v="1"/>
    <n v="106"/>
    <s v=""/>
  </r>
  <r>
    <n v="3084869"/>
    <x v="11"/>
    <x v="4"/>
    <x v="4"/>
    <n v="1924.46"/>
    <n v="0"/>
    <n v="1924.46"/>
    <n v="10000"/>
    <n v="100"/>
    <x v="87"/>
    <x v="87"/>
    <s v="SEVASA/MONITOR SOPORTE A90+91"/>
    <x v="299"/>
    <s v="xmaltez"/>
    <s v="GLTRX00969840"/>
    <n v="4971305"/>
    <n v="1"/>
    <n v="106"/>
    <s v=""/>
  </r>
  <r>
    <n v="3083727"/>
    <x v="4"/>
    <x v="4"/>
    <x v="4"/>
    <n v="269.64"/>
    <n v="0"/>
    <n v="269.64"/>
    <n v="10000"/>
    <n v="100"/>
    <x v="87"/>
    <x v="87"/>
    <s v="SEVASA/CONECTOR A13-90-91-66"/>
    <x v="300"/>
    <s v="xmaltez"/>
    <s v="GLTRX00969840"/>
    <n v="4971290"/>
    <n v="1"/>
    <n v="106"/>
    <s v=""/>
  </r>
  <r>
    <n v="3083653"/>
    <x v="15"/>
    <x v="4"/>
    <x v="4"/>
    <n v="5585"/>
    <n v="0"/>
    <n v="5585"/>
    <n v="10000"/>
    <n v="100"/>
    <x v="87"/>
    <x v="87"/>
    <s v="MASTER TECNOLV/TINAJITAS A91"/>
    <x v="301"/>
    <s v="xmaltez"/>
    <s v="GLTRX00969753"/>
    <n v="4971222"/>
    <n v="1"/>
    <n v="106"/>
    <s v=""/>
  </r>
  <r>
    <n v="3078106"/>
    <x v="21"/>
    <x v="4"/>
    <x v="4"/>
    <n v="1497.6"/>
    <n v="0"/>
    <n v="1497.6"/>
    <n v="10000"/>
    <n v="100"/>
    <x v="87"/>
    <x v="87"/>
    <s v="CONICO/ RAUTER A91"/>
    <x v="302"/>
    <s v="xmaltez"/>
    <s v="GLTRX00967963"/>
    <n v="4967209"/>
    <n v="1"/>
    <n v="106"/>
    <s v=""/>
  </r>
  <r>
    <n v="3067980"/>
    <x v="4"/>
    <x v="4"/>
    <x v="4"/>
    <n v="6946.56"/>
    <n v="0"/>
    <n v="6946.56"/>
    <n v="10000"/>
    <n v="100"/>
    <x v="87"/>
    <x v="87"/>
    <s v="CONICO/CAJA DE DINERO"/>
    <x v="303"/>
    <s v="xmaltez"/>
    <s v="GLTRX00965015"/>
    <n v="4958847"/>
    <n v="1"/>
    <n v="106"/>
    <s v=""/>
  </r>
  <r>
    <n v="3067893"/>
    <x v="4"/>
    <x v="4"/>
    <x v="4"/>
    <n v="150.81"/>
    <n v="0"/>
    <n v="150.81"/>
    <n v="10000"/>
    <n v="100"/>
    <x v="87"/>
    <x v="87"/>
    <s v="SINSA RADIAL / TIENDAS"/>
    <x v="304"/>
    <s v="xmaltez"/>
    <s v="GLTRX00965015"/>
    <n v="4957737"/>
    <n v="1"/>
    <n v="106"/>
    <s v=""/>
  </r>
  <r>
    <n v="3067893"/>
    <x v="4"/>
    <x v="4"/>
    <x v="4"/>
    <n v="2447.06"/>
    <n v="0"/>
    <n v="2447.06"/>
    <n v="10000"/>
    <n v="100"/>
    <x v="87"/>
    <x v="87"/>
    <s v="SINSA RADIAL / TIENDAS"/>
    <x v="305"/>
    <s v="xmaltez"/>
    <s v="GLTRX00965015"/>
    <n v="4957737"/>
    <n v="1"/>
    <n v="106"/>
    <s v=""/>
  </r>
  <r>
    <n v="3067893"/>
    <x v="4"/>
    <x v="4"/>
    <x v="4"/>
    <n v="373.79"/>
    <n v="0"/>
    <n v="373.79"/>
    <n v="10000"/>
    <n v="100"/>
    <x v="87"/>
    <x v="87"/>
    <s v="SINSA RADIAL / TIENDAS"/>
    <x v="306"/>
    <s v="xmaltez"/>
    <s v="GLTRX00965015"/>
    <n v="4957737"/>
    <n v="1"/>
    <n v="106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3041883"/>
    <x v="0"/>
    <s v="06-10-006-010"/>
    <x v="0"/>
    <n v="11902.9"/>
    <n v="0"/>
    <n v="11902.9"/>
    <n v="10000"/>
    <n v="100"/>
    <s v="AMPM27"/>
    <x v="0"/>
    <s v="DESINTALACION DE LLAVES A27"/>
    <s v="DESINTALACION LLAVES A27"/>
    <s v="xmaltez"/>
    <s v="PMTRX00084826"/>
    <n v="4937727"/>
    <n v="1"/>
    <n v="34"/>
    <s v=""/>
  </r>
  <r>
    <m/>
    <x v="1"/>
    <m/>
    <x v="1"/>
    <m/>
    <m/>
    <m/>
    <m/>
    <m/>
    <s v="AMPM01"/>
    <x v="1"/>
    <m/>
    <m/>
    <m/>
    <m/>
    <m/>
    <m/>
    <m/>
    <m/>
  </r>
  <r>
    <m/>
    <x v="1"/>
    <m/>
    <x v="1"/>
    <m/>
    <m/>
    <m/>
    <m/>
    <m/>
    <s v="AMPM64"/>
    <x v="2"/>
    <m/>
    <m/>
    <m/>
    <m/>
    <m/>
    <m/>
    <m/>
    <m/>
  </r>
  <r>
    <n v="3041868"/>
    <x v="0"/>
    <s v="06-10-006-010"/>
    <x v="0"/>
    <n v="65923.740000000005"/>
    <n v="0"/>
    <n v="65923.740000000005"/>
    <n v="10000"/>
    <n v="100"/>
    <s v="AMPM52"/>
    <x v="3"/>
    <s v="MT ROTULO T EN AMPM52"/>
    <s v="MATENIMIENTO ROTULO/ SERV GRUA"/>
    <s v="xmaltez"/>
    <s v="PMTRX00084826"/>
    <n v="4937720"/>
    <n v="1"/>
    <n v="66"/>
    <s v=""/>
  </r>
  <r>
    <n v="3041876"/>
    <x v="0"/>
    <s v="06-10-006-010"/>
    <x v="0"/>
    <n v="8789.83"/>
    <n v="0"/>
    <n v="8789.83"/>
    <n v="10000"/>
    <n v="100"/>
    <s v="AMPM79"/>
    <x v="4"/>
    <s v="DESINTA FASCIA AMPM79"/>
    <s v="SERV DESINTA FASCIA LATERAL"/>
    <s v="xmaltez"/>
    <s v="PMTRX00084826"/>
    <n v="4937721"/>
    <n v="1"/>
    <n v="95"/>
    <s v=""/>
  </r>
  <r>
    <n v="3094563"/>
    <x v="2"/>
    <s v="06-10-008-003"/>
    <x v="1"/>
    <n v="3200"/>
    <n v="0"/>
    <n v="3200"/>
    <n v="10000"/>
    <n v="100"/>
    <s v="ADMON"/>
    <x v="5"/>
    <s v="AJUSTE PUERTA  OFICINA"/>
    <s v="Compras"/>
    <s v="xmaltez"/>
    <s v="PMTRX00085882"/>
    <n v="4977633"/>
    <n v="1"/>
    <n v="27"/>
    <s v=""/>
  </r>
  <r>
    <n v="3041740"/>
    <x v="3"/>
    <s v="06-10-008-003"/>
    <x v="1"/>
    <n v="5209.87"/>
    <n v="0"/>
    <n v="5209.87"/>
    <n v="10000"/>
    <n v="100"/>
    <s v="ADMON"/>
    <x v="5"/>
    <s v="SINSA/ MT ARCHIVO-DIONIS"/>
    <s v="ROTULO EXTINTOR+ABANICO ARCHIV"/>
    <s v="xmaltez"/>
    <s v="GLTRX00956709"/>
    <n v="4937613"/>
    <n v="1"/>
    <n v="27"/>
    <s v=""/>
  </r>
  <r>
    <n v="3040736"/>
    <x v="4"/>
    <s v="06-10-008-003"/>
    <x v="1"/>
    <n v="2450.4299999999998"/>
    <n v="0"/>
    <n v="2450.4299999999998"/>
    <n v="10000"/>
    <n v="100"/>
    <s v="ADMON"/>
    <x v="5"/>
    <s v="SINSA/MT TIENDAS-DIONIS"/>
    <s v="ESCALERA TIJERA ADMON"/>
    <s v="xmaltez"/>
    <s v="GLTRX00955853"/>
    <n v="4936012"/>
    <n v="1"/>
    <n v="27"/>
    <s v=""/>
  </r>
  <r>
    <n v="3097667"/>
    <x v="5"/>
    <s v="06-10-008-003"/>
    <x v="1"/>
    <n v="25829.599999999999"/>
    <n v="0"/>
    <n v="25829.599999999999"/>
    <n v="10000"/>
    <n v="100"/>
    <s v="AMPM99"/>
    <x v="6"/>
    <s v="INSTAL  LAMPARAS/MITRAB CELOXA"/>
    <s v="INSTAL  LAMPARAS/MITRAB CELOXA"/>
    <s v="xmaltez"/>
    <s v="PMTRX00085891"/>
    <n v="4977770"/>
    <n v="1"/>
    <n v="33"/>
    <s v=""/>
  </r>
  <r>
    <n v="3088413"/>
    <x v="6"/>
    <s v="06-10-008-003"/>
    <x v="1"/>
    <n v="1244.19"/>
    <n v="0"/>
    <n v="1244.19"/>
    <n v="10000"/>
    <n v="100"/>
    <s v="AMPM99"/>
    <x v="6"/>
    <s v="SINSA"/>
    <s v="Silicon-Llave CEDI"/>
    <s v="jlopez"/>
    <s v="GLTRX00970892"/>
    <n v="4975475"/>
    <n v="1"/>
    <n v="33"/>
    <s v=""/>
  </r>
  <r>
    <n v="3088389"/>
    <x v="7"/>
    <s v="06-10-008-003"/>
    <x v="1"/>
    <n v="4956.5200000000004"/>
    <n v="0"/>
    <n v="4956.5200000000004"/>
    <n v="10000"/>
    <n v="100"/>
    <s v="AMPM99"/>
    <x v="6"/>
    <s v="WALMART CARRETERA MASAYA"/>
    <s v="Dipensador CEDI"/>
    <s v="jlopez"/>
    <s v="GLTRX00970892"/>
    <n v="4975454"/>
    <n v="1"/>
    <n v="33"/>
    <s v=""/>
  </r>
  <r>
    <n v="3087867"/>
    <x v="6"/>
    <s v="06-10-008-003"/>
    <x v="1"/>
    <n v="480"/>
    <n v="0"/>
    <n v="480"/>
    <n v="10000"/>
    <n v="100"/>
    <s v="AMPM99"/>
    <x v="6"/>
    <s v="MAT DE CONST"/>
    <s v="Llave lavamano CEDI"/>
    <s v="jlopez"/>
    <s v="GLTRX00970892"/>
    <n v="4975033"/>
    <n v="1"/>
    <n v="33"/>
    <s v=""/>
  </r>
  <r>
    <n v="3040736"/>
    <x v="4"/>
    <s v="06-10-008-003"/>
    <x v="1"/>
    <n v="2120.87"/>
    <n v="0"/>
    <n v="2120.87"/>
    <n v="10000"/>
    <n v="100"/>
    <s v="AMPM99"/>
    <x v="6"/>
    <s v="SINSA/MT TIENDAS-DIONIS"/>
    <s v="LUMINARIA PANEL LED CELOXA"/>
    <s v="xmaltez"/>
    <s v="GLTRX00955853"/>
    <n v="4936012"/>
    <n v="1"/>
    <n v="33"/>
    <s v=""/>
  </r>
  <r>
    <n v="3043244"/>
    <x v="8"/>
    <s v="06-10-008-003"/>
    <x v="1"/>
    <n v="21500"/>
    <n v="0"/>
    <n v="21500"/>
    <n v="10000"/>
    <n v="100"/>
    <s v="MONITOREO"/>
    <x v="7"/>
    <s v="MT EN TIENDA- MONITOREO"/>
    <s v="LIMPIEZA+PINTURA/ MONITOREO"/>
    <s v="xmaltez"/>
    <s v="PMTRX00084831"/>
    <n v="4938480"/>
    <n v="1"/>
    <n v="30"/>
    <s v=""/>
  </r>
  <r>
    <n v="3087549"/>
    <x v="3"/>
    <s v="06-10-008-003"/>
    <x v="1"/>
    <n v="5599.41"/>
    <n v="0"/>
    <n v="5599.41"/>
    <n v="10000"/>
    <n v="100"/>
    <s v="OPERACIONES"/>
    <x v="8"/>
    <s v="PINTURA SUR"/>
    <s v="Pintura punto de reuniones"/>
    <s v="jlopez"/>
    <s v="GLTRX00970892"/>
    <n v="4974747"/>
    <n v="1"/>
    <n v="31"/>
    <s v=""/>
  </r>
  <r>
    <n v="3084900"/>
    <x v="9"/>
    <s v="06-10-008-003"/>
    <x v="1"/>
    <n v="2500"/>
    <n v="0"/>
    <n v="2500"/>
    <n v="10000"/>
    <n v="100"/>
    <s v="OPERACIONES"/>
    <x v="8"/>
    <s v="Entrada: Transacción Externa."/>
    <s v="Suministro mano obra SASA"/>
    <s v="jgonzalez"/>
    <s v="GLTRX00969870"/>
    <n v="4971331"/>
    <n v="1"/>
    <n v="31"/>
    <s v=""/>
  </r>
  <r>
    <n v="3040738"/>
    <x v="9"/>
    <s v="06-10-008-003"/>
    <x v="1"/>
    <n v="319.85000000000002"/>
    <n v="0"/>
    <n v="319.85000000000002"/>
    <n v="10000"/>
    <n v="100"/>
    <s v="OPERACIONES"/>
    <x v="8"/>
    <s v="SINSA/ DIONIS"/>
    <s v="KIT INODORO"/>
    <s v="xmaltez"/>
    <s v="GLTRX00955853"/>
    <n v="4935877"/>
    <n v="1"/>
    <n v="31"/>
    <s v=""/>
  </r>
  <r>
    <n v="3009079"/>
    <x v="10"/>
    <s v="06-10-008-003"/>
    <x v="1"/>
    <n v="3108"/>
    <n v="0"/>
    <n v="3108"/>
    <n v="10000"/>
    <n v="100"/>
    <s v="OPERACIONES"/>
    <x v="8"/>
    <s v="LEDSOLUTIONS Nicaragua"/>
    <s v="Transfrmador Interior Generico"/>
    <s v="jlopez"/>
    <s v="GLTRX00946637"/>
    <n v="4410956"/>
    <n v="1"/>
    <n v="31"/>
    <s v=""/>
  </r>
  <r>
    <n v="3087974"/>
    <x v="11"/>
    <s v="06-10-008-003"/>
    <x v="1"/>
    <n v="115"/>
    <n v="0"/>
    <n v="115"/>
    <n v="10000"/>
    <n v="100"/>
    <s v="PANADE"/>
    <x v="9"/>
    <s v="LA ALFORJA"/>
    <s v="Apagador Sencillo PANADE"/>
    <s v="jlopez"/>
    <s v="GLTRX00970892"/>
    <n v="4975453"/>
    <n v="1"/>
    <n v="32"/>
    <s v=""/>
  </r>
  <r>
    <n v="3043243"/>
    <x v="8"/>
    <s v="06-10-008-003"/>
    <x v="1"/>
    <n v="11802.23"/>
    <n v="0"/>
    <n v="11802.23"/>
    <n v="10000"/>
    <n v="100"/>
    <s v="PANADE"/>
    <x v="9"/>
    <s v="MT HIDROSANITARIO PANADERIA"/>
    <s v="MT HIDROSANITARIO PANADERIA"/>
    <s v="xmaltez"/>
    <s v="PMTRX00084831"/>
    <n v="4938479"/>
    <n v="1"/>
    <n v="32"/>
    <s v=""/>
  </r>
  <r>
    <n v="3041354"/>
    <x v="12"/>
    <s v="06-10-008-003"/>
    <x v="1"/>
    <n v="7791"/>
    <n v="0"/>
    <n v="7791"/>
    <n v="10000"/>
    <n v="100"/>
    <s v="PANADE"/>
    <x v="9"/>
    <s v="DISTNICA/MT PANADE-DIONIS"/>
    <s v="DISPENSADOR PAPEL TOALLA PANAD"/>
    <s v="xmaltez"/>
    <s v="GLTRX00955853"/>
    <n v="4937359"/>
    <n v="1"/>
    <n v="32"/>
    <s v=""/>
  </r>
  <r>
    <n v="3040734"/>
    <x v="12"/>
    <s v="06-10-008-003"/>
    <x v="1"/>
    <n v="10922.8"/>
    <n v="0"/>
    <n v="10922.8"/>
    <n v="10000"/>
    <n v="100"/>
    <s v="PANADE"/>
    <x v="9"/>
    <s v="SINSA/ MT PANADERIA- DIONIS"/>
    <s v="MANGUERA-LUMNARIA LED-PANADE"/>
    <s v="xmaltez"/>
    <s v="GLTRX00955853"/>
    <n v="4935876"/>
    <n v="1"/>
    <n v="32"/>
    <s v=""/>
  </r>
  <r>
    <n v="3110686"/>
    <x v="2"/>
    <s v="06-10-008-003"/>
    <x v="1"/>
    <n v="165"/>
    <n v="0"/>
    <n v="165"/>
    <n v="10000"/>
    <n v="100"/>
    <s v="AMPM02"/>
    <x v="10"/>
    <s v="Entrada: Transacción Externa."/>
    <s v=" Materiales ferreteros"/>
    <s v="mvasquez"/>
    <s v="GLTRX00977427"/>
    <n v="4992786"/>
    <n v="1"/>
    <n v="2"/>
    <s v=""/>
  </r>
  <r>
    <n v="3087546"/>
    <x v="13"/>
    <s v="06-10-008-003"/>
    <x v="1"/>
    <n v="1500"/>
    <n v="0"/>
    <n v="1500"/>
    <n v="10000"/>
    <n v="100"/>
    <s v="AMPM02"/>
    <x v="10"/>
    <s v="Entrada: Transacción Externa."/>
    <s v="Instalación de televA02"/>
    <s v="jgonzalez"/>
    <s v="GLTRX00970893"/>
    <n v="4974611"/>
    <n v="1"/>
    <n v="2"/>
    <s v=""/>
  </r>
  <r>
    <n v="3081645"/>
    <x v="14"/>
    <s v="06-10-008-003"/>
    <x v="1"/>
    <n v="709.97"/>
    <n v="0"/>
    <n v="709.97"/>
    <n v="10000"/>
    <n v="100"/>
    <s v="AMPM03"/>
    <x v="11"/>
    <s v="SINSA/AMPM03"/>
    <s v="LUMINARIA LED AMPM03"/>
    <s v="xmaltez"/>
    <s v="GLTRX00968931"/>
    <n v="4969885"/>
    <n v="1"/>
    <n v="3"/>
    <s v=""/>
  </r>
  <r>
    <n v="3097703"/>
    <x v="15"/>
    <s v="06-10-008-003"/>
    <x v="1"/>
    <n v="10531"/>
    <n v="0"/>
    <n v="10531"/>
    <n v="10000"/>
    <n v="100"/>
    <s v="AMPM04"/>
    <x v="12"/>
    <s v="FABRICACION DE EMPAQUES A04"/>
    <s v="EMPAQUE PARA PUERTA CF+MANO OB"/>
    <s v="xmaltez"/>
    <s v="PMTRX00085892"/>
    <n v="4977884"/>
    <n v="1"/>
    <n v="4"/>
    <s v=""/>
  </r>
  <r>
    <n v="3096073"/>
    <x v="12"/>
    <s v="06-10-008-003"/>
    <x v="1"/>
    <n v="4500"/>
    <n v="0"/>
    <n v="4500"/>
    <n v="10000"/>
    <n v="100"/>
    <s v="AMPM04"/>
    <x v="12"/>
    <s v="MT CAJA FUERTE A04"/>
    <s v="MT CAJA FUERTE A04"/>
    <s v="xmaltez"/>
    <s v="PMTRX00085885"/>
    <n v="4977662"/>
    <n v="1"/>
    <n v="4"/>
    <s v=""/>
  </r>
  <r>
    <n v="3043201"/>
    <x v="16"/>
    <s v="06-10-008-003"/>
    <x v="1"/>
    <n v="2300"/>
    <n v="0"/>
    <n v="2300"/>
    <n v="10000"/>
    <n v="100"/>
    <s v="AMPM04"/>
    <x v="12"/>
    <s v="MT EN TIENDAS"/>
    <s v="MT EN LIJADO TAPA INFERIOR A4"/>
    <s v="xmaltez"/>
    <s v="PMTRX00084828"/>
    <n v="4937751"/>
    <n v="1"/>
    <n v="4"/>
    <s v=""/>
  </r>
  <r>
    <n v="3097707"/>
    <x v="17"/>
    <s v="06-10-008-003"/>
    <x v="1"/>
    <n v="10531"/>
    <n v="0"/>
    <n v="10531"/>
    <n v="10000"/>
    <n v="100"/>
    <s v="AMPM05"/>
    <x v="13"/>
    <s v="FABRICACION DE EMPAQUES A05"/>
    <s v="EMPAQUE PARA PUERTA CF A05"/>
    <s v="xmaltez"/>
    <s v="PMTRX00085892"/>
    <n v="4977885"/>
    <n v="1"/>
    <n v="5"/>
    <s v=""/>
  </r>
  <r>
    <n v="3096058"/>
    <x v="2"/>
    <s v="06-10-008-003"/>
    <x v="1"/>
    <n v="3560"/>
    <n v="0"/>
    <n v="3560"/>
    <n v="10000"/>
    <n v="100"/>
    <s v="AMPM05"/>
    <x v="13"/>
    <s v="CAMBIO RIEL PUERTA A05"/>
    <s v="Compras"/>
    <s v="xmaltez"/>
    <s v="PMTRX00085883"/>
    <n v="4977644"/>
    <n v="1"/>
    <n v="5"/>
    <s v=""/>
  </r>
  <r>
    <n v="3094557"/>
    <x v="2"/>
    <s v="06-10-008-003"/>
    <x v="1"/>
    <n v="1920"/>
    <n v="0"/>
    <n v="1920"/>
    <n v="10000"/>
    <n v="100"/>
    <s v="AMPM05"/>
    <x v="13"/>
    <s v="AJUSTE DE PUERTA A05"/>
    <s v="Compras"/>
    <s v="xmaltez"/>
    <s v="PMTRX00085882"/>
    <n v="4977627"/>
    <n v="1"/>
    <n v="5"/>
    <s v=""/>
  </r>
  <r>
    <n v="3088392"/>
    <x v="6"/>
    <s v="06-10-008-003"/>
    <x v="1"/>
    <n v="4394.91"/>
    <n v="0"/>
    <n v="4394.91"/>
    <n v="10000"/>
    <n v="100"/>
    <s v="AMPM05"/>
    <x v="13"/>
    <s v="MOBI EQUIIPOS"/>
    <s v="Locker Metalico A05"/>
    <s v="jlopez"/>
    <s v="GLTRX00970892"/>
    <n v="4975459"/>
    <n v="1"/>
    <n v="5"/>
    <s v=""/>
  </r>
  <r>
    <n v="3087690"/>
    <x v="18"/>
    <s v="06-10-008-003"/>
    <x v="1"/>
    <n v="651.48"/>
    <n v="0"/>
    <n v="651.48"/>
    <n v="10000"/>
    <n v="100"/>
    <s v="AMPM05"/>
    <x v="13"/>
    <s v="SINSA"/>
    <s v="Luminaria Led A05"/>
    <s v="jlopez"/>
    <s v="GLTRX00970892"/>
    <n v="4974931"/>
    <n v="1"/>
    <n v="5"/>
    <s v=""/>
  </r>
  <r>
    <n v="3043201"/>
    <x v="16"/>
    <s v="06-10-008-003"/>
    <x v="1"/>
    <n v="2350"/>
    <n v="0"/>
    <n v="2350"/>
    <n v="10000"/>
    <n v="100"/>
    <s v="AMPM05"/>
    <x v="13"/>
    <s v="MT EN TIENDAS"/>
    <s v="MT MOPI A05 LIJADO Y PINTURA"/>
    <s v="xmaltez"/>
    <s v="PMTRX00084828"/>
    <n v="4937751"/>
    <n v="1"/>
    <n v="5"/>
    <s v=""/>
  </r>
  <r>
    <n v="3041881"/>
    <x v="0"/>
    <s v="06-10-008-003"/>
    <x v="1"/>
    <n v="6592.37"/>
    <n v="0"/>
    <n v="6592.37"/>
    <n v="10000"/>
    <n v="100"/>
    <s v="AMPM05"/>
    <x v="13"/>
    <s v="MT EN TIENDA A05"/>
    <s v="CAMBIO PUERTA QUEBRADA+VISAGRA"/>
    <s v="xmaltez"/>
    <s v="PMTRX00084826"/>
    <n v="4937725"/>
    <n v="1"/>
    <n v="5"/>
    <s v=""/>
  </r>
  <r>
    <n v="3097763"/>
    <x v="7"/>
    <s v="06-10-008-003"/>
    <x v="1"/>
    <n v="24640"/>
    <n v="0"/>
    <n v="24640"/>
    <n v="10000"/>
    <n v="100"/>
    <s v="AMPM06"/>
    <x v="14"/>
    <s v="INSTA EMPAQUES A06"/>
    <s v="EMPAQUE PUERTA CF A06"/>
    <s v="xmaltez"/>
    <s v="PMTRX00085892"/>
    <n v="4977895"/>
    <n v="1"/>
    <n v="6"/>
    <s v=""/>
  </r>
  <r>
    <n v="3094561"/>
    <x v="2"/>
    <s v="06-10-008-003"/>
    <x v="1"/>
    <n v="2720"/>
    <n v="0"/>
    <n v="2720"/>
    <n v="10000"/>
    <n v="100"/>
    <s v="AMPM06"/>
    <x v="14"/>
    <s v="AJUSTE PUERTA A06"/>
    <s v="Compras"/>
    <s v="xmaltez"/>
    <s v="PMTRX00085882"/>
    <n v="4977631"/>
    <n v="1"/>
    <n v="6"/>
    <s v=""/>
  </r>
  <r>
    <n v="3088392"/>
    <x v="6"/>
    <s v="06-10-008-003"/>
    <x v="1"/>
    <n v="4394.91"/>
    <n v="0"/>
    <n v="4394.91"/>
    <n v="10000"/>
    <n v="100"/>
    <s v="AMPM06"/>
    <x v="14"/>
    <s v="MOBI EQUIIPOS"/>
    <s v="Locker Metalico A06"/>
    <s v="jlopez"/>
    <s v="GLTRX00970892"/>
    <n v="4975459"/>
    <n v="1"/>
    <n v="6"/>
    <s v=""/>
  </r>
  <r>
    <n v="3087690"/>
    <x v="18"/>
    <s v="06-10-008-003"/>
    <x v="1"/>
    <n v="182.08"/>
    <n v="0"/>
    <n v="182.08"/>
    <n v="10000"/>
    <n v="100"/>
    <s v="AMPM06"/>
    <x v="14"/>
    <s v="SINSA"/>
    <s v="Tornillo-Espiche A06"/>
    <s v="jlopez"/>
    <s v="GLTRX00970892"/>
    <n v="4974931"/>
    <n v="1"/>
    <n v="6"/>
    <s v=""/>
  </r>
  <r>
    <n v="3084900"/>
    <x v="9"/>
    <s v="06-10-008-003"/>
    <x v="1"/>
    <n v="2500"/>
    <n v="0"/>
    <n v="2500"/>
    <n v="10000"/>
    <n v="100"/>
    <s v="AMPM06"/>
    <x v="14"/>
    <s v="Entrada: Transacción Externa."/>
    <s v="Movimiento de tuberiA06"/>
    <s v="jgonzalez"/>
    <s v="GLTRX00969870"/>
    <n v="4971331"/>
    <n v="1"/>
    <n v="6"/>
    <s v=""/>
  </r>
  <r>
    <n v="3084900"/>
    <x v="9"/>
    <s v="06-10-008-003"/>
    <x v="1"/>
    <n v="1750"/>
    <n v="0"/>
    <n v="1750"/>
    <n v="10000"/>
    <n v="100"/>
    <s v="AMPM06"/>
    <x v="14"/>
    <s v="Entrada: Transacción Externa."/>
    <s v="Traslado de laminas A06"/>
    <s v="jgonzalez"/>
    <s v="GLTRX00969870"/>
    <n v="4971331"/>
    <n v="1"/>
    <n v="6"/>
    <s v=""/>
  </r>
  <r>
    <n v="3084900"/>
    <x v="9"/>
    <s v="06-10-008-003"/>
    <x v="1"/>
    <n v="16800"/>
    <n v="0"/>
    <n v="16800"/>
    <n v="10000"/>
    <n v="100"/>
    <s v="AMPM06"/>
    <x v="14"/>
    <s v="Entrada: Transacción Externa."/>
    <s v="Cambio de laminas deA06"/>
    <s v="jgonzalez"/>
    <s v="GLTRX00969870"/>
    <n v="4971331"/>
    <n v="1"/>
    <n v="6"/>
    <s v=""/>
  </r>
  <r>
    <n v="3081609"/>
    <x v="7"/>
    <s v="06-10-008-003"/>
    <x v="1"/>
    <n v="12682"/>
    <n v="0"/>
    <n v="12682"/>
    <n v="10000"/>
    <n v="100"/>
    <s v="AMPM06"/>
    <x v="14"/>
    <s v="INSTA PORCELANATO A06"/>
    <s v="INSTA PISO+TAPA TANQUE INODORO"/>
    <s v="xmaltez"/>
    <s v="PMTRX00085694"/>
    <n v="4969833"/>
    <n v="1"/>
    <n v="6"/>
    <s v=""/>
  </r>
  <r>
    <n v="3043201"/>
    <x v="16"/>
    <s v="06-10-008-003"/>
    <x v="1"/>
    <n v="2300"/>
    <n v="0"/>
    <n v="2300"/>
    <n v="10000"/>
    <n v="100"/>
    <s v="AMPM06"/>
    <x v="14"/>
    <s v="MT EN TIENDAS"/>
    <s v="MT MOPI A6 LIJADO Y PINTURA"/>
    <s v="xmaltez"/>
    <s v="PMTRX00084828"/>
    <n v="4937751"/>
    <n v="1"/>
    <n v="6"/>
    <s v=""/>
  </r>
  <r>
    <n v="3088392"/>
    <x v="6"/>
    <s v="06-10-008-003"/>
    <x v="1"/>
    <n v="4394.91"/>
    <n v="0"/>
    <n v="4394.91"/>
    <n v="10000"/>
    <n v="100"/>
    <s v="AMPM08"/>
    <x v="15"/>
    <s v="MOBI EQUIIPOS"/>
    <s v="Locker Metalico A08"/>
    <s v="jlopez"/>
    <s v="GLTRX00970892"/>
    <n v="4975459"/>
    <n v="1"/>
    <n v="8"/>
    <s v=""/>
  </r>
  <r>
    <n v="3087690"/>
    <x v="18"/>
    <s v="06-10-008-003"/>
    <x v="1"/>
    <n v="80.09"/>
    <n v="0"/>
    <n v="80.09"/>
    <n v="10000"/>
    <n v="100"/>
    <s v="AMPM08"/>
    <x v="15"/>
    <s v="SINSA"/>
    <s v="Pasador Recto A08"/>
    <s v="jlopez"/>
    <s v="GLTRX00970892"/>
    <n v="4974931"/>
    <n v="1"/>
    <n v="8"/>
    <s v=""/>
  </r>
  <r>
    <n v="3041739"/>
    <x v="16"/>
    <s v="06-10-008-003"/>
    <x v="1"/>
    <n v="10380.94"/>
    <n v="0"/>
    <n v="10380.94"/>
    <n v="10000"/>
    <n v="100"/>
    <s v="AMPM08"/>
    <x v="15"/>
    <s v="ECONOMART/A08-DIONIS"/>
    <s v="COJINETE+CONTROL INFI A08"/>
    <s v="xmaltez"/>
    <s v="GLTRX00956709"/>
    <n v="4937612"/>
    <n v="1"/>
    <n v="8"/>
    <s v=""/>
  </r>
  <r>
    <n v="3041737"/>
    <x v="16"/>
    <s v="06-10-008-003"/>
    <x v="1"/>
    <n v="30.43"/>
    <n v="0"/>
    <n v="30.43"/>
    <n v="10000"/>
    <n v="100"/>
    <s v="AMPM08"/>
    <x v="15"/>
    <s v="SINSA-MT A08-DIONIS"/>
    <s v="TORNILLO TANQUE A08"/>
    <s v="xmaltez"/>
    <s v="GLTRX00956709"/>
    <n v="4937610"/>
    <n v="1"/>
    <n v="8"/>
    <s v=""/>
  </r>
  <r>
    <n v="3041731"/>
    <x v="19"/>
    <s v="06-10-008-003"/>
    <x v="1"/>
    <n v="5972.25"/>
    <n v="0"/>
    <n v="5972.25"/>
    <n v="10000"/>
    <n v="100"/>
    <s v="AMPM08"/>
    <x v="15"/>
    <s v="SINSA-MT TIENDA A08-DIONIS"/>
    <s v="TRAMPA LAVAMANO+BISAGRA"/>
    <s v="xmaltez"/>
    <s v="GLTRX00956704"/>
    <n v="4937604"/>
    <n v="1"/>
    <n v="8"/>
    <s v=""/>
  </r>
  <r>
    <n v="3088465"/>
    <x v="5"/>
    <s v="06-10-008-003"/>
    <x v="1"/>
    <n v="5404.4"/>
    <n v="0"/>
    <n v="5404.4"/>
    <n v="10000"/>
    <n v="100"/>
    <s v="AMPM09"/>
    <x v="16"/>
    <s v="MT EN TIENDA A09"/>
    <s v="MT EN COLUMNA EXTERIOR"/>
    <s v="xmaltez"/>
    <s v="PMTRX00085875"/>
    <n v="4975506"/>
    <n v="1"/>
    <n v="9"/>
    <s v=""/>
  </r>
  <r>
    <n v="3087684"/>
    <x v="8"/>
    <s v="06-10-008-003"/>
    <x v="1"/>
    <n v="857.95"/>
    <n v="0"/>
    <n v="857.95"/>
    <n v="10000"/>
    <n v="100"/>
    <s v="AMPM09"/>
    <x v="16"/>
    <s v="SINSA"/>
    <s v="Manguera-Llave A09"/>
    <s v="jlopez"/>
    <s v="GLTRX00970892"/>
    <n v="4974750"/>
    <n v="1"/>
    <n v="9"/>
    <s v=""/>
  </r>
  <r>
    <n v="3088389"/>
    <x v="7"/>
    <s v="06-10-008-003"/>
    <x v="1"/>
    <n v="4953.92"/>
    <n v="0"/>
    <n v="4953.92"/>
    <n v="10000"/>
    <n v="100"/>
    <s v="AMPM12"/>
    <x v="17"/>
    <s v="WALMART CARRETERA MASAYA"/>
    <s v="Dispensador A12"/>
    <s v="jlopez"/>
    <s v="GLTRX00970892"/>
    <n v="4975454"/>
    <n v="1"/>
    <n v="12"/>
    <s v=""/>
  </r>
  <r>
    <n v="3043201"/>
    <x v="16"/>
    <s v="06-10-008-003"/>
    <x v="1"/>
    <n v="2350"/>
    <n v="0"/>
    <n v="2350"/>
    <n v="10000"/>
    <n v="100"/>
    <s v="AMPM13"/>
    <x v="18"/>
    <s v="MT EN TIENDAS"/>
    <s v="MT MOPI A13 LIJADO-PINTURA"/>
    <s v="xmaltez"/>
    <s v="PMTRX00084828"/>
    <n v="4937751"/>
    <n v="1"/>
    <n v="13"/>
    <s v=""/>
  </r>
  <r>
    <n v="3041882"/>
    <x v="0"/>
    <s v="06-10-008-003"/>
    <x v="1"/>
    <n v="3479.31"/>
    <n v="0"/>
    <n v="3479.31"/>
    <n v="10000"/>
    <n v="100"/>
    <s v="AMPM13"/>
    <x v="18"/>
    <s v="MT EN TIENDA A13"/>
    <s v="MT PUERTA+VISAGRA A13"/>
    <s v="xmaltez"/>
    <s v="PMTRX00084826"/>
    <n v="4937726"/>
    <n v="1"/>
    <n v="13"/>
    <s v=""/>
  </r>
  <r>
    <n v="3040750"/>
    <x v="12"/>
    <s v="06-10-008-003"/>
    <x v="1"/>
    <n v="308.60000000000002"/>
    <n v="0"/>
    <n v="308.60000000000002"/>
    <n v="10000"/>
    <n v="100"/>
    <s v="AMPM14"/>
    <x v="19"/>
    <s v="SINSA-MT TIENDA A14-DIONIS"/>
    <s v="BOMBILLO LED A14"/>
    <s v="xmaltez"/>
    <s v="GLTRX00955853"/>
    <n v="4936622"/>
    <n v="1"/>
    <n v="14"/>
    <s v=""/>
  </r>
  <r>
    <n v="3094562"/>
    <x v="2"/>
    <s v="06-10-008-003"/>
    <x v="1"/>
    <n v="2720"/>
    <n v="0"/>
    <n v="2720"/>
    <n v="10000"/>
    <n v="100"/>
    <s v="AMPM16"/>
    <x v="20"/>
    <s v="AJUSTE PUERTA A16"/>
    <s v="Compras"/>
    <s v="xmaltez"/>
    <s v="PMTRX00085882"/>
    <n v="4977632"/>
    <n v="1"/>
    <n v="16"/>
    <s v=""/>
  </r>
  <r>
    <n v="3062390"/>
    <x v="19"/>
    <s v="06-10-008-003"/>
    <x v="1"/>
    <n v="7874.22"/>
    <n v="0"/>
    <n v="7874.22"/>
    <n v="10000"/>
    <n v="100"/>
    <s v="AMPM16"/>
    <x v="20"/>
    <s v="MT EN TIENDA AMPM16"/>
    <s v="INST ASIENTO INODORO+LUZ LED"/>
    <s v="xmaltez"/>
    <s v="PMTRX00085261"/>
    <n v="4947926"/>
    <n v="1"/>
    <n v="16"/>
    <s v=""/>
  </r>
  <r>
    <n v="3043201"/>
    <x v="16"/>
    <s v="06-10-008-003"/>
    <x v="1"/>
    <n v="2350"/>
    <n v="0"/>
    <n v="2350"/>
    <n v="10000"/>
    <n v="100"/>
    <s v="AMPM16"/>
    <x v="20"/>
    <s v="MT EN TIENDAS"/>
    <s v="MT MOPI A16 LIJADO Y PINTURA"/>
    <s v="xmaltez"/>
    <s v="PMTRX00084828"/>
    <n v="4937751"/>
    <n v="1"/>
    <n v="16"/>
    <s v=""/>
  </r>
  <r>
    <n v="3088398"/>
    <x v="9"/>
    <s v="06-10-008-003"/>
    <x v="1"/>
    <n v="324"/>
    <n v="0"/>
    <n v="324"/>
    <n v="10000"/>
    <n v="100"/>
    <s v="AMPM18"/>
    <x v="21"/>
    <s v="CUBAS ELECTRICAS"/>
    <s v="Bombillos Led A18"/>
    <s v="jlopez"/>
    <s v="GLTRX00970892"/>
    <n v="4975461"/>
    <n v="1"/>
    <n v="18"/>
    <s v=""/>
  </r>
  <r>
    <n v="3087690"/>
    <x v="18"/>
    <s v="06-10-008-003"/>
    <x v="1"/>
    <n v="270.69"/>
    <n v="0"/>
    <n v="270.69"/>
    <n v="10000"/>
    <n v="100"/>
    <s v="AMPM18"/>
    <x v="21"/>
    <s v="SINSA"/>
    <s v="Bombillo Led A18"/>
    <s v="jlopez"/>
    <s v="GLTRX00970892"/>
    <n v="4974931"/>
    <n v="1"/>
    <n v="18"/>
    <s v=""/>
  </r>
  <r>
    <n v="3043201"/>
    <x v="16"/>
    <s v="06-10-008-003"/>
    <x v="1"/>
    <n v="2350"/>
    <n v="0"/>
    <n v="2350"/>
    <n v="10000"/>
    <n v="100"/>
    <s v="AMPM18"/>
    <x v="21"/>
    <s v="MT EN TIENDAS"/>
    <s v="MT MOPI A18 LIJADO Y PINTURA"/>
    <s v="xmaltez"/>
    <s v="PMTRX00084828"/>
    <n v="4937751"/>
    <n v="1"/>
    <n v="18"/>
    <s v=""/>
  </r>
  <r>
    <n v="3041489"/>
    <x v="4"/>
    <s v="06-10-008-003"/>
    <x v="1"/>
    <n v="5550"/>
    <n v="0"/>
    <n v="5550"/>
    <n v="10000"/>
    <n v="100"/>
    <s v="AMPM18"/>
    <x v="21"/>
    <s v="OFICE SITE-MT A18-52-DIONIS"/>
    <s v="SILLAS CAJERO A18"/>
    <s v="xmaltez"/>
    <s v="GLTRX00955853"/>
    <n v="4937603"/>
    <n v="1"/>
    <n v="18"/>
    <s v=""/>
  </r>
  <r>
    <n v="3043201"/>
    <x v="16"/>
    <s v="06-10-008-003"/>
    <x v="1"/>
    <n v="2350"/>
    <n v="0"/>
    <n v="2350"/>
    <n v="10000"/>
    <n v="100"/>
    <s v="AMPM19"/>
    <x v="22"/>
    <s v="MT EN TIENDAS"/>
    <s v="MT MOPI A19 LIJADO Y PINTURA"/>
    <s v="xmaltez"/>
    <s v="PMTRX00084828"/>
    <n v="4937751"/>
    <n v="1"/>
    <n v="19"/>
    <s v=""/>
  </r>
  <r>
    <n v="3026938"/>
    <x v="3"/>
    <s v="06-10-008-003"/>
    <x v="1"/>
    <n v="1500"/>
    <n v="0"/>
    <n v="1500"/>
    <n v="10000"/>
    <n v="100"/>
    <s v="AMPM19"/>
    <x v="22"/>
    <s v="PG MDO FREDDY ESP."/>
    <s v="Trasl planta A43 a A19"/>
    <s v="jgonzalez"/>
    <s v="CMTRX00017015"/>
    <n v="4924490"/>
    <n v="1"/>
    <n v="19"/>
    <s v=""/>
  </r>
  <r>
    <n v="3096076"/>
    <x v="12"/>
    <s v="06-10-008-003"/>
    <x v="1"/>
    <n v="3500"/>
    <n v="0"/>
    <n v="3500"/>
    <n v="10000"/>
    <n v="100"/>
    <s v="AMPM20"/>
    <x v="23"/>
    <s v="MT CAJA FUERTE A20"/>
    <s v="MT CAJA FUERTE A20"/>
    <s v="xmaltez"/>
    <s v="PMTRX00085886"/>
    <n v="4977663"/>
    <n v="1"/>
    <n v="20"/>
    <s v=""/>
  </r>
  <r>
    <n v="3087680"/>
    <x v="5"/>
    <s v="06-10-008-003"/>
    <x v="1"/>
    <n v="12000"/>
    <n v="0"/>
    <n v="12000"/>
    <n v="10000"/>
    <n v="100"/>
    <s v="AMPM20"/>
    <x v="23"/>
    <s v="PG MDO ROGER SALINAS"/>
    <s v="React palnta elect A20"/>
    <s v="jgonzalez"/>
    <s v="GLTRX00970899"/>
    <n v="4974745"/>
    <n v="1"/>
    <n v="20"/>
    <s v=""/>
  </r>
  <r>
    <n v="3083726"/>
    <x v="13"/>
    <s v="06-10-008-003"/>
    <x v="1"/>
    <n v="11140"/>
    <n v="0"/>
    <n v="11140"/>
    <n v="10000"/>
    <n v="100"/>
    <s v="AMPM20"/>
    <x v="23"/>
    <s v="Entrada: Transacción Externa."/>
    <s v="CAMBIO DE ILUMINACIO-A20"/>
    <s v="jgonzalez"/>
    <s v="GLTRX00969851"/>
    <n v="4971287"/>
    <n v="1"/>
    <n v="20"/>
    <s v=""/>
  </r>
  <r>
    <n v="3083688"/>
    <x v="3"/>
    <s v="06-10-008-003"/>
    <x v="1"/>
    <n v="1720"/>
    <n v="0"/>
    <n v="1720"/>
    <n v="10000"/>
    <n v="100"/>
    <s v="AMPM20"/>
    <x v="23"/>
    <s v="PG MDO FREDDY ESPINOZA"/>
    <s v="DESTAQUEO Y SONDEO INODORO A20"/>
    <s v="jgonzalez"/>
    <s v="GLTRX00969845"/>
    <n v="4971251"/>
    <n v="1"/>
    <n v="20"/>
    <s v=""/>
  </r>
  <r>
    <n v="3040800"/>
    <x v="4"/>
    <s v="06-10-008-003"/>
    <x v="1"/>
    <n v="870"/>
    <n v="0"/>
    <n v="870"/>
    <n v="10000"/>
    <n v="100"/>
    <s v="AMPM20"/>
    <x v="23"/>
    <s v="DISTNICA/MT TIENDAS+DIONIS"/>
    <s v="DISPENSADOR PAPEL A20"/>
    <s v="xmaltez"/>
    <s v="GLTRX00955853"/>
    <n v="4937226"/>
    <n v="1"/>
    <n v="20"/>
    <s v=""/>
  </r>
  <r>
    <n v="3040736"/>
    <x v="4"/>
    <s v="06-10-008-003"/>
    <x v="1"/>
    <n v="918.91"/>
    <n v="0"/>
    <n v="918.91"/>
    <n v="10000"/>
    <n v="100"/>
    <s v="AMPM20"/>
    <x v="23"/>
    <s v="SINSA/MT TIENDAS-DIONIS"/>
    <s v="ASIENTO SANITARIO A20"/>
    <s v="xmaltez"/>
    <s v="GLTRX00955853"/>
    <n v="4936012"/>
    <n v="1"/>
    <n v="20"/>
    <s v=""/>
  </r>
  <r>
    <n v="3088392"/>
    <x v="6"/>
    <s v="06-10-008-003"/>
    <x v="1"/>
    <n v="4394.91"/>
    <n v="0"/>
    <n v="4394.91"/>
    <n v="10000"/>
    <n v="100"/>
    <s v="AMPM21"/>
    <x v="24"/>
    <s v="MOBI EQUIIPOS"/>
    <s v="Locker Metalico A21"/>
    <s v="jlopez"/>
    <s v="GLTRX00970892"/>
    <n v="4975459"/>
    <n v="1"/>
    <n v="21"/>
    <s v=""/>
  </r>
  <r>
    <n v="3043200"/>
    <x v="0"/>
    <s v="06-10-008-003"/>
    <x v="1"/>
    <n v="10129.66"/>
    <n v="0"/>
    <n v="10129.66"/>
    <n v="10000"/>
    <n v="100"/>
    <s v="AMPM21"/>
    <x v="24"/>
    <s v="MT EN TIENDA A21"/>
    <s v="MT HIDROSANITARIO A21"/>
    <s v="xmaltez"/>
    <s v="PMTRX00084828"/>
    <n v="4937750"/>
    <n v="1"/>
    <n v="21"/>
    <s v=""/>
  </r>
  <r>
    <n v="3041734"/>
    <x v="10"/>
    <s v="06-10-008-003"/>
    <x v="1"/>
    <n v="18953.080000000002"/>
    <n v="0"/>
    <n v="18953.080000000002"/>
    <n v="10000"/>
    <n v="100"/>
    <s v="AMPM21"/>
    <x v="24"/>
    <s v="Retiro Piezas Smartcash A21"/>
    <s v="Retiro Piezas Smartcash A21"/>
    <s v="jlopez"/>
    <s v="PMTRX00084810"/>
    <n v="4937607"/>
    <n v="1"/>
    <n v="21"/>
    <s v=""/>
  </r>
  <r>
    <n v="3041733"/>
    <x v="10"/>
    <s v="06-10-008-003"/>
    <x v="1"/>
    <n v="0"/>
    <n v="16480.939999999999"/>
    <n v="-16480.939999999999"/>
    <n v="10000"/>
    <n v="100"/>
    <s v="AMPM21"/>
    <x v="24"/>
    <s v="Retiro Piezas Smartcash A21"/>
    <s v="Retiro Piezas Smartcash A21"/>
    <s v="jlopez"/>
    <s v="PMTRX00084810"/>
    <n v="4937606"/>
    <n v="1"/>
    <n v="21"/>
    <s v=""/>
  </r>
  <r>
    <n v="3040751"/>
    <x v="9"/>
    <s v="06-10-008-003"/>
    <x v="1"/>
    <n v="200"/>
    <n v="0"/>
    <n v="200"/>
    <n v="10000"/>
    <n v="100"/>
    <s v="AMPM21"/>
    <x v="24"/>
    <s v="FERRETERIA ALGUERA/MT A21 DI"/>
    <s v="SILICON A21"/>
    <s v="xmaltez"/>
    <s v="GLTRX00955853"/>
    <n v="4936672"/>
    <n v="1"/>
    <n v="21"/>
    <s v=""/>
  </r>
  <r>
    <n v="3088482"/>
    <x v="15"/>
    <s v="06-10-008-003"/>
    <x v="1"/>
    <n v="521.59"/>
    <n v="0"/>
    <n v="521.59"/>
    <n v="10000"/>
    <n v="100"/>
    <s v="AMPM23"/>
    <x v="25"/>
    <s v="SINSA/CRREDURA MANECILLA A23"/>
    <s v="SINSA/CRREDURA MANECILLA A23"/>
    <s v="xmaltez"/>
    <s v="GLTRX00971008"/>
    <n v="4975524"/>
    <n v="1"/>
    <n v="23"/>
    <s v=""/>
  </r>
  <r>
    <n v="3110689"/>
    <x v="2"/>
    <s v="06-10-008-003"/>
    <x v="1"/>
    <n v="140"/>
    <n v="0"/>
    <n v="140"/>
    <n v="10000"/>
    <n v="100"/>
    <s v="AMPM25"/>
    <x v="26"/>
    <s v="Entrada: Transacción Externa."/>
    <s v="Candado A25"/>
    <s v="mvasquez"/>
    <s v="GLTRX00977430"/>
    <n v="4992789"/>
    <n v="1"/>
    <n v="25"/>
    <s v=""/>
  </r>
  <r>
    <n v="3087687"/>
    <x v="18"/>
    <s v="06-10-008-003"/>
    <x v="1"/>
    <n v="1341.3"/>
    <n v="0"/>
    <n v="1341.3"/>
    <n v="10000"/>
    <n v="100"/>
    <s v="AMPM25"/>
    <x v="26"/>
    <s v="SINSA"/>
    <s v="Luminaria-Breaker A25"/>
    <s v="jlopez"/>
    <s v="GLTRX00970892"/>
    <n v="4974754"/>
    <n v="1"/>
    <n v="25"/>
    <s v=""/>
  </r>
  <r>
    <n v="3026900"/>
    <x v="3"/>
    <s v="06-10-008-003"/>
    <x v="1"/>
    <n v="5500"/>
    <n v="0"/>
    <n v="5500"/>
    <n v="10000"/>
    <n v="100"/>
    <s v="AMPM25"/>
    <x v="26"/>
    <s v="PG CK 21623 MDO"/>
    <s v="Revision paneles Ele A25"/>
    <s v="jgonzalez"/>
    <s v="CMTRX00017009"/>
    <n v="4924450"/>
    <n v="1"/>
    <n v="25"/>
    <s v=""/>
  </r>
  <r>
    <n v="3039245"/>
    <x v="20"/>
    <s v="06-10-008-003"/>
    <x v="1"/>
    <n v="21974.58"/>
    <n v="0"/>
    <n v="21974.58"/>
    <n v="10000"/>
    <n v="100"/>
    <s v="AMPM26"/>
    <x v="27"/>
    <s v="Inst Puerta Melamina A26"/>
    <s v="Inst Puerta Melamina A26"/>
    <s v="jlopez"/>
    <s v="PMTRX00084801"/>
    <n v="4935767"/>
    <n v="1"/>
    <n v="26"/>
    <s v=""/>
  </r>
  <r>
    <n v="3105886"/>
    <x v="21"/>
    <s v="06-10-008-003"/>
    <x v="1"/>
    <n v="0"/>
    <n v="137"/>
    <n v="-137"/>
    <n v="10000"/>
    <n v="100"/>
    <s v="AMPM27"/>
    <x v="0"/>
    <s v="Revertir entrada de diario 308"/>
    <s v="CARGO TRANS/A27"/>
    <s v="xmaltez"/>
    <s v="GLTRX00976510"/>
    <n v="4991191"/>
    <n v="1"/>
    <n v="34"/>
    <s v=""/>
  </r>
  <r>
    <n v="3088396"/>
    <x v="2"/>
    <s v="06-10-008-003"/>
    <x v="1"/>
    <n v="0"/>
    <n v="5000"/>
    <n v="-5000"/>
    <n v="10000"/>
    <n v="100"/>
    <s v="AMPM27"/>
    <x v="0"/>
    <s v="Revertir entrada de 3087541"/>
    <s v="Suministro e instalaA27"/>
    <s v="crivera"/>
    <s v="GLTRX00970994"/>
    <n v="4975458"/>
    <n v="1"/>
    <n v="34"/>
    <s v=""/>
  </r>
  <r>
    <n v="3088396"/>
    <x v="2"/>
    <s v="06-10-008-003"/>
    <x v="1"/>
    <n v="0"/>
    <n v="9000"/>
    <n v="-9000"/>
    <n v="10000"/>
    <n v="100"/>
    <s v="AMPM27"/>
    <x v="0"/>
    <s v="Revertir entrada de 3087541"/>
    <s v="Suministro e instalaA27"/>
    <s v="crivera"/>
    <s v="GLTRX00970994"/>
    <n v="4975458"/>
    <n v="1"/>
    <n v="34"/>
    <s v=""/>
  </r>
  <r>
    <n v="3087550"/>
    <x v="2"/>
    <s v="06-10-008-003"/>
    <x v="1"/>
    <n v="9000"/>
    <n v="0"/>
    <n v="9000"/>
    <n v="10000"/>
    <n v="100"/>
    <s v="AMPM27"/>
    <x v="0"/>
    <s v="Entrada: Transacción Externa."/>
    <s v="Suministro e instalaA27"/>
    <s v="jgonzalez"/>
    <s v="GLTRX00970894"/>
    <n v="4974615"/>
    <n v="1"/>
    <n v="34"/>
    <s v=""/>
  </r>
  <r>
    <n v="3087550"/>
    <x v="2"/>
    <s v="06-10-008-003"/>
    <x v="1"/>
    <n v="5000"/>
    <n v="0"/>
    <n v="5000"/>
    <n v="10000"/>
    <n v="100"/>
    <s v="AMPM27"/>
    <x v="0"/>
    <s v="Entrada: Transacción Externa."/>
    <s v="Suministro e instalaA27"/>
    <s v="jgonzalez"/>
    <s v="GLTRX00970894"/>
    <n v="4974615"/>
    <n v="1"/>
    <n v="34"/>
    <s v=""/>
  </r>
  <r>
    <n v="3087541"/>
    <x v="2"/>
    <s v="06-10-008-003"/>
    <x v="1"/>
    <n v="5000"/>
    <n v="0"/>
    <n v="5000"/>
    <n v="10000"/>
    <n v="100"/>
    <s v="AMPM27"/>
    <x v="0"/>
    <s v="Entrada: Transacción Externa."/>
    <s v="Suministro e instalaA27"/>
    <s v="crivera"/>
    <s v="GLTRX00970776"/>
    <n v="4973309"/>
    <n v="1"/>
    <n v="34"/>
    <s v=""/>
  </r>
  <r>
    <n v="3087541"/>
    <x v="2"/>
    <s v="06-10-008-003"/>
    <x v="1"/>
    <n v="9000"/>
    <n v="0"/>
    <n v="9000"/>
    <n v="10000"/>
    <n v="100"/>
    <s v="AMPM27"/>
    <x v="0"/>
    <s v="Entrada: Transacción Externa."/>
    <s v="Suministro e instalaA27"/>
    <s v="crivera"/>
    <s v="GLTRX00970776"/>
    <n v="4973309"/>
    <n v="1"/>
    <n v="34"/>
    <s v=""/>
  </r>
  <r>
    <n v="3081641"/>
    <x v="21"/>
    <s v="06-10-008-003"/>
    <x v="1"/>
    <n v="137"/>
    <n v="0"/>
    <n v="137"/>
    <n v="10000"/>
    <n v="100"/>
    <s v="AMPM27"/>
    <x v="0"/>
    <s v="CARGO TRANS/A89 -27"/>
    <s v="CARGO TRANS/A27"/>
    <s v="xmaltez"/>
    <s v="GLTRX00968931"/>
    <n v="4969883"/>
    <n v="1"/>
    <n v="34"/>
    <s v=""/>
  </r>
  <r>
    <n v="3040800"/>
    <x v="4"/>
    <s v="06-10-008-003"/>
    <x v="1"/>
    <n v="597"/>
    <n v="0"/>
    <n v="597"/>
    <n v="10000"/>
    <n v="100"/>
    <s v="AMPM27"/>
    <x v="0"/>
    <s v="DISTNICA/MT TIENDAS+DIONIS"/>
    <s v="DISPENSADOR JABON A27"/>
    <s v="xmaltez"/>
    <s v="GLTRX00955853"/>
    <n v="4937226"/>
    <n v="1"/>
    <n v="34"/>
    <s v=""/>
  </r>
  <r>
    <n v="3088404"/>
    <x v="14"/>
    <s v="06-10-008-003"/>
    <x v="1"/>
    <n v="969.24"/>
    <n v="0"/>
    <n v="969.24"/>
    <n v="10000"/>
    <n v="100"/>
    <s v="AMPM28"/>
    <x v="28"/>
    <s v="SINSA"/>
    <s v="Cierra Puerta A28"/>
    <s v="jlopez"/>
    <s v="GLTRX00970892"/>
    <n v="4975466"/>
    <n v="1"/>
    <n v="35"/>
    <s v=""/>
  </r>
  <r>
    <n v="3062389"/>
    <x v="6"/>
    <s v="06-10-008-003"/>
    <x v="1"/>
    <n v="13184.74"/>
    <n v="0"/>
    <n v="13184.74"/>
    <n v="10000"/>
    <n v="100"/>
    <s v="AMPM28"/>
    <x v="28"/>
    <s v="MT MUEBLES EN FRIO A28"/>
    <s v="MH+SISTEMA ELECTRICO,PARED GYP"/>
    <s v="xmaltez"/>
    <s v="PMTRX00085261"/>
    <n v="4947925"/>
    <n v="1"/>
    <n v="35"/>
    <s v=""/>
  </r>
  <r>
    <n v="3088389"/>
    <x v="7"/>
    <s v="06-10-008-003"/>
    <x v="1"/>
    <n v="2478.2600000000002"/>
    <n v="0"/>
    <n v="2478.2600000000002"/>
    <n v="10000"/>
    <n v="100"/>
    <s v="AMPM29"/>
    <x v="29"/>
    <s v="WALMART CARRETERA MASAYA"/>
    <s v="Dispensador A29"/>
    <s v="jlopez"/>
    <s v="GLTRX00970892"/>
    <n v="4975454"/>
    <n v="1"/>
    <n v="36"/>
    <s v=""/>
  </r>
  <r>
    <n v="3110685"/>
    <x v="2"/>
    <s v="06-10-008-003"/>
    <x v="1"/>
    <n v="298"/>
    <n v="0"/>
    <n v="298"/>
    <n v="10000"/>
    <n v="100"/>
    <s v="AMPM30"/>
    <x v="30"/>
    <s v="Entrada: Transacción Externa."/>
    <s v="Compra de materiales ferretero"/>
    <s v="mvasquez"/>
    <s v="GLTRX00977426"/>
    <n v="4992785"/>
    <n v="1"/>
    <n v="37"/>
    <s v=""/>
  </r>
  <r>
    <n v="3110691"/>
    <x v="2"/>
    <s v="06-10-008-003"/>
    <x v="1"/>
    <n v="3153.7"/>
    <n v="0"/>
    <n v="3153.7"/>
    <n v="10000"/>
    <n v="100"/>
    <s v="AMPM31"/>
    <x v="31"/>
    <s v="Entrada: Transacción Externa."/>
    <s v="Compra de lampara ojo de buey"/>
    <s v="mvasquez"/>
    <s v="GLTRX00977432"/>
    <n v="4992791"/>
    <n v="1"/>
    <n v="38"/>
    <s v=""/>
  </r>
  <r>
    <n v="3110691"/>
    <x v="2"/>
    <s v="06-10-008-003"/>
    <x v="1"/>
    <n v="900"/>
    <n v="0"/>
    <n v="900"/>
    <n v="10000"/>
    <n v="100"/>
    <s v="AMPM31"/>
    <x v="31"/>
    <s v="Entrada: Transacción Externa."/>
    <s v="Pago de cambio lamparas de pas"/>
    <s v="mvasquez"/>
    <s v="GLTRX00977432"/>
    <n v="4992791"/>
    <n v="1"/>
    <n v="38"/>
    <s v=""/>
  </r>
  <r>
    <n v="3088399"/>
    <x v="18"/>
    <s v="06-10-008-003"/>
    <x v="1"/>
    <n v="137"/>
    <n v="0"/>
    <n v="137"/>
    <n v="10000"/>
    <n v="100"/>
    <s v="AMPM31"/>
    <x v="31"/>
    <s v="CARGOTRANS"/>
    <s v="Envío de salseras A31"/>
    <s v="jlopez"/>
    <s v="GLTRX00970892"/>
    <n v="4975465"/>
    <n v="1"/>
    <n v="38"/>
    <s v=""/>
  </r>
  <r>
    <n v="3107973"/>
    <x v="2"/>
    <s v="06-10-008-003"/>
    <x v="1"/>
    <n v="0"/>
    <n v="33064.559999999998"/>
    <n v="-33064.559999999998"/>
    <n v="10000"/>
    <n v="100"/>
    <s v="AMPM32"/>
    <x v="32"/>
    <s v="ANTICIPO DE ACTIVOS"/>
    <s v="Construcción pared Smarcas-A32"/>
    <s v="mgaitan"/>
    <s v="GLTRX00977308"/>
    <n v="4992083"/>
    <n v="1"/>
    <n v="40"/>
    <s v=""/>
  </r>
  <r>
    <n v="3096063"/>
    <x v="2"/>
    <s v="06-10-008-003"/>
    <x v="1"/>
    <n v="8790"/>
    <n v="0"/>
    <n v="8790"/>
    <n v="10000"/>
    <n v="100"/>
    <s v="AMPM32"/>
    <x v="32"/>
    <s v="AJUSTE 2 PUERTA A32"/>
    <s v="Compras"/>
    <s v="xmaltez"/>
    <s v="PMTRX00085883"/>
    <n v="4977649"/>
    <n v="1"/>
    <n v="40"/>
    <s v=""/>
  </r>
  <r>
    <n v="3083726"/>
    <x v="13"/>
    <s v="06-10-008-003"/>
    <x v="1"/>
    <n v="27831.200000000001"/>
    <n v="0"/>
    <n v="27831.200000000001"/>
    <n v="10000"/>
    <n v="100"/>
    <s v="AMPM32"/>
    <x v="32"/>
    <s v="Entrada: Transacción Externa."/>
    <s v="Suministro e instala-A32"/>
    <s v="jgonzalez"/>
    <s v="GLTRX00969851"/>
    <n v="4971287"/>
    <n v="1"/>
    <n v="40"/>
    <s v=""/>
  </r>
  <r>
    <n v="3083726"/>
    <x v="13"/>
    <s v="06-10-008-003"/>
    <x v="1"/>
    <n v="33064.559999999998"/>
    <n v="0"/>
    <n v="33064.559999999998"/>
    <n v="10000"/>
    <n v="100"/>
    <s v="AMPM32"/>
    <x v="32"/>
    <s v="Entrada: Transacción Externa."/>
    <s v="Construcción de pare-A32"/>
    <s v="jgonzalez"/>
    <s v="GLTRX00969851"/>
    <n v="4971287"/>
    <n v="1"/>
    <n v="40"/>
    <s v=""/>
  </r>
  <r>
    <n v="3081626"/>
    <x v="17"/>
    <s v="06-10-008-003"/>
    <x v="1"/>
    <n v="2627.43"/>
    <n v="0"/>
    <n v="2627.43"/>
    <n v="10000"/>
    <n v="100"/>
    <s v="AMPM32"/>
    <x v="32"/>
    <s v="SINSA LEON /AMPM32"/>
    <s v="LUMINARIA LED A32"/>
    <s v="xmaltez"/>
    <s v="GLTRX00968931"/>
    <n v="4969836"/>
    <n v="1"/>
    <n v="40"/>
    <s v=""/>
  </r>
  <r>
    <n v="3043242"/>
    <x v="9"/>
    <s v="06-10-008-003"/>
    <x v="1"/>
    <n v="2100"/>
    <n v="0"/>
    <n v="2100"/>
    <n v="10000"/>
    <n v="100"/>
    <s v="AMPM32"/>
    <x v="32"/>
    <s v="SERV TAPIZADO A32"/>
    <s v="SERV TAPIZADO 2 SILLAS A32"/>
    <s v="xmaltez"/>
    <s v="PMTRX00084831"/>
    <n v="4938478"/>
    <n v="1"/>
    <n v="40"/>
    <s v=""/>
  </r>
  <r>
    <n v="3088399"/>
    <x v="18"/>
    <s v="06-10-008-003"/>
    <x v="1"/>
    <n v="401"/>
    <n v="0"/>
    <n v="401"/>
    <n v="10000"/>
    <n v="100"/>
    <s v="AMPM33"/>
    <x v="33"/>
    <s v="CARGOTRANS"/>
    <s v="Envío de salseras A33"/>
    <s v="jlopez"/>
    <s v="GLTRX00970892"/>
    <n v="4975465"/>
    <n v="1"/>
    <n v="39"/>
    <s v=""/>
  </r>
  <r>
    <n v="3043239"/>
    <x v="20"/>
    <s v="06-10-008-003"/>
    <x v="1"/>
    <n v="8995"/>
    <n v="0"/>
    <n v="8995"/>
    <n v="10000"/>
    <n v="100"/>
    <s v="AMPM33"/>
    <x v="33"/>
    <s v="MT EN TIENDA A33"/>
    <s v="AJUSTE PUERTA ALUMINIO Y VIDRI"/>
    <s v="xmaltez"/>
    <s v="PMTRX00084831"/>
    <n v="4938475"/>
    <n v="1"/>
    <n v="39"/>
    <s v=""/>
  </r>
  <r>
    <n v="3096053"/>
    <x v="2"/>
    <s v="06-10-008-003"/>
    <x v="1"/>
    <n v="1920"/>
    <n v="0"/>
    <n v="1920"/>
    <n v="10000"/>
    <n v="100"/>
    <s v="AMPM34"/>
    <x v="34"/>
    <s v="AJUSTE PUERTA A34"/>
    <s v="Compras"/>
    <s v="xmaltez"/>
    <s v="PMTRX00085883"/>
    <n v="4977639"/>
    <n v="1"/>
    <n v="41"/>
    <s v=""/>
  </r>
  <r>
    <n v="3088396"/>
    <x v="2"/>
    <s v="06-10-008-003"/>
    <x v="1"/>
    <n v="0"/>
    <n v="4500"/>
    <n v="-4500"/>
    <n v="10000"/>
    <n v="100"/>
    <s v="AMPM34"/>
    <x v="34"/>
    <s v="Revertir entrada de 3087541"/>
    <s v="Traslado de granita A34"/>
    <s v="crivera"/>
    <s v="GLTRX00970994"/>
    <n v="4975458"/>
    <n v="1"/>
    <n v="41"/>
    <s v=""/>
  </r>
  <r>
    <n v="3087550"/>
    <x v="2"/>
    <s v="06-10-008-003"/>
    <x v="1"/>
    <n v="4500"/>
    <n v="0"/>
    <n v="4500"/>
    <n v="10000"/>
    <n v="100"/>
    <s v="AMPM34"/>
    <x v="34"/>
    <s v="Entrada: Transacción Externa."/>
    <s v="Traslado de granita A34"/>
    <s v="jgonzalez"/>
    <s v="GLTRX00970894"/>
    <n v="4974615"/>
    <n v="1"/>
    <n v="41"/>
    <s v=""/>
  </r>
  <r>
    <n v="3087541"/>
    <x v="2"/>
    <s v="06-10-008-003"/>
    <x v="1"/>
    <n v="4500"/>
    <n v="0"/>
    <n v="4500"/>
    <n v="10000"/>
    <n v="100"/>
    <s v="AMPM34"/>
    <x v="34"/>
    <s v="Entrada: Transacción Externa."/>
    <s v="Traslado de granita A34"/>
    <s v="crivera"/>
    <s v="GLTRX00970776"/>
    <n v="4973309"/>
    <n v="1"/>
    <n v="41"/>
    <s v=""/>
  </r>
  <r>
    <n v="3083726"/>
    <x v="13"/>
    <s v="06-10-008-003"/>
    <x v="1"/>
    <n v="8220"/>
    <n v="0"/>
    <n v="8220"/>
    <n v="10000"/>
    <n v="100"/>
    <s v="AMPM34"/>
    <x v="34"/>
    <s v="Entrada: Transacción Externa."/>
    <s v="CAMBIO DE ILUMNACION-A34"/>
    <s v="jgonzalez"/>
    <s v="GLTRX00969851"/>
    <n v="4971287"/>
    <n v="1"/>
    <n v="41"/>
    <s v=""/>
  </r>
  <r>
    <n v="3026938"/>
    <x v="3"/>
    <s v="06-10-008-003"/>
    <x v="1"/>
    <n v="4060"/>
    <n v="0"/>
    <n v="4060"/>
    <n v="10000"/>
    <n v="100"/>
    <s v="AMPM34"/>
    <x v="34"/>
    <s v="PG MDO FREDDY ESP."/>
    <s v="Rep filtro agua y cielo A34"/>
    <s v="jgonzalez"/>
    <s v="CMTRX00017015"/>
    <n v="4924490"/>
    <n v="1"/>
    <n v="41"/>
    <s v=""/>
  </r>
  <r>
    <n v="3021333"/>
    <x v="8"/>
    <s v="06-10-008-003"/>
    <x v="1"/>
    <n v="4060"/>
    <n v="0"/>
    <n v="4060"/>
    <n v="10000"/>
    <n v="100"/>
    <s v="AMPM34"/>
    <x v="34"/>
    <s v="PG MANT FREDDY ESP"/>
    <s v="Rp filtra agua canal,techo A34"/>
    <s v="jgonzalez"/>
    <s v="CMTRX00017003"/>
    <n v="4921198"/>
    <n v="1"/>
    <n v="41"/>
    <s v=""/>
  </r>
  <r>
    <n v="3110686"/>
    <x v="2"/>
    <s v="06-10-008-003"/>
    <x v="1"/>
    <n v="2100"/>
    <n v="0"/>
    <n v="2100"/>
    <n v="10000"/>
    <n v="100"/>
    <s v="AMPM35"/>
    <x v="35"/>
    <s v="Entrada: Transacción Externa."/>
    <s v=" Materiales ferreteros"/>
    <s v="mvasquez"/>
    <s v="GLTRX00977427"/>
    <n v="4992786"/>
    <n v="1"/>
    <n v="43"/>
    <s v=""/>
  </r>
  <r>
    <n v="3110691"/>
    <x v="2"/>
    <s v="06-10-008-003"/>
    <x v="1"/>
    <n v="150"/>
    <n v="0"/>
    <n v="150"/>
    <n v="10000"/>
    <n v="100"/>
    <s v="AMPM36"/>
    <x v="36"/>
    <s v="Entrada: Transacción Externa."/>
    <s v="compra de bridas"/>
    <s v="mvasquez"/>
    <s v="GLTRX00977432"/>
    <n v="4992791"/>
    <n v="1"/>
    <n v="44"/>
    <s v=""/>
  </r>
  <r>
    <n v="3096054"/>
    <x v="2"/>
    <s v="06-10-008-003"/>
    <x v="1"/>
    <n v="900"/>
    <n v="0"/>
    <n v="900"/>
    <n v="10000"/>
    <n v="100"/>
    <s v="AMPM37"/>
    <x v="37"/>
    <s v="INST VIDRIO PUERTA A37"/>
    <s v="Compras"/>
    <s v="xmaltez"/>
    <s v="PMTRX00085883"/>
    <n v="4977640"/>
    <n v="1"/>
    <n v="42"/>
    <s v=""/>
  </r>
  <r>
    <n v="3026938"/>
    <x v="3"/>
    <s v="06-10-008-003"/>
    <x v="1"/>
    <n v="3400"/>
    <n v="0"/>
    <n v="3400"/>
    <n v="10000"/>
    <n v="100"/>
    <s v="AMPM37"/>
    <x v="37"/>
    <s v="PG MDO FREDDY ESP."/>
    <s v="Punt elec bankito A37"/>
    <s v="jgonzalez"/>
    <s v="CMTRX00017015"/>
    <n v="4924490"/>
    <n v="1"/>
    <n v="42"/>
    <s v=""/>
  </r>
  <r>
    <n v="3041741"/>
    <x v="20"/>
    <s v="06-10-008-003"/>
    <x v="1"/>
    <n v="366.52"/>
    <n v="0"/>
    <n v="366.52"/>
    <n v="10000"/>
    <n v="100"/>
    <s v="AMPM38"/>
    <x v="38"/>
    <s v="SINSA/MT TIENDAS-DIONIS"/>
    <s v="BISAGRA DE PRESION A38"/>
    <s v="xmaltez"/>
    <s v="GLTRX00956709"/>
    <n v="4937614"/>
    <n v="1"/>
    <n v="47"/>
    <s v=""/>
  </r>
  <r>
    <n v="3043087"/>
    <x v="0"/>
    <s v="06-10-008-003"/>
    <x v="1"/>
    <n v="5310.73"/>
    <n v="0"/>
    <n v="5310.73"/>
    <n v="10000"/>
    <n v="100"/>
    <s v="AMPM39"/>
    <x v="39"/>
    <s v="MT HIDROSANITARIO A39"/>
    <s v="MT HIDROSANITARIO A39"/>
    <s v="xmaltez"/>
    <s v="PMTRX00084828"/>
    <n v="4937749"/>
    <n v="1"/>
    <n v="48"/>
    <s v=""/>
  </r>
  <r>
    <n v="3097645"/>
    <x v="17"/>
    <s v="06-10-008-003"/>
    <x v="1"/>
    <n v="1200"/>
    <n v="0"/>
    <n v="1200"/>
    <n v="5000"/>
    <n v="50"/>
    <s v="AMPM40"/>
    <x v="40"/>
    <s v="ENTREGA SILLA MITRAB"/>
    <s v="ENTREGA SILLA MITRAB"/>
    <s v="xmaltez"/>
    <s v="PMTRX00085891"/>
    <n v="4977761"/>
    <n v="1"/>
    <n v="49"/>
    <s v=""/>
  </r>
  <r>
    <n v="3088392"/>
    <x v="6"/>
    <s v="06-10-008-003"/>
    <x v="1"/>
    <n v="4394.91"/>
    <n v="0"/>
    <n v="4394.91"/>
    <n v="10000"/>
    <n v="100"/>
    <s v="AMPM40"/>
    <x v="40"/>
    <s v="MOBI EQUIIPOS"/>
    <s v="Locker Metalico A40"/>
    <s v="jlopez"/>
    <s v="GLTRX00970892"/>
    <n v="4975459"/>
    <n v="1"/>
    <n v="49"/>
    <s v=""/>
  </r>
  <r>
    <n v="3088392"/>
    <x v="6"/>
    <s v="06-10-008-003"/>
    <x v="1"/>
    <n v="4394.91"/>
    <n v="0"/>
    <n v="4394.91"/>
    <n v="10000"/>
    <n v="100"/>
    <s v="AMPM41"/>
    <x v="41"/>
    <s v="MOBI EQUIIPOS"/>
    <s v="Locker Metalico A41"/>
    <s v="jlopez"/>
    <s v="GLTRX00970892"/>
    <n v="4975459"/>
    <n v="1"/>
    <n v="50"/>
    <s v=""/>
  </r>
  <r>
    <n v="3081629"/>
    <x v="5"/>
    <s v="06-10-008-003"/>
    <x v="1"/>
    <n v="2289.87"/>
    <n v="0"/>
    <n v="2289.87"/>
    <n v="10000"/>
    <n v="100"/>
    <s v="AMPM41"/>
    <x v="41"/>
    <s v="SINSA MASAYA /AMPM41"/>
    <s v="CINTA DE EMPAQUE A41"/>
    <s v="xmaltez"/>
    <s v="GLTRX00968931"/>
    <n v="4969873"/>
    <n v="1"/>
    <n v="50"/>
    <s v=""/>
  </r>
  <r>
    <n v="3040739"/>
    <x v="4"/>
    <s v="06-10-008-003"/>
    <x v="1"/>
    <n v="391.01"/>
    <n v="0"/>
    <n v="391.01"/>
    <n v="10000"/>
    <n v="100"/>
    <s v="AMPM41"/>
    <x v="41"/>
    <s v="SINSA-MT TIENDA A41-DIONIS"/>
    <s v="LLAVE CHORO-DAPTADOR A41"/>
    <s v="xmaltez"/>
    <s v="GLTRX00955853"/>
    <n v="4935878"/>
    <n v="1"/>
    <n v="50"/>
    <s v=""/>
  </r>
  <r>
    <n v="3110691"/>
    <x v="2"/>
    <s v="06-10-008-003"/>
    <x v="1"/>
    <n v="165"/>
    <n v="0"/>
    <n v="165"/>
    <n v="10000"/>
    <n v="100"/>
    <s v="AMPM42"/>
    <x v="42"/>
    <s v="Entrada: Transacción Externa."/>
    <s v="Cinta antiderrapante"/>
    <s v="mvasquez"/>
    <s v="GLTRX00977432"/>
    <n v="4992791"/>
    <n v="1"/>
    <n v="51"/>
    <s v=""/>
  </r>
  <r>
    <n v="3088399"/>
    <x v="18"/>
    <s v="06-10-008-003"/>
    <x v="1"/>
    <n v="165"/>
    <n v="0"/>
    <n v="165"/>
    <n v="10000"/>
    <n v="100"/>
    <s v="AMPM42"/>
    <x v="42"/>
    <s v="CARGOTRANS"/>
    <s v="Envío de salseras A42"/>
    <s v="jlopez"/>
    <s v="GLTRX00970892"/>
    <n v="4975465"/>
    <n v="1"/>
    <n v="51"/>
    <s v=""/>
  </r>
  <r>
    <n v="3110688"/>
    <x v="2"/>
    <s v="06-10-008-003"/>
    <x v="1"/>
    <n v="240"/>
    <n v="0"/>
    <n v="240"/>
    <n v="10000"/>
    <n v="100"/>
    <s v="AMPM44"/>
    <x v="43"/>
    <s v="Entrada: Transacción Externa."/>
    <s v=" Compra de cinta antideslizant"/>
    <s v="mvasquez"/>
    <s v="GLTRX00977429"/>
    <n v="4992788"/>
    <n v="1"/>
    <n v="57"/>
    <s v=""/>
  </r>
  <r>
    <n v="3110688"/>
    <x v="2"/>
    <s v="06-10-008-003"/>
    <x v="1"/>
    <n v="850"/>
    <n v="0"/>
    <n v="850"/>
    <n v="10000"/>
    <n v="100"/>
    <s v="AMPM44"/>
    <x v="43"/>
    <s v="Entrada: Transacción Externa."/>
    <s v=" Instalacion y suministro de l"/>
    <s v="mvasquez"/>
    <s v="GLTRX00977429"/>
    <n v="4992788"/>
    <n v="1"/>
    <n v="57"/>
    <s v=""/>
  </r>
  <r>
    <n v="3110688"/>
    <x v="2"/>
    <s v="06-10-008-003"/>
    <x v="1"/>
    <n v="440"/>
    <n v="0"/>
    <n v="440"/>
    <n v="10000"/>
    <n v="100"/>
    <s v="AMPM44"/>
    <x v="43"/>
    <s v="Entrada: Transacción Externa."/>
    <s v=" Compra de cinta antideslizant"/>
    <s v="mvasquez"/>
    <s v="GLTRX00977429"/>
    <n v="4992788"/>
    <n v="1"/>
    <n v="57"/>
    <s v=""/>
  </r>
  <r>
    <n v="3096055"/>
    <x v="2"/>
    <s v="06-10-008-003"/>
    <x v="1"/>
    <n v="1300"/>
    <n v="0"/>
    <n v="1300"/>
    <n v="10000"/>
    <n v="100"/>
    <s v="AMPM44"/>
    <x v="43"/>
    <s v="CAMBIO LUZ LED A44"/>
    <s v="Compras"/>
    <s v="xmaltez"/>
    <s v="PMTRX00085883"/>
    <n v="4977641"/>
    <n v="1"/>
    <n v="57"/>
    <s v=""/>
  </r>
  <r>
    <n v="3088399"/>
    <x v="18"/>
    <s v="06-10-008-003"/>
    <x v="1"/>
    <n v="137"/>
    <n v="0"/>
    <n v="137"/>
    <n v="10000"/>
    <n v="100"/>
    <s v="AMPM44"/>
    <x v="43"/>
    <s v="CARGOTRANS"/>
    <s v="Envío de salseras A44"/>
    <s v="jlopez"/>
    <s v="GLTRX00970892"/>
    <n v="4975465"/>
    <n v="1"/>
    <n v="57"/>
    <s v=""/>
  </r>
  <r>
    <n v="3110694"/>
    <x v="2"/>
    <s v="06-10-008-003"/>
    <x v="1"/>
    <n v="310"/>
    <n v="0"/>
    <n v="310"/>
    <n v="10000"/>
    <n v="100"/>
    <s v="AMPM46"/>
    <x v="44"/>
    <s v="Entrada: Transacción Externa."/>
    <s v="Compra de kit para inodoro"/>
    <s v="mvasquez"/>
    <s v="GLTRX00977434"/>
    <n v="4992794"/>
    <n v="1"/>
    <n v="60"/>
    <s v=""/>
  </r>
  <r>
    <n v="3110694"/>
    <x v="2"/>
    <s v="06-10-008-003"/>
    <x v="1"/>
    <n v="500"/>
    <n v="0"/>
    <n v="500"/>
    <n v="10000"/>
    <n v="100"/>
    <s v="AMPM46"/>
    <x v="44"/>
    <s v="Entrada: Transacción Externa."/>
    <s v="Instalacion de bomba nueva par"/>
    <s v="mvasquez"/>
    <s v="GLTRX00977434"/>
    <n v="4992794"/>
    <n v="1"/>
    <n v="60"/>
    <s v=""/>
  </r>
  <r>
    <n v="3026938"/>
    <x v="3"/>
    <s v="06-10-008-003"/>
    <x v="1"/>
    <n v="10550"/>
    <n v="0"/>
    <n v="10550"/>
    <n v="10000"/>
    <n v="100"/>
    <s v="AMPM46"/>
    <x v="44"/>
    <s v="PG MDO FREDDY ESP."/>
    <s v="Desint inodoro y sondeo A46"/>
    <s v="jgonzalez"/>
    <s v="CMTRX00017015"/>
    <n v="4924490"/>
    <n v="1"/>
    <n v="60"/>
    <s v=""/>
  </r>
  <r>
    <n v="3110688"/>
    <x v="2"/>
    <s v="06-10-008-003"/>
    <x v="1"/>
    <n v="149"/>
    <n v="0"/>
    <n v="149"/>
    <n v="10000"/>
    <n v="100"/>
    <s v="AMPM47"/>
    <x v="45"/>
    <s v="Entrada: Transacción Externa."/>
    <s v=" Compra de llave de chorro"/>
    <s v="mvasquez"/>
    <s v="GLTRX00977429"/>
    <n v="4992788"/>
    <n v="1"/>
    <n v="61"/>
    <s v=""/>
  </r>
  <r>
    <n v="3110688"/>
    <x v="2"/>
    <s v="06-10-008-003"/>
    <x v="1"/>
    <n v="150"/>
    <n v="0"/>
    <n v="150"/>
    <n v="10000"/>
    <n v="100"/>
    <s v="AMPM47"/>
    <x v="45"/>
    <s v="Entrada: Transacción Externa."/>
    <s v=" MO Reparacion de lavandero"/>
    <s v="mvasquez"/>
    <s v="GLTRX00977429"/>
    <n v="4992788"/>
    <n v="1"/>
    <n v="61"/>
    <s v=""/>
  </r>
  <r>
    <n v="3088397"/>
    <x v="8"/>
    <s v="06-10-008-003"/>
    <x v="1"/>
    <n v="1180.83"/>
    <n v="0"/>
    <n v="1180.83"/>
    <n v="10000"/>
    <n v="100"/>
    <s v="AMPM49"/>
    <x v="46"/>
    <s v="CUBAS ELECTRICAS"/>
    <s v="Panel Led A49"/>
    <s v="jlopez"/>
    <s v="GLTRX00970892"/>
    <n v="4975460"/>
    <n v="1"/>
    <n v="63"/>
    <s v=""/>
  </r>
  <r>
    <n v="3087686"/>
    <x v="8"/>
    <s v="06-10-008-003"/>
    <x v="1"/>
    <n v="663.67"/>
    <n v="0"/>
    <n v="663.67"/>
    <n v="10000"/>
    <n v="100"/>
    <s v="AMPM49"/>
    <x v="46"/>
    <s v="SINSA"/>
    <s v="Gancho-Tornillo A49"/>
    <s v="jlopez"/>
    <s v="GLTRX00970892"/>
    <n v="4974751"/>
    <n v="1"/>
    <n v="63"/>
    <s v=""/>
  </r>
  <r>
    <n v="3041741"/>
    <x v="20"/>
    <s v="06-10-008-003"/>
    <x v="1"/>
    <n v="520.87"/>
    <n v="0"/>
    <n v="520.87"/>
    <n v="10000"/>
    <n v="100"/>
    <s v="AMPM49"/>
    <x v="46"/>
    <s v="SINSA/MT TIENDAS-DIONIS"/>
    <s v="LUMINARIA LED A49"/>
    <s v="xmaltez"/>
    <s v="GLTRX00956709"/>
    <n v="4937614"/>
    <n v="1"/>
    <n v="63"/>
    <s v=""/>
  </r>
  <r>
    <n v="3110694"/>
    <x v="2"/>
    <s v="06-10-008-003"/>
    <x v="1"/>
    <n v="200"/>
    <n v="0"/>
    <n v="200"/>
    <n v="10000"/>
    <n v="100"/>
    <s v="AMPM50"/>
    <x v="47"/>
    <s v="Entrada: Transacción Externa."/>
    <s v="compra de dos candado"/>
    <s v="mvasquez"/>
    <s v="GLTRX00977434"/>
    <n v="4992794"/>
    <n v="1"/>
    <n v="28"/>
    <s v=""/>
  </r>
  <r>
    <n v="3097664"/>
    <x v="6"/>
    <s v="06-10-008-003"/>
    <x v="1"/>
    <n v="3345"/>
    <n v="0"/>
    <n v="3345"/>
    <n v="10000"/>
    <n v="100"/>
    <s v="AMPM50"/>
    <x v="47"/>
    <s v="KIT DE REPARACION SALSERA"/>
    <s v="KIT DE REPARACION SALSERA A50"/>
    <s v="xmaltez"/>
    <s v="PMTRX00085891"/>
    <n v="4977768"/>
    <n v="1"/>
    <n v="28"/>
    <s v=""/>
  </r>
  <r>
    <n v="3110689"/>
    <x v="2"/>
    <s v="06-10-008-003"/>
    <x v="1"/>
    <n v="170"/>
    <n v="0"/>
    <n v="170"/>
    <n v="10000"/>
    <n v="100"/>
    <s v="AMPM51"/>
    <x v="48"/>
    <s v="Entrada: Transacción Externa."/>
    <s v="Compra de candados"/>
    <s v="mvasquez"/>
    <s v="GLTRX00977430"/>
    <n v="4992789"/>
    <n v="1"/>
    <n v="65"/>
    <s v=""/>
  </r>
  <r>
    <n v="3083726"/>
    <x v="13"/>
    <s v="06-10-008-003"/>
    <x v="1"/>
    <n v="7850"/>
    <n v="0"/>
    <n v="7850"/>
    <n v="10000"/>
    <n v="100"/>
    <s v="AMPM52"/>
    <x v="3"/>
    <s v="Entrada: Transacción Externa."/>
    <s v="CAMBIO DE LAMPARAS I-A52"/>
    <s v="jgonzalez"/>
    <s v="GLTRX00969851"/>
    <n v="4971287"/>
    <n v="1"/>
    <n v="66"/>
    <s v=""/>
  </r>
  <r>
    <n v="3083688"/>
    <x v="3"/>
    <s v="06-10-008-003"/>
    <x v="1"/>
    <n v="2100"/>
    <n v="0"/>
    <n v="2100"/>
    <n v="10000"/>
    <n v="100"/>
    <s v="AMPM52"/>
    <x v="3"/>
    <s v="PG MDO FREDDY ESPINOZA"/>
    <s v="CAM INST VISAGRA A52"/>
    <s v="jgonzalez"/>
    <s v="GLTRX00969845"/>
    <n v="4971251"/>
    <n v="1"/>
    <n v="66"/>
    <s v=""/>
  </r>
  <r>
    <n v="3041489"/>
    <x v="4"/>
    <s v="06-10-008-003"/>
    <x v="1"/>
    <n v="5550"/>
    <n v="0"/>
    <n v="5550"/>
    <n v="10000"/>
    <n v="100"/>
    <s v="AMPM52"/>
    <x v="3"/>
    <s v="OFICE SITE-MT A18-52-DIONIS"/>
    <s v="SILLAS CAJERO A52"/>
    <s v="xmaltez"/>
    <s v="GLTRX00955853"/>
    <n v="4937603"/>
    <n v="1"/>
    <n v="66"/>
    <s v=""/>
  </r>
  <r>
    <n v="3110691"/>
    <x v="2"/>
    <s v="06-10-008-003"/>
    <x v="1"/>
    <n v="200"/>
    <n v="0"/>
    <n v="200"/>
    <n v="10000"/>
    <n v="100"/>
    <s v="AMPM53"/>
    <x v="49"/>
    <s v="Entrada: Transacción Externa."/>
    <s v="Reparacion llave de lavandero"/>
    <s v="mvasquez"/>
    <s v="GLTRX00977432"/>
    <n v="4992791"/>
    <n v="1"/>
    <n v="64"/>
    <s v=""/>
  </r>
  <r>
    <n v="3096059"/>
    <x v="2"/>
    <s v="06-10-008-003"/>
    <x v="1"/>
    <n v="6445"/>
    <n v="0"/>
    <n v="6445"/>
    <n v="10000"/>
    <n v="100"/>
    <s v="AMPM53"/>
    <x v="49"/>
    <s v="AJUSTE PUERTA A53"/>
    <s v="Compras"/>
    <s v="xmaltez"/>
    <s v="PMTRX00085883"/>
    <n v="4977645"/>
    <n v="1"/>
    <n v="64"/>
    <s v=""/>
  </r>
  <r>
    <n v="3096057"/>
    <x v="2"/>
    <s v="06-10-008-003"/>
    <x v="1"/>
    <n v="5920"/>
    <n v="0"/>
    <n v="5920"/>
    <n v="10000"/>
    <n v="100"/>
    <s v="AMPM53"/>
    <x v="49"/>
    <s v="AJUSTE PUERTA A53"/>
    <s v="Compras"/>
    <s v="xmaltez"/>
    <s v="PMTRX00085883"/>
    <n v="4977643"/>
    <n v="1"/>
    <n v="64"/>
    <s v=""/>
  </r>
  <r>
    <n v="3088399"/>
    <x v="18"/>
    <s v="06-10-008-003"/>
    <x v="1"/>
    <n v="137"/>
    <n v="0"/>
    <n v="137"/>
    <n v="10000"/>
    <n v="100"/>
    <s v="AMPM54"/>
    <x v="50"/>
    <s v="CARGOTRANS"/>
    <s v="Envío de salseras A54"/>
    <s v="jlopez"/>
    <s v="GLTRX00970892"/>
    <n v="4975465"/>
    <n v="1"/>
    <n v="70"/>
    <s v=""/>
  </r>
  <r>
    <n v="3087680"/>
    <x v="5"/>
    <s v="06-10-008-003"/>
    <x v="1"/>
    <n v="5500"/>
    <n v="0"/>
    <n v="5500"/>
    <n v="10000"/>
    <n v="100"/>
    <s v="AMPM55"/>
    <x v="51"/>
    <s v="PG MDO ROGER SALINAS"/>
    <s v="Chequeo paneles A55"/>
    <s v="jgonzalez"/>
    <s v="GLTRX00970899"/>
    <n v="4974745"/>
    <n v="1"/>
    <n v="71"/>
    <s v=""/>
  </r>
  <r>
    <n v="3021318"/>
    <x v="8"/>
    <s v="06-10-008-003"/>
    <x v="1"/>
    <n v="14500"/>
    <n v="0"/>
    <n v="14500"/>
    <n v="10000"/>
    <n v="100"/>
    <s v="AMPM55"/>
    <x v="51"/>
    <s v="PG MANT ALEXANDER"/>
    <s v="cam ojos buey, bombillas, A55"/>
    <s v="jgonzalez"/>
    <s v="CMTRX00017003"/>
    <n v="4921197"/>
    <n v="1"/>
    <n v="71"/>
    <s v=""/>
  </r>
  <r>
    <n v="3110694"/>
    <x v="2"/>
    <s v="06-10-008-003"/>
    <x v="1"/>
    <n v="130"/>
    <n v="0"/>
    <n v="130"/>
    <n v="10000"/>
    <n v="100"/>
    <s v="AMPM57"/>
    <x v="52"/>
    <s v="Entrada: Transacción Externa."/>
    <s v="compra de pasta trasnparente p"/>
    <s v="mvasquez"/>
    <s v="GLTRX00977434"/>
    <n v="4992794"/>
    <n v="1"/>
    <n v="73"/>
    <s v=""/>
  </r>
  <r>
    <n v="3110694"/>
    <x v="2"/>
    <s v="06-10-008-003"/>
    <x v="1"/>
    <n v="380"/>
    <n v="0"/>
    <n v="380"/>
    <n v="10000"/>
    <n v="100"/>
    <s v="AMPM57"/>
    <x v="52"/>
    <s v="Entrada: Transacción Externa."/>
    <s v="Compra de accesorio tanque ino"/>
    <s v="mvasquez"/>
    <s v="GLTRX00977434"/>
    <n v="4992794"/>
    <n v="1"/>
    <n v="73"/>
    <s v=""/>
  </r>
  <r>
    <n v="3110694"/>
    <x v="2"/>
    <s v="06-10-008-003"/>
    <x v="1"/>
    <n v="400"/>
    <n v="0"/>
    <n v="400"/>
    <n v="10000"/>
    <n v="100"/>
    <s v="AMPM57"/>
    <x v="52"/>
    <s v="Entrada: Transacción Externa."/>
    <s v="Reparacion cambio de valvula e"/>
    <s v="mvasquez"/>
    <s v="GLTRX00977434"/>
    <n v="4992794"/>
    <n v="1"/>
    <n v="73"/>
    <s v=""/>
  </r>
  <r>
    <n v="3110694"/>
    <x v="2"/>
    <s v="06-10-008-003"/>
    <x v="1"/>
    <n v="498"/>
    <n v="0"/>
    <n v="498"/>
    <n v="10000"/>
    <n v="100"/>
    <s v="AMPM57"/>
    <x v="52"/>
    <s v="Entrada: Transacción Externa."/>
    <s v="Compra de dispensador de alcoh"/>
    <s v="mvasquez"/>
    <s v="GLTRX00977434"/>
    <n v="4992794"/>
    <n v="1"/>
    <n v="73"/>
    <s v=""/>
  </r>
  <r>
    <n v="3110694"/>
    <x v="2"/>
    <s v="06-10-008-003"/>
    <x v="1"/>
    <n v="85"/>
    <n v="0"/>
    <n v="85"/>
    <n v="10000"/>
    <n v="100"/>
    <s v="AMPM57"/>
    <x v="52"/>
    <s v="Entrada: Transacción Externa."/>
    <s v="compra de llave de tuberia"/>
    <s v="mvasquez"/>
    <s v="GLTRX00977434"/>
    <n v="4992794"/>
    <n v="1"/>
    <n v="73"/>
    <s v=""/>
  </r>
  <r>
    <n v="3110694"/>
    <x v="2"/>
    <s v="06-10-008-003"/>
    <x v="1"/>
    <n v="3900"/>
    <n v="0"/>
    <n v="3900"/>
    <n v="10000"/>
    <n v="100"/>
    <s v="AMPM57"/>
    <x v="52"/>
    <s v="Entrada: Transacción Externa."/>
    <s v="Cambio de vidrio de puerta pri"/>
    <s v="mvasquez"/>
    <s v="GLTRX00977434"/>
    <n v="4992794"/>
    <n v="1"/>
    <n v="73"/>
    <s v=""/>
  </r>
  <r>
    <n v="3110694"/>
    <x v="2"/>
    <s v="06-10-008-003"/>
    <x v="1"/>
    <n v="500"/>
    <n v="0"/>
    <n v="500"/>
    <n v="10000"/>
    <n v="100"/>
    <s v="AMPM57"/>
    <x v="52"/>
    <s v="Entrada: Transacción Externa."/>
    <s v="reparacion de llave de pila de"/>
    <s v="mvasquez"/>
    <s v="GLTRX00977434"/>
    <n v="4992794"/>
    <n v="1"/>
    <n v="73"/>
    <s v=""/>
  </r>
  <r>
    <n v="3110694"/>
    <x v="2"/>
    <s v="06-10-008-003"/>
    <x v="1"/>
    <n v="205"/>
    <n v="0"/>
    <n v="205"/>
    <n v="10000"/>
    <n v="100"/>
    <s v="AMPM57"/>
    <x v="52"/>
    <s v="Entrada: Transacción Externa."/>
    <s v="Compra de pintura Blanca"/>
    <s v="mvasquez"/>
    <s v="GLTRX00977434"/>
    <n v="4992794"/>
    <n v="1"/>
    <n v="73"/>
    <s v=""/>
  </r>
  <r>
    <n v="3110694"/>
    <x v="2"/>
    <s v="06-10-008-003"/>
    <x v="1"/>
    <n v="500"/>
    <n v="0"/>
    <n v="500"/>
    <n v="10000"/>
    <n v="100"/>
    <s v="AMPM57"/>
    <x v="52"/>
    <s v="Entrada: Transacción Externa."/>
    <s v="Pago de instalacion de cerradu"/>
    <s v="mvasquez"/>
    <s v="GLTRX00977434"/>
    <n v="4992794"/>
    <n v="1"/>
    <n v="73"/>
    <s v=""/>
  </r>
  <r>
    <n v="3110694"/>
    <x v="2"/>
    <s v="06-10-008-003"/>
    <x v="1"/>
    <n v="540"/>
    <n v="0"/>
    <n v="540"/>
    <n v="10000"/>
    <n v="100"/>
    <s v="AMPM57"/>
    <x v="52"/>
    <s v="Entrada: Transacción Externa."/>
    <s v="Compra de cerradura para puert"/>
    <s v="mvasquez"/>
    <s v="GLTRX00977434"/>
    <n v="4992794"/>
    <n v="1"/>
    <n v="73"/>
    <s v=""/>
  </r>
  <r>
    <n v="3088415"/>
    <x v="22"/>
    <s v="06-10-008-003"/>
    <x v="1"/>
    <n v="2597"/>
    <n v="0"/>
    <n v="2597"/>
    <n v="10000"/>
    <n v="100"/>
    <s v="AMPM57"/>
    <x v="52"/>
    <s v="DISTNICA"/>
    <s v="Dispensador de Papel A57"/>
    <s v="jlopez"/>
    <s v="GLTRX00970892"/>
    <n v="4975476"/>
    <n v="1"/>
    <n v="73"/>
    <s v=""/>
  </r>
  <r>
    <n v="3088409"/>
    <x v="22"/>
    <s v="06-10-008-003"/>
    <x v="1"/>
    <n v="1565.2"/>
    <n v="0"/>
    <n v="1565.2"/>
    <n v="10000"/>
    <n v="100"/>
    <s v="AMPM57"/>
    <x v="52"/>
    <s v="SINSA"/>
    <s v="Reflector Led A57"/>
    <s v="jlopez"/>
    <s v="GLTRX00970892"/>
    <n v="4975474"/>
    <n v="1"/>
    <n v="73"/>
    <s v=""/>
  </r>
  <r>
    <n v="3088409"/>
    <x v="22"/>
    <s v="06-10-008-003"/>
    <x v="1"/>
    <n v="2120.87"/>
    <n v="0"/>
    <n v="2120.87"/>
    <n v="10000"/>
    <n v="100"/>
    <s v="AMPM57"/>
    <x v="52"/>
    <s v="SINSA"/>
    <s v="Luminaria Led A57"/>
    <s v="jlopez"/>
    <s v="GLTRX00970892"/>
    <n v="4975474"/>
    <n v="1"/>
    <n v="73"/>
    <s v=""/>
  </r>
  <r>
    <n v="3040736"/>
    <x v="4"/>
    <s v="06-10-008-003"/>
    <x v="1"/>
    <n v="945"/>
    <n v="0"/>
    <n v="945"/>
    <n v="10000"/>
    <n v="100"/>
    <s v="AMPM58"/>
    <x v="53"/>
    <s v="SINSA/MT TIENDAS-DIONIS"/>
    <s v="LUMINARIA LED A58"/>
    <s v="xmaltez"/>
    <s v="GLTRX00955853"/>
    <n v="4936012"/>
    <n v="1"/>
    <n v="74"/>
    <s v=""/>
  </r>
  <r>
    <n v="3097645"/>
    <x v="17"/>
    <s v="06-10-008-003"/>
    <x v="1"/>
    <n v="1200"/>
    <n v="0"/>
    <n v="1200"/>
    <n v="5000"/>
    <n v="50"/>
    <s v="AMPM60"/>
    <x v="54"/>
    <s v="ENTREGA SILLA MITRAB"/>
    <s v="ENTREGA SILLA MITRAB"/>
    <s v="xmaltez"/>
    <s v="PMTRX00085891"/>
    <n v="4977761"/>
    <n v="1"/>
    <n v="76"/>
    <s v=""/>
  </r>
  <r>
    <n v="3096068"/>
    <x v="12"/>
    <s v="06-10-008-003"/>
    <x v="1"/>
    <n v="3500"/>
    <n v="0"/>
    <n v="3500"/>
    <n v="10000"/>
    <n v="100"/>
    <s v="AMPM60"/>
    <x v="54"/>
    <s v="MT CAJA FUERTE A60"/>
    <s v="MT CAJA FUERTE A60"/>
    <s v="xmaltez"/>
    <s v="PMTRX00085884"/>
    <n v="4977659"/>
    <n v="1"/>
    <n v="76"/>
    <s v=""/>
  </r>
  <r>
    <n v="3094558"/>
    <x v="2"/>
    <s v="06-10-008-003"/>
    <x v="1"/>
    <n v="3070"/>
    <n v="0"/>
    <n v="3070"/>
    <n v="10000"/>
    <n v="100"/>
    <s v="AMPM60"/>
    <x v="54"/>
    <s v="AJUSTE DE PUERTAS A60"/>
    <s v="Compras"/>
    <s v="xmaltez"/>
    <s v="PMTRX00085882"/>
    <n v="4977628"/>
    <n v="1"/>
    <n v="76"/>
    <s v=""/>
  </r>
  <r>
    <n v="3088392"/>
    <x v="6"/>
    <s v="06-10-008-003"/>
    <x v="1"/>
    <n v="4394.91"/>
    <n v="0"/>
    <n v="4394.91"/>
    <n v="10000"/>
    <n v="100"/>
    <s v="AMPM60"/>
    <x v="54"/>
    <s v="MOBI EQUIIPOS"/>
    <s v="Locker Metalico A60"/>
    <s v="jlopez"/>
    <s v="GLTRX00970892"/>
    <n v="4975459"/>
    <n v="1"/>
    <n v="76"/>
    <s v=""/>
  </r>
  <r>
    <n v="3096061"/>
    <x v="2"/>
    <s v="06-10-008-003"/>
    <x v="1"/>
    <n v="3225"/>
    <n v="0"/>
    <n v="3225"/>
    <n v="10000"/>
    <n v="100"/>
    <s v="AMPM61"/>
    <x v="55"/>
    <s v="INST CERRADURA A61"/>
    <s v="Compras"/>
    <s v="xmaltez"/>
    <s v="PMTRX00085883"/>
    <n v="4977647"/>
    <n v="1"/>
    <n v="77"/>
    <s v=""/>
  </r>
  <r>
    <n v="3083726"/>
    <x v="13"/>
    <s v="06-10-008-003"/>
    <x v="1"/>
    <n v="4100"/>
    <n v="0"/>
    <n v="4100"/>
    <n v="10000"/>
    <n v="100"/>
    <s v="AMPM61"/>
    <x v="55"/>
    <s v="Entrada: Transacción Externa."/>
    <s v="DESINTALACION DE CER-A61"/>
    <s v="jgonzalez"/>
    <s v="GLTRX00969851"/>
    <n v="4971287"/>
    <n v="1"/>
    <n v="77"/>
    <s v=""/>
  </r>
  <r>
    <n v="3083688"/>
    <x v="3"/>
    <s v="06-10-008-003"/>
    <x v="1"/>
    <n v="2840"/>
    <n v="0"/>
    <n v="2840"/>
    <n v="10000"/>
    <n v="100"/>
    <s v="AMPM61"/>
    <x v="55"/>
    <s v="PG MDO FREDDY ESPINOZA"/>
    <s v="CAMB LLAVE LAVAMANOS A61"/>
    <s v="jgonzalez"/>
    <s v="GLTRX00969845"/>
    <n v="4971251"/>
    <n v="1"/>
    <n v="77"/>
    <s v=""/>
  </r>
  <r>
    <n v="3110691"/>
    <x v="2"/>
    <s v="06-10-008-003"/>
    <x v="1"/>
    <n v="83"/>
    <n v="0"/>
    <n v="83"/>
    <n v="10000"/>
    <n v="100"/>
    <s v="AMPM62"/>
    <x v="56"/>
    <s v="Entrada: Transacción Externa."/>
    <s v="Haladera Baño"/>
    <s v="mvasquez"/>
    <s v="GLTRX00977432"/>
    <n v="4992791"/>
    <n v="1"/>
    <n v="78"/>
    <s v=""/>
  </r>
  <r>
    <n v="3110691"/>
    <x v="2"/>
    <s v="06-10-008-003"/>
    <x v="1"/>
    <n v="35"/>
    <n v="0"/>
    <n v="35"/>
    <n v="10000"/>
    <n v="100"/>
    <s v="AMPM62"/>
    <x v="56"/>
    <s v="Entrada: Transacción Externa."/>
    <s v="pasador para puerta caja"/>
    <s v="mvasquez"/>
    <s v="GLTRX00977432"/>
    <n v="4992791"/>
    <n v="1"/>
    <n v="78"/>
    <s v=""/>
  </r>
  <r>
    <n v="3088399"/>
    <x v="18"/>
    <s v="06-10-008-003"/>
    <x v="1"/>
    <n v="165"/>
    <n v="0"/>
    <n v="165"/>
    <n v="10000"/>
    <n v="100"/>
    <s v="AMPM62"/>
    <x v="56"/>
    <s v="CARGOTRANS"/>
    <s v="Envío de salseras A62"/>
    <s v="jlopez"/>
    <s v="GLTRX00970892"/>
    <n v="4975465"/>
    <n v="1"/>
    <n v="78"/>
    <s v=""/>
  </r>
  <r>
    <n v="3110689"/>
    <x v="2"/>
    <s v="06-10-008-003"/>
    <x v="1"/>
    <n v="200"/>
    <n v="0"/>
    <n v="200"/>
    <n v="10000"/>
    <n v="100"/>
    <s v="AMPM63"/>
    <x v="57"/>
    <s v="Entrada: Transacción Externa."/>
    <s v="Tapa de inodoro"/>
    <s v="mvasquez"/>
    <s v="GLTRX00977430"/>
    <n v="4992789"/>
    <n v="1"/>
    <n v="79"/>
    <s v=""/>
  </r>
  <r>
    <n v="3110689"/>
    <x v="2"/>
    <s v="06-10-008-003"/>
    <x v="1"/>
    <n v="64"/>
    <n v="0"/>
    <n v="64"/>
    <n v="10000"/>
    <n v="100"/>
    <s v="AMPM63"/>
    <x v="57"/>
    <s v="Entrada: Transacción Externa."/>
    <s v="Compra de herramienta"/>
    <s v="mvasquez"/>
    <s v="GLTRX00977430"/>
    <n v="4992789"/>
    <n v="1"/>
    <n v="79"/>
    <s v=""/>
  </r>
  <r>
    <n v="3110689"/>
    <x v="2"/>
    <s v="06-10-008-003"/>
    <x v="1"/>
    <n v="70"/>
    <n v="0"/>
    <n v="70"/>
    <n v="10000"/>
    <n v="100"/>
    <s v="AMPM63"/>
    <x v="57"/>
    <s v="Entrada: Transacción Externa."/>
    <s v="Compra de herramienta"/>
    <s v="mvasquez"/>
    <s v="GLTRX00977430"/>
    <n v="4992789"/>
    <n v="1"/>
    <n v="79"/>
    <s v=""/>
  </r>
  <r>
    <n v="3110689"/>
    <x v="2"/>
    <s v="06-10-008-003"/>
    <x v="1"/>
    <n v="600"/>
    <n v="0"/>
    <n v="600"/>
    <n v="10000"/>
    <n v="100"/>
    <s v="AMPM63"/>
    <x v="57"/>
    <s v="Entrada: Transacción Externa."/>
    <s v="Reparacion de fuga en lavamano"/>
    <s v="mvasquez"/>
    <s v="GLTRX00977430"/>
    <n v="4992789"/>
    <n v="1"/>
    <n v="79"/>
    <s v=""/>
  </r>
  <r>
    <n v="3026938"/>
    <x v="3"/>
    <s v="06-10-008-003"/>
    <x v="1"/>
    <n v="19840"/>
    <n v="0"/>
    <n v="19840"/>
    <n v="10000"/>
    <n v="100"/>
    <s v="AMPM63"/>
    <x v="57"/>
    <s v="PG MDO FREDDY ESP."/>
    <s v="Desint rotulos carretera A63"/>
    <s v="jgonzalez"/>
    <s v="CMTRX00017015"/>
    <n v="4924490"/>
    <n v="1"/>
    <n v="79"/>
    <s v=""/>
  </r>
  <r>
    <n v="3097664"/>
    <x v="6"/>
    <s v="06-10-008-003"/>
    <x v="1"/>
    <n v="3345"/>
    <n v="0"/>
    <n v="3345"/>
    <n v="10000"/>
    <n v="100"/>
    <s v="AMPM65"/>
    <x v="58"/>
    <s v="KIT DE REPARACION SALSERA"/>
    <s v="KIT DE REPARACION SALSERA A65"/>
    <s v="xmaltez"/>
    <s v="PMTRX00085891"/>
    <n v="4977768"/>
    <n v="1"/>
    <n v="81"/>
    <s v=""/>
  </r>
  <r>
    <n v="3088464"/>
    <x v="5"/>
    <s v="06-10-008-003"/>
    <x v="1"/>
    <n v="21041.01"/>
    <n v="0"/>
    <n v="21041.01"/>
    <n v="10000"/>
    <n v="100"/>
    <s v="AMPM65"/>
    <x v="58"/>
    <s v="MT TIENDA A65"/>
    <s v="MATERIALES +PINTURA EN PARED"/>
    <s v="xmaltez"/>
    <s v="PMTRX00085875"/>
    <n v="4975505"/>
    <n v="1"/>
    <n v="81"/>
    <s v=""/>
  </r>
  <r>
    <n v="3110691"/>
    <x v="2"/>
    <s v="06-10-008-003"/>
    <x v="1"/>
    <n v="195"/>
    <n v="0"/>
    <n v="195"/>
    <n v="10000"/>
    <n v="100"/>
    <s v="AMPM66"/>
    <x v="59"/>
    <s v="Entrada: Transacción Externa."/>
    <s v="Tubo para lavandero"/>
    <s v="mvasquez"/>
    <s v="GLTRX00977432"/>
    <n v="4992791"/>
    <n v="1"/>
    <n v="82"/>
    <s v=""/>
  </r>
  <r>
    <n v="3107977"/>
    <x v="2"/>
    <s v="06-10-008-003"/>
    <x v="1"/>
    <n v="0"/>
    <n v="14649.72"/>
    <n v="-14649.72"/>
    <n v="10000"/>
    <n v="100"/>
    <s v="AMPM66"/>
    <x v="59"/>
    <s v="SMARTCASH  A66"/>
    <s v="SMARTCASH  A66"/>
    <s v="mgaitan"/>
    <s v="GLTRX00977308"/>
    <n v="4992086"/>
    <n v="1"/>
    <n v="82"/>
    <s v=""/>
  </r>
  <r>
    <n v="3043549"/>
    <x v="20"/>
    <s v="06-10-008-003"/>
    <x v="1"/>
    <n v="14649.72"/>
    <n v="0"/>
    <n v="14649.72"/>
    <n v="10000"/>
    <n v="100"/>
    <s v="AMPM66"/>
    <x v="59"/>
    <s v="MB EMPOTRADO A66"/>
    <s v="DESINTA Y TRASLADO MB A66"/>
    <s v="xmaltez"/>
    <s v="PMTRX00084868"/>
    <n v="4939473"/>
    <n v="1"/>
    <n v="82"/>
    <s v=""/>
  </r>
  <r>
    <n v="3096062"/>
    <x v="2"/>
    <s v="06-10-008-003"/>
    <x v="1"/>
    <n v="9225"/>
    <n v="0"/>
    <n v="9225"/>
    <n v="10000"/>
    <n v="100"/>
    <s v="AMPM67"/>
    <x v="60"/>
    <s v="CAMBIO FOTO CELDA A67"/>
    <s v="Compras"/>
    <s v="xmaltez"/>
    <s v="PMTRX00085883"/>
    <n v="4977648"/>
    <n v="1"/>
    <n v="83"/>
    <s v=""/>
  </r>
  <r>
    <n v="3094560"/>
    <x v="2"/>
    <s v="06-10-008-003"/>
    <x v="1"/>
    <n v="1050"/>
    <n v="0"/>
    <n v="1050"/>
    <n v="10000"/>
    <n v="100"/>
    <s v="AMPM67"/>
    <x v="60"/>
    <s v="ROS DE INODORO A67"/>
    <s v="Compras"/>
    <s v="xmaltez"/>
    <s v="PMTRX00085882"/>
    <n v="4977630"/>
    <n v="1"/>
    <n v="83"/>
    <s v=""/>
  </r>
  <r>
    <n v="3094559"/>
    <x v="2"/>
    <s v="06-10-008-003"/>
    <x v="1"/>
    <n v="11812"/>
    <n v="0"/>
    <n v="11812"/>
    <n v="10000"/>
    <n v="100"/>
    <s v="AMPM67"/>
    <x v="60"/>
    <s v="CAMBIO DE 3 VIDRIOS 67"/>
    <s v="Compras"/>
    <s v="xmaltez"/>
    <s v="PMTRX00085882"/>
    <n v="4977629"/>
    <n v="1"/>
    <n v="83"/>
    <s v=""/>
  </r>
  <r>
    <n v="3088396"/>
    <x v="2"/>
    <s v="06-10-008-003"/>
    <x v="1"/>
    <n v="0"/>
    <n v="2500"/>
    <n v="-2500"/>
    <n v="10000"/>
    <n v="100"/>
    <s v="AMPM67"/>
    <x v="60"/>
    <s v="Revertir entrada de 3087541"/>
    <s v="Traslado de granita A67"/>
    <s v="crivera"/>
    <s v="GLTRX00970994"/>
    <n v="4975458"/>
    <n v="1"/>
    <n v="83"/>
    <s v=""/>
  </r>
  <r>
    <n v="3087550"/>
    <x v="2"/>
    <s v="06-10-008-003"/>
    <x v="1"/>
    <n v="2500"/>
    <n v="0"/>
    <n v="2500"/>
    <n v="10000"/>
    <n v="100"/>
    <s v="AMPM67"/>
    <x v="60"/>
    <s v="Entrada: Transacción Externa."/>
    <s v="Traslado de granita A67"/>
    <s v="jgonzalez"/>
    <s v="GLTRX00970894"/>
    <n v="4974615"/>
    <n v="1"/>
    <n v="83"/>
    <s v=""/>
  </r>
  <r>
    <n v="3087541"/>
    <x v="2"/>
    <s v="06-10-008-003"/>
    <x v="1"/>
    <n v="2500"/>
    <n v="0"/>
    <n v="2500"/>
    <n v="10000"/>
    <n v="100"/>
    <s v="AMPM67"/>
    <x v="60"/>
    <s v="Entrada: Transacción Externa."/>
    <s v="Traslado de granita A67"/>
    <s v="crivera"/>
    <s v="GLTRX00970776"/>
    <n v="4973309"/>
    <n v="1"/>
    <n v="83"/>
    <s v=""/>
  </r>
  <r>
    <n v="3043238"/>
    <x v="20"/>
    <s v="06-10-008-003"/>
    <x v="1"/>
    <n v="11812"/>
    <n v="0"/>
    <n v="11812"/>
    <n v="10000"/>
    <n v="100"/>
    <s v="AMPM67"/>
    <x v="60"/>
    <s v="MT EN TIENDA A67"/>
    <s v="CAMBIO 3 VIDRIOS FACHADA A67"/>
    <s v="xmaltez"/>
    <s v="PMTRX00084831"/>
    <n v="4938474"/>
    <n v="1"/>
    <n v="83"/>
    <s v=""/>
  </r>
  <r>
    <n v="3110688"/>
    <x v="2"/>
    <s v="06-10-008-003"/>
    <x v="1"/>
    <n v="5000"/>
    <n v="0"/>
    <n v="5000"/>
    <n v="10000"/>
    <n v="100"/>
    <s v="AMPM68"/>
    <x v="61"/>
    <s v="Entrada: Transacción Externa."/>
    <s v=" MO reparacion de muro perimet"/>
    <s v="mvasquez"/>
    <s v="GLTRX00977429"/>
    <n v="4992788"/>
    <n v="1"/>
    <n v="84"/>
    <s v=""/>
  </r>
  <r>
    <n v="3105892"/>
    <x v="5"/>
    <s v="06-10-008-003"/>
    <x v="1"/>
    <n v="1098.23"/>
    <n v="0"/>
    <n v="1098.23"/>
    <n v="10000"/>
    <n v="100"/>
    <s v="AMPM69"/>
    <x v="62"/>
    <s v="SOFECONSA/ AMPM69"/>
    <s v="ASIENTO PARA INODORO A69"/>
    <s v="xmaltez"/>
    <s v="GLTRX00976510"/>
    <n v="4991194"/>
    <n v="1"/>
    <n v="85"/>
    <s v=""/>
  </r>
  <r>
    <n v="3105890"/>
    <x v="5"/>
    <s v="06-10-008-003"/>
    <x v="1"/>
    <n v="0"/>
    <n v="1098.23"/>
    <n v="-1098.23"/>
    <n v="10000"/>
    <n v="100"/>
    <s v="AMPM69"/>
    <x v="62"/>
    <s v="SOFECONSA"/>
    <s v="ASIENTO PARA INODORO A69"/>
    <s v="xmaltez"/>
    <s v="GLTRX00976510"/>
    <n v="4991193"/>
    <n v="1"/>
    <n v="85"/>
    <s v=""/>
  </r>
  <r>
    <n v="3096056"/>
    <x v="2"/>
    <s v="06-10-008-003"/>
    <x v="1"/>
    <n v="950"/>
    <n v="0"/>
    <n v="950"/>
    <n v="10000"/>
    <n v="100"/>
    <s v="AMPM69"/>
    <x v="62"/>
    <s v="INSTA CERRADURA VITRINA A69"/>
    <s v="Compras"/>
    <s v="xmaltez"/>
    <s v="PMTRX00085883"/>
    <n v="4977642"/>
    <n v="1"/>
    <n v="85"/>
    <s v=""/>
  </r>
  <r>
    <n v="3081634"/>
    <x v="5"/>
    <s v="06-10-008-003"/>
    <x v="1"/>
    <n v="1098.23"/>
    <n v="0"/>
    <n v="1098.23"/>
    <n v="10000"/>
    <n v="100"/>
    <s v="AMPM69"/>
    <x v="62"/>
    <s v="SOFECONSA/ AMPM69"/>
    <s v="ASIENTO PARA INODORO A69"/>
    <s v="xmaltez"/>
    <s v="GLTRX00968931"/>
    <n v="4969878"/>
    <n v="1"/>
    <n v="85"/>
    <s v=""/>
  </r>
  <r>
    <n v="3043585"/>
    <x v="18"/>
    <s v="06-10-008-003"/>
    <x v="1"/>
    <n v="39130"/>
    <n v="0"/>
    <n v="39130"/>
    <n v="10000"/>
    <n v="100"/>
    <s v="AMPM70"/>
    <x v="63"/>
    <s v="MT EN TIENDA A70"/>
    <s v="PARED GYPSUM+PINTURA+PUERTA"/>
    <s v="xmaltez"/>
    <s v="PMTRX00084868"/>
    <n v="4939474"/>
    <n v="1"/>
    <n v="87"/>
    <s v=""/>
  </r>
  <r>
    <n v="3081560"/>
    <x v="17"/>
    <s v="06-10-008-003"/>
    <x v="1"/>
    <n v="306.98"/>
    <n v="0"/>
    <n v="306.98"/>
    <n v="10000"/>
    <n v="100"/>
    <s v="AMPM71"/>
    <x v="64"/>
    <s v="SINSA LEON/ A71"/>
    <s v="SINSA INTERUPTOR TAPE"/>
    <s v="xmaltez"/>
    <s v="GLTRX00968931"/>
    <n v="4969803"/>
    <n v="1"/>
    <n v="86"/>
    <s v=""/>
  </r>
  <r>
    <n v="3110691"/>
    <x v="2"/>
    <s v="06-10-008-003"/>
    <x v="1"/>
    <n v="303"/>
    <n v="0"/>
    <n v="303"/>
    <n v="10000"/>
    <n v="100"/>
    <s v="AMPM72"/>
    <x v="65"/>
    <s v="Entrada: Transacción Externa."/>
    <s v="Panel led ojo de buey , tape n"/>
    <s v="mvasquez"/>
    <s v="GLTRX00977432"/>
    <n v="4992791"/>
    <n v="1"/>
    <n v="88"/>
    <s v=""/>
  </r>
  <r>
    <n v="3088406"/>
    <x v="17"/>
    <s v="06-10-008-003"/>
    <x v="1"/>
    <n v="662.6"/>
    <n v="0"/>
    <n v="662.6"/>
    <n v="10000"/>
    <n v="100"/>
    <s v="AMPM73"/>
    <x v="66"/>
    <s v="SINSA"/>
    <s v="Soporte-Cerrojo A73"/>
    <s v="jlopez"/>
    <s v="GLTRX00970892"/>
    <n v="4975468"/>
    <n v="1"/>
    <n v="89"/>
    <s v=""/>
  </r>
  <r>
    <n v="3026938"/>
    <x v="3"/>
    <s v="06-10-008-003"/>
    <x v="1"/>
    <n v="10850"/>
    <n v="0"/>
    <n v="10850"/>
    <n v="10000"/>
    <n v="100"/>
    <s v="AMPM73"/>
    <x v="66"/>
    <s v="PG MDO FREDDY ESP."/>
    <s v="Limp geral, poda y basura A73"/>
    <s v="jgonzalez"/>
    <s v="CMTRX00017015"/>
    <n v="4924490"/>
    <n v="1"/>
    <n v="89"/>
    <s v=""/>
  </r>
  <r>
    <n v="3106109"/>
    <x v="2"/>
    <s v="06-10-008-003"/>
    <x v="1"/>
    <n v="0"/>
    <n v="22338.2"/>
    <n v="-22338.2"/>
    <n v="10000"/>
    <n v="100"/>
    <s v="AMPM74"/>
    <x v="67"/>
    <s v="SUMINISTRO INTA A74"/>
    <s v="SUMINISTRO INTA A74"/>
    <s v="xmaltez"/>
    <s v="GLTRX00976553"/>
    <n v="4991293"/>
    <n v="1"/>
    <n v="90"/>
    <s v=""/>
  </r>
  <r>
    <n v="3106107"/>
    <x v="2"/>
    <s v="06-10-008-003"/>
    <x v="1"/>
    <n v="0"/>
    <n v="21442.11"/>
    <n v="-21442.11"/>
    <n v="10000"/>
    <n v="100"/>
    <s v="AMPM74"/>
    <x v="67"/>
    <s v="SUMINISTRO INTA A74"/>
    <s v="SUMINISTRO INTA A74"/>
    <s v="xmaltez"/>
    <s v="GLTRX00976553"/>
    <n v="4991292"/>
    <n v="1"/>
    <n v="90"/>
    <s v=""/>
  </r>
  <r>
    <n v="3096052"/>
    <x v="2"/>
    <s v="06-10-008-003"/>
    <x v="1"/>
    <n v="4520"/>
    <n v="0"/>
    <n v="4520"/>
    <n v="10000"/>
    <n v="100"/>
    <s v="AMPM74"/>
    <x v="67"/>
    <s v="AJUSTE PUERTA A74"/>
    <s v="Compras"/>
    <s v="xmaltez"/>
    <s v="PMTRX00085883"/>
    <n v="4977638"/>
    <n v="1"/>
    <n v="90"/>
    <s v=""/>
  </r>
  <r>
    <n v="3083726"/>
    <x v="13"/>
    <s v="06-10-008-003"/>
    <x v="1"/>
    <n v="21442.11"/>
    <n v="0"/>
    <n v="21442.11"/>
    <n v="10000"/>
    <n v="100"/>
    <s v="AMPM74"/>
    <x v="67"/>
    <s v="Entrada: Transacción Externa."/>
    <s v="Suministro e instala-A74"/>
    <s v="jgonzalez"/>
    <s v="GLTRX00969851"/>
    <n v="4971287"/>
    <n v="1"/>
    <n v="90"/>
    <s v=""/>
  </r>
  <r>
    <n v="3083726"/>
    <x v="13"/>
    <s v="06-10-008-003"/>
    <x v="1"/>
    <n v="22338.2"/>
    <n v="0"/>
    <n v="22338.2"/>
    <n v="10000"/>
    <n v="100"/>
    <s v="AMPM74"/>
    <x v="67"/>
    <s v="Entrada: Transacción Externa."/>
    <s v="Suministro e instala-A74"/>
    <s v="jgonzalez"/>
    <s v="GLTRX00969851"/>
    <n v="4971287"/>
    <n v="1"/>
    <n v="90"/>
    <s v=""/>
  </r>
  <r>
    <n v="3083726"/>
    <x v="13"/>
    <s v="06-10-008-003"/>
    <x v="1"/>
    <n v="3400"/>
    <n v="0"/>
    <n v="3400"/>
    <n v="10000"/>
    <n v="100"/>
    <s v="AMPM75"/>
    <x v="68"/>
    <s v="Entrada: Transacción Externa."/>
    <s v="FILTRACION DE AGUA/R-A75"/>
    <s v="jgonzalez"/>
    <s v="GLTRX00969851"/>
    <n v="4971287"/>
    <n v="1"/>
    <n v="91"/>
    <s v=""/>
  </r>
  <r>
    <n v="3083688"/>
    <x v="3"/>
    <s v="06-10-008-003"/>
    <x v="1"/>
    <n v="2500"/>
    <n v="0"/>
    <n v="2500"/>
    <n v="10000"/>
    <n v="100"/>
    <s v="AMPM75"/>
    <x v="68"/>
    <s v="PG MDO FREDDY ESPINOZA"/>
    <s v="CAMB LAMP LED A75"/>
    <s v="jgonzalez"/>
    <s v="GLTRX00969845"/>
    <n v="4971251"/>
    <n v="1"/>
    <n v="91"/>
    <s v=""/>
  </r>
  <r>
    <n v="3088399"/>
    <x v="18"/>
    <s v="06-10-008-003"/>
    <x v="1"/>
    <n v="297"/>
    <n v="0"/>
    <n v="297"/>
    <n v="10000"/>
    <n v="100"/>
    <s v="AMPM76"/>
    <x v="69"/>
    <s v="CARGOTRANS"/>
    <s v="Envío de salseras A76"/>
    <s v="jlopez"/>
    <s v="GLTRX00970892"/>
    <n v="4975465"/>
    <n v="1"/>
    <n v="93"/>
    <s v=""/>
  </r>
  <r>
    <n v="3110691"/>
    <x v="2"/>
    <s v="06-10-008-003"/>
    <x v="1"/>
    <n v="500"/>
    <n v="0"/>
    <n v="500"/>
    <n v="10000"/>
    <n v="100"/>
    <s v="AMPM77"/>
    <x v="70"/>
    <s v="Entrada: Transacción Externa."/>
    <s v="Reparacion Fuga Agua medidor"/>
    <s v="mvasquez"/>
    <s v="GLTRX00977432"/>
    <n v="4992791"/>
    <n v="1"/>
    <n v="92"/>
    <s v=""/>
  </r>
  <r>
    <n v="3106113"/>
    <x v="13"/>
    <s v="06-10-008-003"/>
    <x v="1"/>
    <n v="0"/>
    <n v="32496.22"/>
    <n v="-32496.22"/>
    <n v="10000"/>
    <n v="100"/>
    <s v="AMPM77"/>
    <x v="70"/>
    <s v="ELABORACION DE PARED A77 SMART"/>
    <s v="ELABORACION DE PARED A77 SMART"/>
    <s v="xmaltez"/>
    <s v="GLTRX00976553"/>
    <n v="4991294"/>
    <n v="1"/>
    <n v="92"/>
    <s v=""/>
  </r>
  <r>
    <n v="3083726"/>
    <x v="13"/>
    <s v="06-10-008-003"/>
    <x v="1"/>
    <n v="32496.22"/>
    <n v="0"/>
    <n v="32496.22"/>
    <n v="10000"/>
    <n v="100"/>
    <s v="AMPM77"/>
    <x v="70"/>
    <s v="Entrada: Transacción Externa."/>
    <s v="Elaboración de pared-A77"/>
    <s v="jgonzalez"/>
    <s v="GLTRX00969851"/>
    <n v="4971287"/>
    <n v="1"/>
    <n v="92"/>
    <s v=""/>
  </r>
  <r>
    <n v="3043237"/>
    <x v="18"/>
    <s v="06-10-008-003"/>
    <x v="1"/>
    <n v="5775"/>
    <n v="0"/>
    <n v="5775"/>
    <n v="10000"/>
    <n v="100"/>
    <s v="AMPM77"/>
    <x v="70"/>
    <s v="REPARACION PUERTA A77"/>
    <s v="REPARACION PUERTA+FUGA DE AGUA"/>
    <s v="xmaltez"/>
    <s v="PMTRX00084831"/>
    <n v="4938473"/>
    <n v="1"/>
    <n v="92"/>
    <s v=""/>
  </r>
  <r>
    <n v="3040800"/>
    <x v="4"/>
    <s v="06-10-008-003"/>
    <x v="1"/>
    <n v="1467"/>
    <n v="0"/>
    <n v="1467"/>
    <n v="10000"/>
    <n v="100"/>
    <s v="AMPM77"/>
    <x v="70"/>
    <s v="DISTNICA/MT TIENDAS+DIONIS"/>
    <s v="DISPEN JABON+PAP A77"/>
    <s v="xmaltez"/>
    <s v="GLTRX00955853"/>
    <n v="4937226"/>
    <n v="1"/>
    <n v="92"/>
    <s v=""/>
  </r>
  <r>
    <n v="3040736"/>
    <x v="4"/>
    <s v="06-10-008-003"/>
    <x v="1"/>
    <n v="2450.4299999999998"/>
    <n v="0"/>
    <n v="2450.4299999999998"/>
    <n v="10000"/>
    <n v="100"/>
    <s v="AMPM77"/>
    <x v="70"/>
    <s v="SINSA/MT TIENDAS-DIONIS"/>
    <s v="ESCALERA TIJERA A77"/>
    <s v="xmaltez"/>
    <s v="GLTRX00955853"/>
    <n v="4936012"/>
    <n v="1"/>
    <n v="92"/>
    <s v=""/>
  </r>
  <r>
    <n v="3096060"/>
    <x v="2"/>
    <s v="06-10-008-003"/>
    <x v="1"/>
    <n v="1920"/>
    <n v="0"/>
    <n v="1920"/>
    <n v="10000"/>
    <n v="100"/>
    <s v="AMPM78"/>
    <x v="71"/>
    <s v="AJUSTE PUERTA A78"/>
    <s v="Compras"/>
    <s v="xmaltez"/>
    <s v="PMTRX00085883"/>
    <n v="4977646"/>
    <n v="1"/>
    <n v="94"/>
    <s v=""/>
  </r>
  <r>
    <n v="3041742"/>
    <x v="3"/>
    <s v="06-10-008-003"/>
    <x v="1"/>
    <n v="1285.94"/>
    <n v="0"/>
    <n v="1285.94"/>
    <n v="10000"/>
    <n v="100"/>
    <s v="AMPM78"/>
    <x v="71"/>
    <s v="SINSA/MT A78- DIONIS"/>
    <s v="CERADURA+DISPENSADOR JABON A78"/>
    <s v="xmaltez"/>
    <s v="GLTRX00956709"/>
    <n v="4937615"/>
    <n v="1"/>
    <n v="94"/>
    <s v=""/>
  </r>
  <r>
    <n v="3040800"/>
    <x v="4"/>
    <s v="06-10-008-003"/>
    <x v="1"/>
    <n v="2934"/>
    <n v="0"/>
    <n v="2934"/>
    <n v="10000"/>
    <n v="100"/>
    <s v="AMPM78"/>
    <x v="71"/>
    <s v="DISTNICA/MT TIENDAS+DIONIS"/>
    <s v="DISPE JABON+PAPEL A78"/>
    <s v="xmaltez"/>
    <s v="GLTRX00955853"/>
    <n v="4937226"/>
    <n v="1"/>
    <n v="94"/>
    <s v=""/>
  </r>
  <r>
    <n v="3040736"/>
    <x v="4"/>
    <s v="06-10-008-003"/>
    <x v="1"/>
    <n v="969.24"/>
    <n v="0"/>
    <n v="969.24"/>
    <n v="10000"/>
    <n v="100"/>
    <s v="AMPM78"/>
    <x v="71"/>
    <s v="SINSA/MT TIENDAS-DIONIS"/>
    <s v="CIERRA PUERTA A78"/>
    <s v="xmaltez"/>
    <s v="GLTRX00955853"/>
    <n v="4936012"/>
    <n v="1"/>
    <n v="94"/>
    <s v=""/>
  </r>
  <r>
    <n v="3096070"/>
    <x v="12"/>
    <s v="06-10-008-003"/>
    <x v="1"/>
    <n v="2200"/>
    <n v="0"/>
    <n v="2200"/>
    <n v="10000"/>
    <n v="100"/>
    <s v="AMPM79"/>
    <x v="4"/>
    <s v="AJUSTE HERRAJE PUERTA A79"/>
    <s v="AJUSTE HERRAJE PUERTA A79"/>
    <s v="xmaltez"/>
    <s v="PMTRX00085884"/>
    <n v="4977660"/>
    <n v="1"/>
    <n v="95"/>
    <s v=""/>
  </r>
  <r>
    <n v="3043240"/>
    <x v="20"/>
    <s v="06-10-008-003"/>
    <x v="1"/>
    <n v="21995"/>
    <n v="0"/>
    <n v="21995"/>
    <n v="10000"/>
    <n v="100"/>
    <s v="AMPM80"/>
    <x v="72"/>
    <s v="MT EN TIENDA A80"/>
    <s v="CAMIO VIDRIO PUERTA A80"/>
    <s v="xmaltez"/>
    <s v="PMTRX00084831"/>
    <n v="4938476"/>
    <n v="1"/>
    <n v="98"/>
    <s v=""/>
  </r>
  <r>
    <n v="3081564"/>
    <x v="17"/>
    <s v="06-10-008-003"/>
    <x v="1"/>
    <n v="434.32"/>
    <n v="0"/>
    <n v="434.32"/>
    <n v="10000"/>
    <n v="100"/>
    <s v="AMPM82"/>
    <x v="73"/>
    <s v="SINSA LEON /AMPM82"/>
    <s v="LUMINARIA LED A82"/>
    <s v="xmaltez"/>
    <s v="GLTRX00968931"/>
    <n v="4969835"/>
    <n v="1"/>
    <n v="96"/>
    <s v=""/>
  </r>
  <r>
    <n v="3105896"/>
    <x v="14"/>
    <s v="06-10-008-003"/>
    <x v="1"/>
    <n v="495"/>
    <n v="0"/>
    <n v="495"/>
    <n v="10000"/>
    <n v="100"/>
    <s v="AMPM83"/>
    <x v="74"/>
    <s v="FERRETERIA EL REY"/>
    <s v="BROCHA DE 2 AMPM83"/>
    <s v="xmaltez"/>
    <s v="GLTRX00976510"/>
    <n v="4991196"/>
    <n v="1"/>
    <n v="97"/>
    <s v=""/>
  </r>
  <r>
    <n v="3105894"/>
    <x v="14"/>
    <s v="06-10-008-003"/>
    <x v="1"/>
    <n v="0"/>
    <n v="495"/>
    <n v="-495"/>
    <n v="10000"/>
    <n v="100"/>
    <s v="AMPM83"/>
    <x v="74"/>
    <s v="FERRETERIA EL REY"/>
    <s v="BROCHA DE 2 AMPM83"/>
    <s v="xmaltez"/>
    <s v="GLTRX00976510"/>
    <n v="4991195"/>
    <n v="1"/>
    <n v="97"/>
    <s v=""/>
  </r>
  <r>
    <n v="3081639"/>
    <x v="14"/>
    <s v="06-10-008-003"/>
    <x v="1"/>
    <n v="495"/>
    <n v="0"/>
    <n v="495"/>
    <n v="10000"/>
    <n v="100"/>
    <s v="AMPM83"/>
    <x v="74"/>
    <s v="FERRETERIA EL REY/A83"/>
    <s v="BROCHA DE 2 AMPM83"/>
    <s v="xmaltez"/>
    <s v="GLTRX00968931"/>
    <n v="4969879"/>
    <n v="1"/>
    <n v="97"/>
    <s v=""/>
  </r>
  <r>
    <n v="3110685"/>
    <x v="2"/>
    <s v="06-10-008-003"/>
    <x v="1"/>
    <n v="160"/>
    <n v="0"/>
    <n v="160"/>
    <n v="10000"/>
    <n v="100"/>
    <s v="AMPM84"/>
    <x v="75"/>
    <s v="Entrada: Transacción Externa."/>
    <s v="Compra de materiales ferretero"/>
    <s v="mvasquez"/>
    <s v="GLTRX00977426"/>
    <n v="4992785"/>
    <n v="1"/>
    <n v="100"/>
    <s v=""/>
  </r>
  <r>
    <n v="3096077"/>
    <x v="12"/>
    <s v="06-10-008-003"/>
    <x v="1"/>
    <n v="3500"/>
    <n v="0"/>
    <n v="3500"/>
    <n v="10000"/>
    <n v="100"/>
    <s v="AMPM84"/>
    <x v="75"/>
    <s v="MT CAJA FUERTE LLAVE A84"/>
    <s v="MT CAJA FUERTE LLAVE A84"/>
    <s v="xmaltez"/>
    <s v="PMTRX00085886"/>
    <n v="4977664"/>
    <n v="1"/>
    <n v="100"/>
    <s v=""/>
  </r>
  <r>
    <n v="3088390"/>
    <x v="11"/>
    <s v="06-10-008-003"/>
    <x v="1"/>
    <n v="1554"/>
    <n v="0"/>
    <n v="1554"/>
    <n v="10000"/>
    <n v="100"/>
    <s v="AMPM84"/>
    <x v="75"/>
    <s v="LED SOLUTIONS"/>
    <s v="Transformador Generico A84"/>
    <s v="jlopez"/>
    <s v="GLTRX00970892"/>
    <n v="4975456"/>
    <n v="1"/>
    <n v="100"/>
    <s v=""/>
  </r>
  <r>
    <n v="3083726"/>
    <x v="13"/>
    <s v="06-10-008-003"/>
    <x v="1"/>
    <n v="5700"/>
    <n v="0"/>
    <n v="5700"/>
    <n v="10000"/>
    <n v="100"/>
    <s v="AMPM84"/>
    <x v="75"/>
    <s v="Entrada: Transacción Externa."/>
    <s v="CAMBIO DE LAMPARA RE-A84"/>
    <s v="jgonzalez"/>
    <s v="GLTRX00969851"/>
    <n v="4971287"/>
    <n v="1"/>
    <n v="100"/>
    <s v=""/>
  </r>
  <r>
    <n v="3083726"/>
    <x v="13"/>
    <s v="06-10-008-003"/>
    <x v="1"/>
    <n v="18676.2"/>
    <n v="0"/>
    <n v="18676.2"/>
    <n v="10000"/>
    <n v="100"/>
    <s v="AMPM84"/>
    <x v="75"/>
    <s v="Entrada: Transacción Externa."/>
    <s v="Suministro e instala-A84"/>
    <s v="jgonzalez"/>
    <s v="GLTRX00969851"/>
    <n v="4971287"/>
    <n v="1"/>
    <n v="100"/>
    <s v=""/>
  </r>
  <r>
    <n v="3110694"/>
    <x v="2"/>
    <s v="06-10-008-003"/>
    <x v="1"/>
    <n v="60"/>
    <n v="0"/>
    <n v="60"/>
    <n v="10000"/>
    <n v="100"/>
    <s v="AMPM87"/>
    <x v="76"/>
    <s v="Entrada: Transacción Externa."/>
    <s v="ESPATULA"/>
    <s v="mvasquez"/>
    <s v="GLTRX00977434"/>
    <n v="4992794"/>
    <n v="1"/>
    <n v="103"/>
    <s v=""/>
  </r>
  <r>
    <n v="3081699"/>
    <x v="14"/>
    <s v="06-10-008-003"/>
    <x v="1"/>
    <n v="1748.25"/>
    <n v="0"/>
    <n v="1748.25"/>
    <n v="10000"/>
    <n v="100"/>
    <s v="AMPM88"/>
    <x v="77"/>
    <s v="LEDSOLUTIONS/ A88"/>
    <s v="TRANSFORMADOR DE INTERIOR A88"/>
    <s v="xmaltez"/>
    <s v="GLTRX00968973"/>
    <n v="4969937"/>
    <n v="1"/>
    <n v="102"/>
    <s v=""/>
  </r>
  <r>
    <n v="3105886"/>
    <x v="21"/>
    <s v="06-10-008-003"/>
    <x v="1"/>
    <n v="0"/>
    <n v="137"/>
    <n v="-137"/>
    <n v="10000"/>
    <n v="100"/>
    <s v="AMPM89"/>
    <x v="78"/>
    <s v="Revertir entrada de diario 308"/>
    <s v="CARGO TRANS/A89"/>
    <s v="xmaltez"/>
    <s v="GLTRX00976510"/>
    <n v="4991191"/>
    <n v="1"/>
    <n v="105"/>
    <s v=""/>
  </r>
  <r>
    <n v="3088391"/>
    <x v="17"/>
    <s v="06-10-008-003"/>
    <x v="1"/>
    <n v="3302.25"/>
    <n v="0"/>
    <n v="3302.25"/>
    <n v="10000"/>
    <n v="100"/>
    <s v="AMPM89"/>
    <x v="78"/>
    <s v="LED SOLUTIONS"/>
    <s v="Transformadores Genericos A89"/>
    <s v="jlopez"/>
    <s v="GLTRX00970892"/>
    <n v="4975457"/>
    <n v="1"/>
    <n v="105"/>
    <s v=""/>
  </r>
  <r>
    <n v="3083726"/>
    <x v="13"/>
    <s v="06-10-008-003"/>
    <x v="1"/>
    <n v="5600"/>
    <n v="0"/>
    <n v="5600"/>
    <n v="10000"/>
    <n v="100"/>
    <s v="AMPM89"/>
    <x v="78"/>
    <s v="Entrada: Transacción Externa."/>
    <s v="SONDEO DE BAÑOS,DESI-A89"/>
    <s v="jgonzalez"/>
    <s v="GLTRX00969851"/>
    <n v="4971287"/>
    <n v="1"/>
    <n v="105"/>
    <s v=""/>
  </r>
  <r>
    <n v="3081641"/>
    <x v="21"/>
    <s v="06-10-008-003"/>
    <x v="1"/>
    <n v="137"/>
    <n v="0"/>
    <n v="137"/>
    <n v="10000"/>
    <n v="100"/>
    <s v="AMPM89"/>
    <x v="78"/>
    <s v="CARGO TRANS/A89 -27"/>
    <s v="CARGO TRANS/A89"/>
    <s v="xmaltez"/>
    <s v="GLTRX00968931"/>
    <n v="4969883"/>
    <n v="1"/>
    <n v="105"/>
    <s v=""/>
  </r>
  <r>
    <n v="3097666"/>
    <x v="6"/>
    <s v="06-10-008-004"/>
    <x v="2"/>
    <n v="34130.32"/>
    <n v="0"/>
    <n v="34130.32"/>
    <n v="10000"/>
    <n v="100"/>
    <s v="ADMON"/>
    <x v="5"/>
    <s v="MANT  HIDROSANITARIO ADMON"/>
    <s v="MANTENIMIENTO HIDROSANITARIO"/>
    <s v="xmaltez"/>
    <s v="PMTRX00085891"/>
    <n v="4977769"/>
    <n v="1"/>
    <n v="27"/>
    <s v=""/>
  </r>
  <r>
    <n v="3063609"/>
    <x v="17"/>
    <s v="06-10-008-004"/>
    <x v="2"/>
    <n v="41334.11"/>
    <n v="0"/>
    <n v="41334.11"/>
    <n v="10000"/>
    <n v="100"/>
    <s v="PANADE"/>
    <x v="9"/>
    <s v="MT EQUIPOS EN PANADERIA"/>
    <s v="MT HORNO+PLANCHA+BATIDORA"/>
    <s v="xmaltez"/>
    <s v="PMTRX00085265"/>
    <n v="4955133"/>
    <n v="1"/>
    <n v="32"/>
    <s v=""/>
  </r>
  <r>
    <n v="3081697"/>
    <x v="23"/>
    <s v="06-10-008-004"/>
    <x v="2"/>
    <n v="0"/>
    <n v="2500"/>
    <n v="-2500"/>
    <n v="10000"/>
    <n v="100"/>
    <s v="AMPM06"/>
    <x v="14"/>
    <s v="MOVIMIENTO CF+AA AMPM06"/>
    <s v="TUBO CUADRADO, SOLDADURA"/>
    <s v="jlopez"/>
    <s v="GLTRX00968972"/>
    <n v="4969932"/>
    <n v="1"/>
    <n v="6"/>
    <s v=""/>
  </r>
  <r>
    <n v="3081697"/>
    <x v="23"/>
    <s v="06-10-008-004"/>
    <x v="2"/>
    <n v="0"/>
    <n v="4500"/>
    <n v="-4500"/>
    <n v="10000"/>
    <n v="100"/>
    <s v="AMPM06"/>
    <x v="14"/>
    <s v="MOVIMIENTO CF+AA AMPM06"/>
    <s v="SUMINISTRO CABLE"/>
    <s v="jlopez"/>
    <s v="GLTRX00968972"/>
    <n v="4969932"/>
    <n v="1"/>
    <n v="6"/>
    <s v=""/>
  </r>
  <r>
    <n v="3081697"/>
    <x v="23"/>
    <s v="06-10-008-004"/>
    <x v="2"/>
    <n v="0"/>
    <n v="2500"/>
    <n v="-2500"/>
    <n v="10000"/>
    <n v="100"/>
    <s v="AMPM06"/>
    <x v="14"/>
    <s v="MOVIMIENTO CF+AA AMPM06"/>
    <s v="INSUMOS VARIOS"/>
    <s v="jlopez"/>
    <s v="GLTRX00968972"/>
    <n v="4969932"/>
    <n v="1"/>
    <n v="6"/>
    <s v=""/>
  </r>
  <r>
    <n v="3081697"/>
    <x v="23"/>
    <s v="06-10-008-004"/>
    <x v="2"/>
    <n v="0"/>
    <n v="25000"/>
    <n v="-25000"/>
    <n v="10000"/>
    <n v="100"/>
    <s v="AMPM06"/>
    <x v="14"/>
    <s v="MOVIMIENTO CF+AA AMPM06"/>
    <s v="MAN OBRA+INST CF/AIRES"/>
    <s v="jlopez"/>
    <s v="GLTRX00968972"/>
    <n v="4969932"/>
    <n v="1"/>
    <n v="6"/>
    <s v=""/>
  </r>
  <r>
    <n v="3081697"/>
    <x v="23"/>
    <s v="06-10-008-004"/>
    <x v="2"/>
    <n v="0"/>
    <n v="14000"/>
    <n v="-14000"/>
    <n v="10000"/>
    <n v="100"/>
    <s v="AMPM06"/>
    <x v="14"/>
    <s v="MOVIMIENTO CF+AA AMPM06"/>
    <s v="TUBERIA Y ARMAFLEX"/>
    <s v="jlopez"/>
    <s v="GLTRX00968972"/>
    <n v="4969932"/>
    <n v="1"/>
    <n v="6"/>
    <s v=""/>
  </r>
  <r>
    <n v="3081697"/>
    <x v="23"/>
    <s v="06-10-008-004"/>
    <x v="2"/>
    <n v="0"/>
    <n v="14000"/>
    <n v="-14000"/>
    <n v="10000"/>
    <n v="100"/>
    <s v="AMPM06"/>
    <x v="14"/>
    <s v="MOVIMIENTO CF+AA AMPM06"/>
    <s v="SUMINI REFRIGERANTE CF A6"/>
    <s v="jlopez"/>
    <s v="GLTRX00968972"/>
    <n v="4969932"/>
    <n v="1"/>
    <n v="6"/>
    <s v=""/>
  </r>
  <r>
    <n v="3081697"/>
    <x v="23"/>
    <s v="06-10-008-004"/>
    <x v="2"/>
    <n v="0"/>
    <n v="14000"/>
    <n v="-14000"/>
    <n v="10000"/>
    <n v="100"/>
    <s v="AMPM06"/>
    <x v="14"/>
    <s v="MOVIMIENTO CF+AA AMPM06"/>
    <s v="REFRIGERANTE AA A06"/>
    <s v="jlopez"/>
    <s v="GLTRX00968972"/>
    <n v="4969932"/>
    <n v="1"/>
    <n v="6"/>
    <s v=""/>
  </r>
  <r>
    <n v="3021130"/>
    <x v="10"/>
    <s v="06-10-008-004"/>
    <x v="2"/>
    <n v="4500"/>
    <n v="0"/>
    <n v="4500"/>
    <n v="10000"/>
    <n v="100"/>
    <s v="AMPM06"/>
    <x v="14"/>
    <s v="MOVIMIENTO CF+AA AMPM06"/>
    <s v="SUMINISTRO CABLE"/>
    <s v="crivera"/>
    <s v="PMTRX00084374"/>
    <n v="4921306"/>
    <n v="1"/>
    <n v="6"/>
    <s v=""/>
  </r>
  <r>
    <n v="3021130"/>
    <x v="10"/>
    <s v="06-10-008-004"/>
    <x v="2"/>
    <n v="2500"/>
    <n v="0"/>
    <n v="2500"/>
    <n v="10000"/>
    <n v="100"/>
    <s v="AMPM06"/>
    <x v="14"/>
    <s v="MOVIMIENTO CF+AA AMPM06"/>
    <s v="TUBO CUADRADO, SOLDADURA"/>
    <s v="crivera"/>
    <s v="PMTRX00084374"/>
    <n v="4921306"/>
    <n v="1"/>
    <n v="6"/>
    <s v=""/>
  </r>
  <r>
    <n v="3021130"/>
    <x v="10"/>
    <s v="06-10-008-004"/>
    <x v="2"/>
    <n v="2500"/>
    <n v="0"/>
    <n v="2500"/>
    <n v="10000"/>
    <n v="100"/>
    <s v="AMPM06"/>
    <x v="14"/>
    <s v="MOVIMIENTO CF+AA AMPM06"/>
    <s v="INSUMOS VARIOS"/>
    <s v="crivera"/>
    <s v="PMTRX00084374"/>
    <n v="4921306"/>
    <n v="1"/>
    <n v="6"/>
    <s v=""/>
  </r>
  <r>
    <n v="3021130"/>
    <x v="10"/>
    <s v="06-10-008-004"/>
    <x v="2"/>
    <n v="14000"/>
    <n v="0"/>
    <n v="14000"/>
    <n v="10000"/>
    <n v="100"/>
    <s v="AMPM06"/>
    <x v="14"/>
    <s v="MOVIMIENTO CF+AA AMPM06"/>
    <s v="REFRIGERANTE AA A06"/>
    <s v="crivera"/>
    <s v="PMTRX00084374"/>
    <n v="4921306"/>
    <n v="1"/>
    <n v="6"/>
    <s v=""/>
  </r>
  <r>
    <n v="3021130"/>
    <x v="10"/>
    <s v="06-10-008-004"/>
    <x v="2"/>
    <n v="14000"/>
    <n v="0"/>
    <n v="14000"/>
    <n v="10000"/>
    <n v="100"/>
    <s v="AMPM06"/>
    <x v="14"/>
    <s v="MOVIMIENTO CF+AA AMPM06"/>
    <s v="TUBERIA Y ARMAFLEX"/>
    <s v="crivera"/>
    <s v="PMTRX00084374"/>
    <n v="4921306"/>
    <n v="1"/>
    <n v="6"/>
    <s v=""/>
  </r>
  <r>
    <n v="3021130"/>
    <x v="10"/>
    <s v="06-10-008-004"/>
    <x v="2"/>
    <n v="25000"/>
    <n v="0"/>
    <n v="25000"/>
    <n v="10000"/>
    <n v="100"/>
    <s v="AMPM06"/>
    <x v="14"/>
    <s v="MOVIMIENTO CF+AA AMPM06"/>
    <s v="MAN OBRA+INST CF/AIRES"/>
    <s v="crivera"/>
    <s v="PMTRX00084374"/>
    <n v="4921306"/>
    <n v="1"/>
    <n v="6"/>
    <s v=""/>
  </r>
  <r>
    <n v="3021130"/>
    <x v="10"/>
    <s v="06-10-008-004"/>
    <x v="2"/>
    <n v="14000"/>
    <n v="0"/>
    <n v="14000"/>
    <n v="10000"/>
    <n v="100"/>
    <s v="AMPM06"/>
    <x v="14"/>
    <s v="MOVIMIENTO CF+AA AMPM06"/>
    <s v="SUMINI REFRIGERANTE CF A6"/>
    <s v="crivera"/>
    <s v="PMTRX00084374"/>
    <n v="4921306"/>
    <n v="1"/>
    <n v="6"/>
    <s v=""/>
  </r>
  <r>
    <n v="3054360"/>
    <x v="9"/>
    <s v="06-10-008-004"/>
    <x v="2"/>
    <n v="1800"/>
    <n v="0"/>
    <n v="1800"/>
    <n v="10000"/>
    <n v="100"/>
    <s v="AMPM29"/>
    <x v="29"/>
    <s v="MT EQUIPO EN TIENDA A29"/>
    <s v="EVAPORADOR DIFUSOR A29"/>
    <s v="xmaltez"/>
    <s v="PMTRX00085248"/>
    <n v="4946957"/>
    <n v="1"/>
    <n v="36"/>
    <s v=""/>
  </r>
  <r>
    <n v="3054265"/>
    <x v="9"/>
    <s v="06-10-008-004"/>
    <x v="2"/>
    <n v="8000"/>
    <n v="0"/>
    <n v="8000"/>
    <n v="10000"/>
    <n v="100"/>
    <s v="AMPM46"/>
    <x v="44"/>
    <s v="MT EQUIPO EN TIENDA A46"/>
    <s v="PROTECTOR VOLTAJE+KIT ARRANQ"/>
    <s v="xmaltez"/>
    <s v="PMTRX00085236"/>
    <n v="4946902"/>
    <n v="1"/>
    <n v="60"/>
    <s v=""/>
  </r>
  <r>
    <n v="3054358"/>
    <x v="9"/>
    <s v="06-10-008-004"/>
    <x v="2"/>
    <n v="8420"/>
    <n v="0"/>
    <n v="8420"/>
    <n v="10000"/>
    <n v="100"/>
    <s v="AMPM51"/>
    <x v="48"/>
    <s v="MT EQUIPO EN TIENDA A51"/>
    <s v="MOTOR FAN+MANO OBRA"/>
    <s v="xmaltez"/>
    <s v="PMTRX00085248"/>
    <n v="4946956"/>
    <n v="1"/>
    <n v="65"/>
    <s v=""/>
  </r>
  <r>
    <n v="3054287"/>
    <x v="9"/>
    <s v="06-10-008-004"/>
    <x v="2"/>
    <n v="8860"/>
    <n v="0"/>
    <n v="8860"/>
    <n v="10000"/>
    <n v="100"/>
    <s v="AMPM59"/>
    <x v="79"/>
    <s v="MT MOTOR FAN A59"/>
    <s v="MOTOR FAN A59"/>
    <s v="xmaltez"/>
    <s v="PMTRX00085236"/>
    <n v="4946912"/>
    <n v="1"/>
    <n v="75"/>
    <s v=""/>
  </r>
  <r>
    <n v="3054298"/>
    <x v="9"/>
    <s v="06-10-008-004"/>
    <x v="2"/>
    <n v="46000"/>
    <n v="0"/>
    <n v="46000"/>
    <n v="10000"/>
    <n v="100"/>
    <s v="AMPM65"/>
    <x v="58"/>
    <s v="MT EQUIPO EN TIENDA A65"/>
    <s v="TUBERIA+REFRIGERANTE+INSUMOS"/>
    <s v="xmaltez"/>
    <s v="PMTRX00085236"/>
    <n v="4946914"/>
    <n v="1"/>
    <n v="81"/>
    <s v=""/>
  </r>
  <r>
    <n v="3053126"/>
    <x v="10"/>
    <s v="06-10-008-004"/>
    <x v="2"/>
    <n v="6100"/>
    <n v="0"/>
    <n v="6100"/>
    <n v="10000"/>
    <n v="100"/>
    <s v="AMPM75"/>
    <x v="68"/>
    <s v="MT EQUIPO EN  TIENDA A75"/>
    <s v="PROTECTOR VOLTAJE+MANO OBRA"/>
    <s v="xmaltez"/>
    <s v="PMTRX00085101"/>
    <n v="4945107"/>
    <n v="1"/>
    <n v="91"/>
    <s v=""/>
  </r>
  <r>
    <n v="3068044"/>
    <x v="10"/>
    <s v="06-10-008-001"/>
    <x v="3"/>
    <n v="0"/>
    <n v="3700"/>
    <n v="-3700"/>
    <n v="10000"/>
    <n v="100"/>
    <s v="ADMON"/>
    <x v="5"/>
    <s v="MANT PREVENTIVO IMPRESORA-ADM"/>
    <s v="MANT PREVENTIVO IMPRESORA-ADM"/>
    <s v="jlopez"/>
    <s v="GLTRX00965212"/>
    <n v="4958908"/>
    <n v="1"/>
    <n v="27"/>
    <s v=""/>
  </r>
  <r>
    <n v="3054422"/>
    <x v="9"/>
    <s v="06-10-008-001"/>
    <x v="3"/>
    <n v="1920"/>
    <n v="0"/>
    <n v="1920"/>
    <n v="10000"/>
    <n v="100"/>
    <s v="ADMON"/>
    <x v="5"/>
    <s v="MT OFICINA/ LIMPIEZA DRENAJE"/>
    <s v="LIMPIEZA DRENAJE/MOTOR"/>
    <s v="xmaltez"/>
    <s v="PMTRX00085253"/>
    <n v="4947020"/>
    <n v="1"/>
    <n v="27"/>
    <s v=""/>
  </r>
  <r>
    <n v="3053123"/>
    <x v="10"/>
    <s v="06-10-008-001"/>
    <x v="3"/>
    <n v="2500"/>
    <n v="0"/>
    <n v="2500"/>
    <n v="10000"/>
    <n v="100"/>
    <s v="ADMON"/>
    <x v="5"/>
    <s v="ANTENIMIENTO OFICINA"/>
    <s v="INST MANGUERA DE CONDENSADO"/>
    <s v="xmaltez"/>
    <s v="PMTRX00085101"/>
    <n v="4945106"/>
    <n v="1"/>
    <n v="27"/>
    <s v=""/>
  </r>
  <r>
    <n v="3043210"/>
    <x v="18"/>
    <s v="06-10-008-001"/>
    <x v="3"/>
    <n v="1486.95"/>
    <n v="0"/>
    <n v="1486.95"/>
    <n v="10000"/>
    <n v="100"/>
    <s v="ADMON"/>
    <x v="5"/>
    <s v="MT EQUIPO A/A  ARCHIVO"/>
    <s v="MT AA MINI SPLIT ARCHIVO"/>
    <s v="xmaltez"/>
    <s v="PMTRX00084828"/>
    <n v="4937758"/>
    <n v="1"/>
    <n v="27"/>
    <s v=""/>
  </r>
  <r>
    <n v="3009121"/>
    <x v="10"/>
    <s v="06-10-008-001"/>
    <x v="3"/>
    <n v="3700"/>
    <n v="0"/>
    <n v="3700"/>
    <n v="10000"/>
    <n v="100"/>
    <s v="ADMON"/>
    <x v="5"/>
    <s v="MANT PREVENTIVO IMPRESORA-ADM"/>
    <s v="MANT PREVENTIVO IMPRESORA-ADM"/>
    <s v="jlopez"/>
    <s v="PMTRX00084221"/>
    <n v="4411001"/>
    <n v="1"/>
    <n v="27"/>
    <s v=""/>
  </r>
  <r>
    <n v="3053096"/>
    <x v="10"/>
    <s v="06-10-008-001"/>
    <x v="3"/>
    <n v="95000"/>
    <n v="0"/>
    <n v="95000"/>
    <n v="10000"/>
    <n v="100"/>
    <s v="AMPM99"/>
    <x v="6"/>
    <s v="MT EN TIENDA CELOXA"/>
    <s v="SUMIN PERLINES+ANGULARES"/>
    <s v="xmaltez"/>
    <s v="PMTRX00085101"/>
    <n v="4945097"/>
    <n v="1"/>
    <n v="33"/>
    <s v=""/>
  </r>
  <r>
    <n v="3068045"/>
    <x v="10"/>
    <s v="06-10-008-001"/>
    <x v="3"/>
    <n v="0"/>
    <n v="3330"/>
    <n v="-3330"/>
    <n v="10000"/>
    <n v="100"/>
    <s v="OPERACIONES"/>
    <x v="8"/>
    <s v="MANT PREVENTIVO IMPRESORA-SIST"/>
    <s v="MANT PREVENTIVO IMPRESORA-SIST"/>
    <s v="jlopez"/>
    <s v="GLTRX00965212"/>
    <n v="4958909"/>
    <n v="1"/>
    <n v="31"/>
    <s v=""/>
  </r>
  <r>
    <n v="3063600"/>
    <x v="10"/>
    <s v="06-10-008-001"/>
    <x v="3"/>
    <n v="5850"/>
    <n v="0"/>
    <n v="5850"/>
    <n v="10000"/>
    <n v="100"/>
    <s v="OPERACIONES"/>
    <x v="8"/>
    <s v="DISPENSADOR DE 3 SALSERA A89"/>
    <s v="DISPENSADOR DE 3 SALSERA A89"/>
    <s v="xmaltez"/>
    <s v="PMTRX00085264"/>
    <n v="4955116"/>
    <n v="1"/>
    <n v="31"/>
    <s v=""/>
  </r>
  <r>
    <n v="3009123"/>
    <x v="10"/>
    <s v="06-10-008-001"/>
    <x v="3"/>
    <n v="3330"/>
    <n v="0"/>
    <n v="3330"/>
    <n v="10000"/>
    <n v="100"/>
    <s v="OPERACIONES"/>
    <x v="8"/>
    <s v="MANT PREVENTIVO IMPRESORA-SIST"/>
    <s v="MANT PREVENTIVO IMPRESORA-SIST"/>
    <s v="jlopez"/>
    <s v="PMTRX00084221"/>
    <n v="4411002"/>
    <n v="1"/>
    <n v="31"/>
    <s v=""/>
  </r>
  <r>
    <n v="3043233"/>
    <x v="18"/>
    <s v="06-10-008-001"/>
    <x v="3"/>
    <n v="4460.8500000000004"/>
    <n v="0"/>
    <n v="4460.8500000000004"/>
    <n v="10000"/>
    <n v="100"/>
    <s v="PANADE"/>
    <x v="9"/>
    <s v="MT EQUIPO EN FRIO /PANADERIA"/>
    <s v="MT AIRE ACONDICIONADO PANADE"/>
    <s v="xmaltez"/>
    <s v="PMTRX00084828"/>
    <n v="4937762"/>
    <n v="1"/>
    <n v="32"/>
    <s v=""/>
  </r>
  <r>
    <n v="3043228"/>
    <x v="18"/>
    <s v="06-10-008-001"/>
    <x v="3"/>
    <n v="6592.38"/>
    <n v="0"/>
    <n v="6592.38"/>
    <n v="10000"/>
    <n v="100"/>
    <s v="PANADE"/>
    <x v="9"/>
    <s v="MT EQUIPO EN FRIO PANADERIA"/>
    <s v="MT MESA FRIA+MANTENEDORA+FREEZ"/>
    <s v="xmaltez"/>
    <s v="PMTRX00084828"/>
    <n v="4937761"/>
    <n v="1"/>
    <n v="32"/>
    <s v=""/>
  </r>
  <r>
    <n v="3043202"/>
    <x v="19"/>
    <s v="06-10-008-001"/>
    <x v="3"/>
    <n v="3740"/>
    <n v="0"/>
    <n v="3740"/>
    <n v="10000"/>
    <n v="100"/>
    <s v="PANADE"/>
    <x v="9"/>
    <s v="MT EQUIPO PANADERIA"/>
    <s v="SERV CALIBRACION MESA/PANADE"/>
    <s v="xmaltez"/>
    <s v="PMTRX00084828"/>
    <n v="4937752"/>
    <n v="1"/>
    <n v="32"/>
    <s v=""/>
  </r>
  <r>
    <n v="3094550"/>
    <x v="7"/>
    <s v="06-10-008-001"/>
    <x v="3"/>
    <n v="1665"/>
    <n v="0"/>
    <n v="1665"/>
    <n v="10000"/>
    <n v="100"/>
    <s v="AMPM02"/>
    <x v="10"/>
    <s v="INSPECCION DE EQUIPOS A02"/>
    <s v="CF+MH+CAMBIO COMPRESOR A2"/>
    <s v="xmaltez"/>
    <s v="PMTRX00085881"/>
    <n v="4977626"/>
    <n v="1"/>
    <n v="2"/>
    <s v=""/>
  </r>
  <r>
    <n v="3062380"/>
    <x v="14"/>
    <s v="06-10-008-001"/>
    <x v="3"/>
    <n v="6550.27"/>
    <n v="0"/>
    <n v="6550.27"/>
    <n v="10000"/>
    <n v="100"/>
    <s v="AMPM03"/>
    <x v="11"/>
    <s v="EQUIPOS FRIOS Y A.A.A03"/>
    <s v="Compras"/>
    <s v="xmaltez"/>
    <s v="PMTRX00085260"/>
    <n v="4947909"/>
    <n v="1"/>
    <n v="3"/>
    <s v=""/>
  </r>
  <r>
    <n v="3062403"/>
    <x v="0"/>
    <s v="06-10-008-001"/>
    <x v="3"/>
    <n v="1098.73"/>
    <n v="0"/>
    <n v="1098.73"/>
    <n v="10000"/>
    <n v="100"/>
    <s v="AMPM04"/>
    <x v="12"/>
    <s v="SIST ELECTRICO MUEBLE A04"/>
    <s v="SIST ELECTRICO MUEBLE A04"/>
    <s v="xmaltez"/>
    <s v="PMTRX00085262"/>
    <n v="4955099"/>
    <n v="1"/>
    <n v="4"/>
    <s v=""/>
  </r>
  <r>
    <n v="3053157"/>
    <x v="9"/>
    <s v="06-10-008-001"/>
    <x v="3"/>
    <n v="4300"/>
    <n v="0"/>
    <n v="4300"/>
    <n v="10000"/>
    <n v="100"/>
    <s v="AMPM06"/>
    <x v="14"/>
    <s v="MT EN TIENDA A06"/>
    <s v="INSULACION TUBERIA+REFRIGERANT"/>
    <s v="xmaltez"/>
    <s v="PMTRX00085124"/>
    <n v="4945805"/>
    <n v="1"/>
    <n v="6"/>
    <s v=""/>
  </r>
  <r>
    <n v="3043213"/>
    <x v="18"/>
    <s v="06-10-008-001"/>
    <x v="3"/>
    <n v="732.49"/>
    <n v="0"/>
    <n v="732.49"/>
    <n v="10000"/>
    <n v="100"/>
    <s v="AMPM06"/>
    <x v="14"/>
    <s v="MT EQUIPO EN TIENDA A06"/>
    <s v="REEMPLAZO BOYA TANQUE AGUA"/>
    <s v="xmaltez"/>
    <s v="PMTRX00084828"/>
    <n v="4937759"/>
    <n v="1"/>
    <n v="6"/>
    <s v=""/>
  </r>
  <r>
    <n v="3062381"/>
    <x v="14"/>
    <s v="06-10-008-001"/>
    <x v="3"/>
    <n v="5493.65"/>
    <n v="0"/>
    <n v="5493.65"/>
    <n v="10000"/>
    <n v="100"/>
    <s v="AMPM07"/>
    <x v="80"/>
    <s v="REPARACION DE DUCTOS.A07"/>
    <s v="Compras"/>
    <s v="xmaltez"/>
    <s v="PMTRX00085260"/>
    <n v="4947910"/>
    <n v="1"/>
    <n v="7"/>
    <s v=""/>
  </r>
  <r>
    <n v="3062378"/>
    <x v="14"/>
    <s v="06-10-008-001"/>
    <x v="3"/>
    <n v="2563.6999999999998"/>
    <n v="0"/>
    <n v="2563.6999999999998"/>
    <n v="10000"/>
    <n v="100"/>
    <s v="AMPM08"/>
    <x v="15"/>
    <s v="TOMA CORREINTE.A08"/>
    <s v="Compras"/>
    <s v="xmaltez"/>
    <s v="PMTRX00085260"/>
    <n v="4947907"/>
    <n v="1"/>
    <n v="8"/>
    <s v=""/>
  </r>
  <r>
    <n v="3062392"/>
    <x v="11"/>
    <s v="06-10-008-001"/>
    <x v="3"/>
    <n v="8747.73"/>
    <n v="0"/>
    <n v="8747.73"/>
    <n v="10000"/>
    <n v="100"/>
    <s v="AMPM09"/>
    <x v="16"/>
    <s v="MT EQUIPO EN FRIO A09"/>
    <s v="MT+AA+MH+AA GONDOLAS"/>
    <s v="xmaltez"/>
    <s v="PMTRX00085261"/>
    <n v="4947928"/>
    <n v="1"/>
    <n v="9"/>
    <s v=""/>
  </r>
  <r>
    <n v="3062382"/>
    <x v="14"/>
    <s v="06-10-008-001"/>
    <x v="3"/>
    <n v="1098.72"/>
    <n v="0"/>
    <n v="1098.72"/>
    <n v="10000"/>
    <n v="100"/>
    <s v="AMPM09"/>
    <x v="16"/>
    <s v="INSTLACION DE BUJAS.A09"/>
    <s v="Compras"/>
    <s v="xmaltez"/>
    <s v="PMTRX00085260"/>
    <n v="4947911"/>
    <n v="1"/>
    <n v="9"/>
    <s v=""/>
  </r>
  <r>
    <n v="3062374"/>
    <x v="14"/>
    <s v="06-10-008-001"/>
    <x v="3"/>
    <n v="25270.78"/>
    <n v="0"/>
    <n v="25270.78"/>
    <n v="10000"/>
    <n v="100"/>
    <s v="AMPM09"/>
    <x v="16"/>
    <s v="HABILITACION DE MH.A09"/>
    <s v="Compras"/>
    <s v="xmaltez"/>
    <s v="PMTRX00085260"/>
    <n v="4947903"/>
    <n v="1"/>
    <n v="9"/>
    <s v=""/>
  </r>
  <r>
    <n v="3062388"/>
    <x v="11"/>
    <s v="06-10-008-001"/>
    <x v="3"/>
    <n v="6550.27"/>
    <n v="0"/>
    <n v="6550.27"/>
    <n v="10000"/>
    <n v="100"/>
    <s v="AMPM10"/>
    <x v="81"/>
    <s v="MT EQUIPO EN FRIO A10"/>
    <s v="MT AA+CF DE BEBIDAS"/>
    <s v="xmaltez"/>
    <s v="PMTRX00085261"/>
    <n v="4947924"/>
    <n v="1"/>
    <n v="10"/>
    <s v=""/>
  </r>
  <r>
    <n v="3062401"/>
    <x v="6"/>
    <s v="06-10-008-001"/>
    <x v="3"/>
    <n v="549.36"/>
    <n v="0"/>
    <n v="549.36"/>
    <n v="10000"/>
    <n v="100"/>
    <s v="AMPM12"/>
    <x v="17"/>
    <s v="INSTA LUMINARIA A12"/>
    <s v="INSTA LUMINARIA MUEBLE A12"/>
    <s v="xmaltez"/>
    <s v="PMTRX00085262"/>
    <n v="4955098"/>
    <n v="1"/>
    <n v="12"/>
    <s v=""/>
  </r>
  <r>
    <n v="3062376"/>
    <x v="14"/>
    <s v="06-10-008-001"/>
    <x v="3"/>
    <n v="732.49"/>
    <n v="0"/>
    <n v="732.49"/>
    <n v="10000"/>
    <n v="100"/>
    <s v="AMPM12"/>
    <x v="17"/>
    <s v="LIMPIEZA DE DRENAJE.A12"/>
    <s v="Compras"/>
    <s v="xmaltez"/>
    <s v="PMTRX00085260"/>
    <n v="4947905"/>
    <n v="1"/>
    <n v="12"/>
    <s v=""/>
  </r>
  <r>
    <n v="3043227"/>
    <x v="18"/>
    <s v="06-10-008-001"/>
    <x v="3"/>
    <n v="5063.32"/>
    <n v="0"/>
    <n v="5063.32"/>
    <n v="10000"/>
    <n v="100"/>
    <s v="AMPM12"/>
    <x v="17"/>
    <s v="MT EQUIPO EN FRIO A12"/>
    <s v="MT CF+AA+ MH A12"/>
    <s v="xmaltez"/>
    <s v="PMTRX00084828"/>
    <n v="4937760"/>
    <n v="1"/>
    <n v="12"/>
    <s v=""/>
  </r>
  <r>
    <n v="3062391"/>
    <x v="6"/>
    <s v="06-10-008-001"/>
    <x v="3"/>
    <n v="5493.65"/>
    <n v="0"/>
    <n v="5493.65"/>
    <n v="10000"/>
    <n v="100"/>
    <s v="AMPM15"/>
    <x v="82"/>
    <s v="MT EQUIPO EN TIENDA A15"/>
    <s v="FUGA REFRIGERANTE+MH"/>
    <s v="xmaltez"/>
    <s v="PMTRX00085261"/>
    <n v="4947927"/>
    <n v="1"/>
    <n v="15"/>
    <s v=""/>
  </r>
  <r>
    <n v="3062384"/>
    <x v="14"/>
    <s v="06-10-008-001"/>
    <x v="3"/>
    <n v="8789.82"/>
    <n v="0"/>
    <n v="8789.82"/>
    <n v="10000"/>
    <n v="100"/>
    <s v="AMPM15"/>
    <x v="82"/>
    <s v="PROTECTO VOLTAJE .A15"/>
    <s v="Compras"/>
    <s v="xmaltez"/>
    <s v="PMTRX00085260"/>
    <n v="4947913"/>
    <n v="1"/>
    <n v="15"/>
    <s v=""/>
  </r>
  <r>
    <n v="3062383"/>
    <x v="14"/>
    <s v="06-10-008-001"/>
    <x v="3"/>
    <n v="6550.27"/>
    <n v="0"/>
    <n v="6550.27"/>
    <n v="10000"/>
    <n v="100"/>
    <s v="AMPM15"/>
    <x v="82"/>
    <s v="EQUIPOS FRIOS Y A.A.A15"/>
    <s v="Compras"/>
    <s v="xmaltez"/>
    <s v="PMTRX00085260"/>
    <n v="4947912"/>
    <n v="1"/>
    <n v="15"/>
    <s v=""/>
  </r>
  <r>
    <n v="3043209"/>
    <x v="18"/>
    <s v="06-10-008-001"/>
    <x v="3"/>
    <n v="1831.22"/>
    <n v="0"/>
    <n v="1831.22"/>
    <n v="10000"/>
    <n v="100"/>
    <s v="AMPM15"/>
    <x v="82"/>
    <s v="MT EQUIPO EN TIENDA A15"/>
    <s v="CARGA DE REFRIGERANTE A15"/>
    <s v="xmaltez"/>
    <s v="PMTRX00084828"/>
    <n v="4937757"/>
    <n v="1"/>
    <n v="15"/>
    <s v=""/>
  </r>
  <r>
    <n v="3106171"/>
    <x v="2"/>
    <s v="06-10-008-001"/>
    <x v="3"/>
    <n v="0"/>
    <n v="1850"/>
    <n v="-1850"/>
    <n v="10000"/>
    <n v="100"/>
    <s v="AMPM18"/>
    <x v="21"/>
    <s v="MANT PREVENTIVO IMPRESORA"/>
    <s v="MANT PREVENTIVO IMPRESORA 18"/>
    <s v="jlopez"/>
    <s v="GLTRX00976559"/>
    <n v="4991322"/>
    <n v="1"/>
    <n v="18"/>
    <s v=""/>
  </r>
  <r>
    <n v="3063591"/>
    <x v="11"/>
    <s v="06-10-008-001"/>
    <x v="3"/>
    <n v="6333.44"/>
    <n v="0"/>
    <n v="6333.44"/>
    <n v="10000"/>
    <n v="100"/>
    <s v="AMPM18"/>
    <x v="21"/>
    <s v="REPARACION DE PLANTA A18"/>
    <s v="REPARACION DE PLANTA A18"/>
    <s v="xmaltez"/>
    <s v="PMTRX00085262"/>
    <n v="4955108"/>
    <n v="1"/>
    <n v="18"/>
    <s v=""/>
  </r>
  <r>
    <n v="3009125"/>
    <x v="10"/>
    <s v="06-10-008-001"/>
    <x v="3"/>
    <n v="1850"/>
    <n v="0"/>
    <n v="1850"/>
    <n v="10000"/>
    <n v="100"/>
    <s v="AMPM18"/>
    <x v="21"/>
    <s v="MANT PREVENTIVO IMPRESORA A18"/>
    <s v="MANT PREVENTIVO IMPRESORA A18"/>
    <s v="jlopez"/>
    <s v="PMTRX00084221"/>
    <n v="4411004"/>
    <n v="1"/>
    <n v="18"/>
    <s v=""/>
  </r>
  <r>
    <n v="3062379"/>
    <x v="14"/>
    <s v="06-10-008-001"/>
    <x v="3"/>
    <n v="6592.38"/>
    <n v="0"/>
    <n v="6592.38"/>
    <n v="10000"/>
    <n v="100"/>
    <s v="AMPM19"/>
    <x v="22"/>
    <s v="SUMINSTRO E INSTALACION .A19"/>
    <s v="Compras"/>
    <s v="xmaltez"/>
    <s v="PMTRX00085260"/>
    <n v="4947908"/>
    <n v="1"/>
    <n v="19"/>
    <s v=""/>
  </r>
  <r>
    <n v="3062377"/>
    <x v="14"/>
    <s v="06-10-008-001"/>
    <x v="3"/>
    <n v="4394.92"/>
    <n v="0"/>
    <n v="4394.92"/>
    <n v="10000"/>
    <n v="100"/>
    <s v="AMPM19"/>
    <x v="22"/>
    <s v="SUMIINI DE FULL GATE.A19"/>
    <s v="Compras"/>
    <s v="xmaltez"/>
    <s v="PMTRX00085260"/>
    <n v="4947906"/>
    <n v="1"/>
    <n v="19"/>
    <s v=""/>
  </r>
  <r>
    <n v="3062373"/>
    <x v="14"/>
    <s v="06-10-008-001"/>
    <x v="3"/>
    <n v="3662.43"/>
    <n v="0"/>
    <n v="3662.43"/>
    <n v="10000"/>
    <n v="100"/>
    <s v="AMPM19"/>
    <x v="22"/>
    <s v="PROTECTOR WAGNER .A19"/>
    <s v="Compras"/>
    <s v="xmaltez"/>
    <s v="PMTRX00085260"/>
    <n v="4947902"/>
    <n v="1"/>
    <n v="19"/>
    <s v=""/>
  </r>
  <r>
    <n v="3054356"/>
    <x v="9"/>
    <s v="06-10-008-001"/>
    <x v="3"/>
    <n v="8160"/>
    <n v="0"/>
    <n v="8160"/>
    <n v="10000"/>
    <n v="100"/>
    <s v="AMPM20"/>
    <x v="23"/>
    <s v="MT EQUIPO EN TIENDA A20"/>
    <s v="KIT ARRANQUE+SUMINISTRO CONDEN"/>
    <s v="xmaltez"/>
    <s v="PMTRX00085248"/>
    <n v="4946954"/>
    <n v="1"/>
    <n v="20"/>
    <s v=""/>
  </r>
  <r>
    <n v="3054268"/>
    <x v="9"/>
    <s v="06-10-008-001"/>
    <x v="3"/>
    <n v="7700"/>
    <n v="0"/>
    <n v="7700"/>
    <n v="10000"/>
    <n v="100"/>
    <s v="AMPM21"/>
    <x v="24"/>
    <s v="MT EQUIPO EN FRIO A21"/>
    <s v="AA+CF+MH+ROLL SALCHICHA"/>
    <s v="xmaltez"/>
    <s v="PMTRX00085236"/>
    <n v="4946903"/>
    <n v="1"/>
    <n v="21"/>
    <s v=""/>
  </r>
  <r>
    <n v="3062371"/>
    <x v="14"/>
    <s v="06-10-008-001"/>
    <x v="3"/>
    <n v="1464.98"/>
    <n v="0"/>
    <n v="1464.98"/>
    <n v="10000"/>
    <n v="100"/>
    <s v="AMPM23"/>
    <x v="25"/>
    <s v="INSPECCION AIRE A.A23"/>
    <s v="Compras"/>
    <s v="xmaltez"/>
    <s v="PMTRX00085260"/>
    <n v="4947900"/>
    <n v="1"/>
    <n v="23"/>
    <s v=""/>
  </r>
  <r>
    <n v="3062370"/>
    <x v="14"/>
    <s v="06-10-008-001"/>
    <x v="3"/>
    <n v="3296.2"/>
    <n v="0"/>
    <n v="3296.2"/>
    <n v="10000"/>
    <n v="100"/>
    <s v="AMPM23"/>
    <x v="25"/>
    <s v="SUMINSTRO LAMAP LED.A23"/>
    <s v="Compras"/>
    <s v="xmaltez"/>
    <s v="PMTRX00085260"/>
    <n v="4947899"/>
    <n v="1"/>
    <n v="23"/>
    <s v=""/>
  </r>
  <r>
    <n v="3106171"/>
    <x v="2"/>
    <s v="06-10-008-001"/>
    <x v="3"/>
    <n v="0"/>
    <n v="1850"/>
    <n v="-1850"/>
    <n v="10000"/>
    <n v="100"/>
    <s v="AMPM25"/>
    <x v="26"/>
    <s v="MANT PREVENTIVO IMPRESORA"/>
    <s v="MANT PREVENTIVO IMPRESORA 25"/>
    <s v="jlopez"/>
    <s v="GLTRX00976559"/>
    <n v="4991322"/>
    <n v="1"/>
    <n v="25"/>
    <s v=""/>
  </r>
  <r>
    <n v="3088455"/>
    <x v="6"/>
    <s v="06-10-008-001"/>
    <x v="3"/>
    <n v="4921.74"/>
    <n v="0"/>
    <n v="4921.74"/>
    <n v="10000"/>
    <n v="100"/>
    <s v="AMPM25"/>
    <x v="26"/>
    <s v="MT MAQUINA HOTDOG A25"/>
    <s v="CONTROL INFINITO MAQ HOTDOG"/>
    <s v="xmaltez"/>
    <s v="PMTRX00085875"/>
    <n v="4975496"/>
    <n v="1"/>
    <n v="25"/>
    <s v=""/>
  </r>
  <r>
    <n v="3063592"/>
    <x v="11"/>
    <s v="06-10-008-001"/>
    <x v="3"/>
    <n v="17378.23"/>
    <n v="0"/>
    <n v="17378.23"/>
    <n v="10000"/>
    <n v="100"/>
    <s v="AMPM25"/>
    <x v="26"/>
    <s v="MT DE  PLANTA A25"/>
    <s v="MT DE PLANTA A25"/>
    <s v="xmaltez"/>
    <s v="PMTRX00085262"/>
    <n v="4955109"/>
    <n v="1"/>
    <n v="25"/>
    <s v=""/>
  </r>
  <r>
    <n v="3009124"/>
    <x v="10"/>
    <s v="06-10-008-001"/>
    <x v="3"/>
    <n v="1850"/>
    <n v="0"/>
    <n v="1850"/>
    <n v="10000"/>
    <n v="100"/>
    <s v="AMPM25"/>
    <x v="26"/>
    <s v="MANT PREVENTIVO IMPRESORA A25"/>
    <s v="MANT PREVENTIVO IMPRESORA A25"/>
    <s v="jlopez"/>
    <s v="PMTRX00084221"/>
    <n v="4411003"/>
    <n v="1"/>
    <n v="25"/>
    <s v=""/>
  </r>
  <r>
    <n v="3053182"/>
    <x v="11"/>
    <s v="06-10-008-001"/>
    <x v="3"/>
    <n v="7700"/>
    <n v="0"/>
    <n v="7700"/>
    <n v="10000"/>
    <n v="100"/>
    <s v="AMPM29"/>
    <x v="29"/>
    <s v="MT EQUIPO EN FRIO A29"/>
    <s v="MT AA+CF+ROLL SALCHICHA"/>
    <s v="xmaltez"/>
    <s v="PMTRX00085124"/>
    <n v="4945811"/>
    <n v="1"/>
    <n v="36"/>
    <s v=""/>
  </r>
  <r>
    <n v="3053181"/>
    <x v="11"/>
    <s v="06-10-008-001"/>
    <x v="3"/>
    <n v="53000"/>
    <n v="0"/>
    <n v="53000"/>
    <n v="10000"/>
    <n v="100"/>
    <s v="AMPM29"/>
    <x v="29"/>
    <s v="MT EQUIPO EN FRIO A29"/>
    <s v="REFRIGERANTE+ANGULARES+TUBERIA"/>
    <s v="xmaltez"/>
    <s v="PMTRX00085124"/>
    <n v="4945810"/>
    <n v="1"/>
    <n v="36"/>
    <s v=""/>
  </r>
  <r>
    <n v="3053113"/>
    <x v="0"/>
    <s v="06-10-008-001"/>
    <x v="3"/>
    <n v="600"/>
    <n v="0"/>
    <n v="600"/>
    <n v="10000"/>
    <n v="100"/>
    <s v="AMPM30"/>
    <x v="30"/>
    <s v="INST DE LUMINARIA A30"/>
    <s v="INST DE LUMINARIA A30"/>
    <s v="xmaltez"/>
    <s v="PMTRX00085101"/>
    <n v="4945103"/>
    <n v="1"/>
    <n v="37"/>
    <s v=""/>
  </r>
  <r>
    <n v="3053099"/>
    <x v="0"/>
    <s v="06-10-008-001"/>
    <x v="3"/>
    <n v="7660"/>
    <n v="0"/>
    <n v="7660"/>
    <n v="10000"/>
    <n v="100"/>
    <s v="AMPM30"/>
    <x v="30"/>
    <s v="MT EQUIPO EN FRIO A30"/>
    <s v="MT AA+CF+MH+BEERCAVE"/>
    <s v="xmaltez"/>
    <s v="PMTRX00085101"/>
    <n v="4945099"/>
    <n v="1"/>
    <n v="37"/>
    <s v=""/>
  </r>
  <r>
    <n v="3054230"/>
    <x v="9"/>
    <s v="06-10-008-001"/>
    <x v="3"/>
    <n v="7880"/>
    <n v="0"/>
    <n v="7880"/>
    <n v="10000"/>
    <n v="100"/>
    <s v="AMPM31"/>
    <x v="31"/>
    <s v="MT EQUIPO EN FRIO A31"/>
    <s v="MT AA+CF+BEERCAVE+MH"/>
    <s v="xmaltez"/>
    <s v="PMTRX00085231"/>
    <n v="4947917"/>
    <n v="1"/>
    <n v="38"/>
    <s v=""/>
  </r>
  <r>
    <n v="3053191"/>
    <x v="9"/>
    <s v="06-10-008-001"/>
    <x v="3"/>
    <n v="6300"/>
    <n v="0"/>
    <n v="6300"/>
    <n v="10000"/>
    <n v="100"/>
    <s v="AMPM31"/>
    <x v="31"/>
    <s v="MT EQUIPO EN TIENDA A31"/>
    <s v="SUMINISTRO FULL GAUGE A31"/>
    <s v="xmaltez"/>
    <s v="PMTRX00085124"/>
    <n v="4945818"/>
    <n v="1"/>
    <n v="38"/>
    <s v=""/>
  </r>
  <r>
    <n v="3053156"/>
    <x v="9"/>
    <s v="06-10-008-001"/>
    <x v="3"/>
    <n v="3420"/>
    <n v="0"/>
    <n v="3420"/>
    <n v="10000"/>
    <n v="100"/>
    <s v="AMPM33"/>
    <x v="33"/>
    <s v="MT LIMPIEZA DRENAJE A33"/>
    <s v="LIMPIEZA DRENAJE Y PANA"/>
    <s v="xmaltez"/>
    <s v="PMTRX00085124"/>
    <n v="4945804"/>
    <n v="1"/>
    <n v="39"/>
    <s v=""/>
  </r>
  <r>
    <n v="3055780"/>
    <x v="5"/>
    <s v="06-10-008-001"/>
    <x v="3"/>
    <n v="1500"/>
    <n v="0"/>
    <n v="1500"/>
    <n v="10000"/>
    <n v="100"/>
    <s v="AMPM34"/>
    <x v="34"/>
    <s v="REV EQUIPO A34"/>
    <s v="Compras"/>
    <s v="xmaltez"/>
    <s v="PMTRX00085254"/>
    <n v="4947040"/>
    <n v="1"/>
    <n v="41"/>
    <s v=""/>
  </r>
  <r>
    <n v="3054246"/>
    <x v="9"/>
    <s v="06-10-008-001"/>
    <x v="3"/>
    <n v="8420"/>
    <n v="0"/>
    <n v="8420"/>
    <n v="10000"/>
    <n v="100"/>
    <s v="AMPM34"/>
    <x v="34"/>
    <s v="MT EQUIPO EN FRIO A34"/>
    <s v="AA+CF+MT+ROLL SALCHICHA A34"/>
    <s v="xmaltez"/>
    <s v="PMTRX00085236"/>
    <n v="4946899"/>
    <n v="1"/>
    <n v="41"/>
    <s v=""/>
  </r>
  <r>
    <n v="3094547"/>
    <x v="2"/>
    <s v="06-10-008-001"/>
    <x v="3"/>
    <n v="6882"/>
    <n v="0"/>
    <n v="6882"/>
    <n v="10000"/>
    <n v="100"/>
    <s v="AMPM35"/>
    <x v="35"/>
    <s v="EQUIPOS FRIOS Y A.A A35"/>
    <s v="Compras"/>
    <s v="xmaltez"/>
    <s v="PMTRX00085880"/>
    <n v="4977618"/>
    <n v="1"/>
    <n v="43"/>
    <s v=""/>
  </r>
  <r>
    <n v="3041877"/>
    <x v="0"/>
    <s v="06-10-008-001"/>
    <x v="3"/>
    <n v="9888.56"/>
    <n v="0"/>
    <n v="9888.56"/>
    <n v="10000"/>
    <n v="100"/>
    <s v="AMPM35"/>
    <x v="35"/>
    <s v="MT EN TIENDA A35"/>
    <s v="CAMBIO FOTOCELDA+CABLEADO A35"/>
    <s v="xmaltez"/>
    <s v="PMTRX00084826"/>
    <n v="4937722"/>
    <n v="1"/>
    <n v="43"/>
    <s v=""/>
  </r>
  <r>
    <n v="3053166"/>
    <x v="9"/>
    <s v="06-10-008-001"/>
    <x v="3"/>
    <n v="2280"/>
    <n v="0"/>
    <n v="2280"/>
    <n v="10000"/>
    <n v="100"/>
    <s v="AMPM36"/>
    <x v="36"/>
    <s v="MT EQUIPO EN FRIO A36"/>
    <s v="DIAGNOSTICO FLETE A36"/>
    <s v="xmaltez"/>
    <s v="PMTRX00085124"/>
    <n v="4945807"/>
    <n v="1"/>
    <n v="44"/>
    <s v=""/>
  </r>
  <r>
    <n v="3053111"/>
    <x v="0"/>
    <s v="06-10-008-001"/>
    <x v="3"/>
    <n v="600"/>
    <n v="0"/>
    <n v="600"/>
    <n v="10000"/>
    <n v="100"/>
    <s v="AMPM37"/>
    <x v="37"/>
    <s v="MT EQUIPO EN TIENDA A37"/>
    <s v="INSTA DE LUMINARIA A37"/>
    <s v="xmaltez"/>
    <s v="PMTRX00085101"/>
    <n v="4945102"/>
    <n v="1"/>
    <n v="42"/>
    <s v=""/>
  </r>
  <r>
    <n v="3053098"/>
    <x v="0"/>
    <s v="06-10-008-001"/>
    <x v="3"/>
    <n v="7040"/>
    <n v="0"/>
    <n v="7040"/>
    <n v="10000"/>
    <n v="100"/>
    <s v="AMPM37"/>
    <x v="37"/>
    <s v="MT EQUIPO COMPUTO A37"/>
    <s v="MT AA+CF+BEER CAVE A37"/>
    <s v="xmaltez"/>
    <s v="PMTRX00085101"/>
    <n v="4945098"/>
    <n v="1"/>
    <n v="42"/>
    <s v=""/>
  </r>
  <r>
    <n v="3063594"/>
    <x v="7"/>
    <s v="06-10-008-001"/>
    <x v="3"/>
    <n v="8362"/>
    <n v="0"/>
    <n v="8362"/>
    <n v="10000"/>
    <n v="100"/>
    <s v="AMPM38"/>
    <x v="38"/>
    <s v="MT EQUIPOS EN FRIO A38"/>
    <s v="MT AA+CF+MH+ROLL SALCHICHA"/>
    <s v="xmaltez"/>
    <s v="PMTRX00085262"/>
    <n v="4955111"/>
    <n v="1"/>
    <n v="47"/>
    <s v=""/>
  </r>
  <r>
    <n v="3041884"/>
    <x v="0"/>
    <s v="06-10-008-001"/>
    <x v="3"/>
    <n v="3479.31"/>
    <n v="0"/>
    <n v="3479.31"/>
    <n v="10000"/>
    <n v="100"/>
    <s v="AMPM38"/>
    <x v="38"/>
    <s v="MT EN TIENDA A38"/>
    <s v="CAMBIO FOTO CELDA+REVISON"/>
    <s v="xmaltez"/>
    <s v="PMTRX00084826"/>
    <n v="4937728"/>
    <n v="1"/>
    <n v="47"/>
    <s v=""/>
  </r>
  <r>
    <n v="3053115"/>
    <x v="10"/>
    <s v="06-10-008-001"/>
    <x v="3"/>
    <n v="750"/>
    <n v="0"/>
    <n v="750"/>
    <n v="10000"/>
    <n v="100"/>
    <s v="AMPM39"/>
    <x v="39"/>
    <s v="INST DE LUMINARIA A39"/>
    <s v="INST DE LUMINARIA A39"/>
    <s v="xmaltez"/>
    <s v="PMTRX00085101"/>
    <n v="4945104"/>
    <n v="1"/>
    <n v="48"/>
    <s v=""/>
  </r>
  <r>
    <n v="3041878"/>
    <x v="0"/>
    <s v="06-10-008-001"/>
    <x v="3"/>
    <n v="17030.3"/>
    <n v="0"/>
    <n v="17030.3"/>
    <n v="10000"/>
    <n v="100"/>
    <s v="AMPM39"/>
    <x v="39"/>
    <s v="MT EN TIENDA A39"/>
    <s v="CAMBIO BREAKER+FOTOCELDA+CABLE"/>
    <s v="xmaltez"/>
    <s v="PMTRX00084826"/>
    <n v="4937723"/>
    <n v="1"/>
    <n v="48"/>
    <s v=""/>
  </r>
  <r>
    <n v="3054236"/>
    <x v="9"/>
    <s v="06-10-008-001"/>
    <x v="3"/>
    <n v="7700"/>
    <n v="0"/>
    <n v="7700"/>
    <n v="10000"/>
    <n v="100"/>
    <s v="AMPM40"/>
    <x v="40"/>
    <s v="MT EQUIPO EN FRIO A40"/>
    <s v="AA+CF+BEERCAVE+ROLL SALCHICHA"/>
    <s v="xmaltez"/>
    <s v="PMTRX00085231"/>
    <n v="4947921"/>
    <n v="1"/>
    <n v="49"/>
    <s v=""/>
  </r>
  <r>
    <n v="3054433"/>
    <x v="24"/>
    <s v="06-10-008-001"/>
    <x v="3"/>
    <n v="6550"/>
    <n v="0"/>
    <n v="6550"/>
    <n v="10000"/>
    <n v="100"/>
    <s v="AMPM41"/>
    <x v="41"/>
    <s v="MT EN TIENDA A41"/>
    <s v="BOMBA CONDENSADO A41"/>
    <s v="xmaltez"/>
    <s v="PMTRX00085253"/>
    <n v="4947031"/>
    <n v="1"/>
    <n v="50"/>
    <s v=""/>
  </r>
  <r>
    <n v="3053154"/>
    <x v="10"/>
    <s v="06-10-008-001"/>
    <x v="3"/>
    <n v="4840"/>
    <n v="0"/>
    <n v="4840"/>
    <n v="10000"/>
    <n v="100"/>
    <s v="AMPM41"/>
    <x v="41"/>
    <s v="MT EQUIPO EN FRIO A41"/>
    <s v="MT REFRIGERANT+ REPA FUGA"/>
    <s v="xmaltez"/>
    <s v="PMTRX00085124"/>
    <n v="4945802"/>
    <n v="1"/>
    <n v="50"/>
    <s v=""/>
  </r>
  <r>
    <n v="3055786"/>
    <x v="5"/>
    <s v="06-10-008-001"/>
    <x v="3"/>
    <n v="1860"/>
    <n v="0"/>
    <n v="1860"/>
    <n v="10000"/>
    <n v="100"/>
    <s v="AMPM42"/>
    <x v="42"/>
    <s v="LUMINARIA A42"/>
    <s v="Compras"/>
    <s v="xmaltez"/>
    <s v="PMTRX00085254"/>
    <n v="4947043"/>
    <n v="1"/>
    <n v="51"/>
    <s v=""/>
  </r>
  <r>
    <n v="3054432"/>
    <x v="24"/>
    <s v="06-10-008-001"/>
    <x v="3"/>
    <n v="2300"/>
    <n v="0"/>
    <n v="2300"/>
    <n v="10000"/>
    <n v="100"/>
    <s v="AMPM44"/>
    <x v="43"/>
    <s v="MT EN TIENDA A44"/>
    <s v="MANO OBRA PINTURA A44"/>
    <s v="xmaltez"/>
    <s v="PMTRX00085253"/>
    <n v="4947030"/>
    <n v="1"/>
    <n v="57"/>
    <s v=""/>
  </r>
  <r>
    <n v="3054431"/>
    <x v="24"/>
    <s v="06-10-008-001"/>
    <x v="3"/>
    <n v="400"/>
    <n v="0"/>
    <n v="400"/>
    <n v="10000"/>
    <n v="100"/>
    <s v="AMPM44"/>
    <x v="43"/>
    <s v="MT EN TIENDA A44"/>
    <s v="INST TAPA INODORO A44"/>
    <s v="xmaltez"/>
    <s v="PMTRX00085253"/>
    <n v="4947029"/>
    <n v="1"/>
    <n v="57"/>
    <s v=""/>
  </r>
  <r>
    <n v="3054427"/>
    <x v="24"/>
    <s v="06-10-008-001"/>
    <x v="3"/>
    <n v="7100"/>
    <n v="0"/>
    <n v="7100"/>
    <n v="10000"/>
    <n v="100"/>
    <s v="AMPM44"/>
    <x v="43"/>
    <s v="MT EQUIPO EN FRIO A44"/>
    <s v="MT AA+CF+BEERCAVE"/>
    <s v="xmaltez"/>
    <s v="PMTRX00085253"/>
    <n v="4947025"/>
    <n v="1"/>
    <n v="57"/>
    <s v=""/>
  </r>
  <r>
    <n v="3054423"/>
    <x v="9"/>
    <s v="06-10-008-001"/>
    <x v="3"/>
    <n v="7300"/>
    <n v="0"/>
    <n v="7300"/>
    <n v="10000"/>
    <n v="100"/>
    <s v="AMPM45"/>
    <x v="83"/>
    <s v="MT EN TIENDA A45"/>
    <s v="MT MOTOR FAN+MANO OBRA"/>
    <s v="xmaltez"/>
    <s v="PMTRX00085253"/>
    <n v="4947021"/>
    <n v="1"/>
    <n v="59"/>
    <s v=""/>
  </r>
  <r>
    <n v="3053105"/>
    <x v="0"/>
    <s v="06-10-008-001"/>
    <x v="3"/>
    <n v="4500"/>
    <n v="0"/>
    <n v="4500"/>
    <n v="10000"/>
    <n v="100"/>
    <s v="AMPM45"/>
    <x v="83"/>
    <s v="MT EQUIPO EN FRIO A45"/>
    <s v="MT FUGA MH+ RECARGA REFIGERANT"/>
    <s v="xmaltez"/>
    <s v="PMTRX00085101"/>
    <n v="4945100"/>
    <n v="1"/>
    <n v="59"/>
    <s v=""/>
  </r>
  <r>
    <n v="3054250"/>
    <x v="9"/>
    <s v="06-10-008-001"/>
    <x v="3"/>
    <n v="9140"/>
    <n v="0"/>
    <n v="9140"/>
    <n v="10000"/>
    <n v="100"/>
    <s v="AMPM46"/>
    <x v="44"/>
    <s v="MT EQUIPO EN FRIO A46"/>
    <s v="MT AA+CF+BEERCAVE A46"/>
    <s v="xmaltez"/>
    <s v="PMTRX00085236"/>
    <n v="4946900"/>
    <n v="1"/>
    <n v="60"/>
    <s v=""/>
  </r>
  <r>
    <n v="3054426"/>
    <x v="24"/>
    <s v="06-10-008-001"/>
    <x v="3"/>
    <n v="7100"/>
    <n v="0"/>
    <n v="7100"/>
    <n v="10000"/>
    <n v="100"/>
    <s v="AMPM47"/>
    <x v="45"/>
    <s v="MT EQUIPO EN FRIO A47"/>
    <s v="MT AA+ROLL SALCHICHA+MH"/>
    <s v="xmaltez"/>
    <s v="PMTRX00085253"/>
    <n v="4947024"/>
    <n v="1"/>
    <n v="61"/>
    <s v=""/>
  </r>
  <r>
    <n v="3054276"/>
    <x v="9"/>
    <s v="06-10-008-001"/>
    <x v="3"/>
    <n v="1200"/>
    <n v="0"/>
    <n v="1200"/>
    <n v="10000"/>
    <n v="100"/>
    <s v="AMPM48"/>
    <x v="84"/>
    <s v="MT PANA DE DRENAJE A48"/>
    <s v="MT PANA DE DRENAJE A48"/>
    <s v="xmaltez"/>
    <s v="PMTRX00085236"/>
    <n v="4946906"/>
    <n v="1"/>
    <n v="62"/>
    <s v=""/>
  </r>
  <r>
    <n v="3054233"/>
    <x v="9"/>
    <s v="06-10-008-001"/>
    <x v="3"/>
    <n v="7300"/>
    <n v="0"/>
    <n v="7300"/>
    <n v="10000"/>
    <n v="100"/>
    <s v="AMPM48"/>
    <x v="84"/>
    <s v="MT EQUIPO EN FRIO A48"/>
    <s v="AA+MH+ROLL SALCHICHA"/>
    <s v="xmaltez"/>
    <s v="PMTRX00085231"/>
    <n v="4947919"/>
    <n v="1"/>
    <n v="62"/>
    <s v=""/>
  </r>
  <r>
    <n v="3054357"/>
    <x v="9"/>
    <s v="06-10-008-001"/>
    <x v="3"/>
    <n v="10020"/>
    <n v="0"/>
    <n v="10020"/>
    <n v="10000"/>
    <n v="100"/>
    <s v="AMPM51"/>
    <x v="48"/>
    <s v="MT EN TIENDA AMPM51"/>
    <s v="TUBERIA+BOMBA CONDENSADO A51"/>
    <s v="xmaltez"/>
    <s v="PMTRX00085248"/>
    <n v="4946955"/>
    <n v="1"/>
    <n v="65"/>
    <s v=""/>
  </r>
  <r>
    <n v="3053188"/>
    <x v="9"/>
    <s v="06-10-008-001"/>
    <x v="3"/>
    <n v="7700"/>
    <n v="0"/>
    <n v="7700"/>
    <n v="10000"/>
    <n v="100"/>
    <s v="AMPM53"/>
    <x v="49"/>
    <s v="MT EQUIPO EN FRIO A53"/>
    <s v="MT AA+CF+BEERCAVE+MH"/>
    <s v="xmaltez"/>
    <s v="PMTRX00085124"/>
    <n v="4945815"/>
    <n v="1"/>
    <n v="64"/>
    <s v=""/>
  </r>
  <r>
    <n v="3055782"/>
    <x v="5"/>
    <s v="06-10-008-001"/>
    <x v="3"/>
    <n v="2110"/>
    <n v="0"/>
    <n v="2110"/>
    <n v="10000"/>
    <n v="100"/>
    <s v="AMPM55"/>
    <x v="51"/>
    <s v="REVI EQUIPO A55"/>
    <s v="Compras"/>
    <s v="xmaltez"/>
    <s v="PMTRX00085254"/>
    <n v="4947041"/>
    <n v="1"/>
    <n v="71"/>
    <s v=""/>
  </r>
  <r>
    <n v="3054285"/>
    <x v="9"/>
    <s v="06-10-008-001"/>
    <x v="3"/>
    <n v="1800"/>
    <n v="0"/>
    <n v="1800"/>
    <n v="10000"/>
    <n v="100"/>
    <s v="AMPM56"/>
    <x v="85"/>
    <s v="INSTA CERRADURA PUERTA A56"/>
    <s v="INSTA CERRADURA PUERTA A56"/>
    <s v="xmaltez"/>
    <s v="PMTRX00085236"/>
    <n v="4946911"/>
    <n v="1"/>
    <n v="72"/>
    <s v=""/>
  </r>
  <r>
    <n v="3054281"/>
    <x v="9"/>
    <s v="06-10-008-001"/>
    <x v="3"/>
    <n v="500"/>
    <n v="0"/>
    <n v="500"/>
    <n v="10000"/>
    <n v="100"/>
    <s v="AMPM58"/>
    <x v="53"/>
    <s v="INSTA LUMINARIA A58"/>
    <s v="INSTA LUMINARIA A58"/>
    <s v="xmaltez"/>
    <s v="PMTRX00085236"/>
    <n v="4946908"/>
    <n v="1"/>
    <n v="74"/>
    <s v=""/>
  </r>
  <r>
    <n v="3053190"/>
    <x v="9"/>
    <s v="06-10-008-001"/>
    <x v="3"/>
    <n v="9680"/>
    <n v="0"/>
    <n v="9680"/>
    <n v="10000"/>
    <n v="100"/>
    <s v="AMPM58"/>
    <x v="53"/>
    <s v="MT EQUIPO EN FRIO A58"/>
    <s v="AA+CF+BEERCAVE+MH"/>
    <s v="xmaltez"/>
    <s v="PMTRX00085124"/>
    <n v="4945817"/>
    <n v="1"/>
    <n v="74"/>
    <s v=""/>
  </r>
  <r>
    <n v="3053167"/>
    <x v="9"/>
    <s v="06-10-008-001"/>
    <x v="3"/>
    <n v="3180"/>
    <n v="0"/>
    <n v="3180"/>
    <n v="10000"/>
    <n v="100"/>
    <s v="AMPM58"/>
    <x v="53"/>
    <s v="TRANSPORTE A58"/>
    <s v="TRANSPORTE A58"/>
    <s v="xmaltez"/>
    <s v="PMTRX00085124"/>
    <n v="4945808"/>
    <n v="1"/>
    <n v="74"/>
    <s v=""/>
  </r>
  <r>
    <n v="3088456"/>
    <x v="6"/>
    <s v="06-10-008-001"/>
    <x v="3"/>
    <n v="4394.92"/>
    <n v="0"/>
    <n v="4394.92"/>
    <n v="10000"/>
    <n v="100"/>
    <s v="AMPM59"/>
    <x v="79"/>
    <s v="MT MAQUNA HOTDOG A59"/>
    <s v="COJINETE+CADENA ROLLER A59"/>
    <s v="xmaltez"/>
    <s v="PMTRX00085875"/>
    <n v="4975497"/>
    <n v="1"/>
    <n v="75"/>
    <s v=""/>
  </r>
  <r>
    <n v="3053120"/>
    <x v="10"/>
    <s v="06-10-008-001"/>
    <x v="3"/>
    <n v="1000"/>
    <n v="0"/>
    <n v="1000"/>
    <n v="10000"/>
    <n v="100"/>
    <s v="AMPM59"/>
    <x v="79"/>
    <s v="INST DE LUMINARIA A59"/>
    <s v="INST DE LUMINARIA A59"/>
    <s v="xmaltez"/>
    <s v="PMTRX00085101"/>
    <n v="4945105"/>
    <n v="1"/>
    <n v="75"/>
    <s v=""/>
  </r>
  <r>
    <n v="3054241"/>
    <x v="9"/>
    <s v="06-10-008-001"/>
    <x v="3"/>
    <n v="6500"/>
    <n v="0"/>
    <n v="6500"/>
    <n v="10000"/>
    <n v="100"/>
    <s v="AMPM60"/>
    <x v="54"/>
    <s v="MT EQUIPO EN FRIO A60"/>
    <s v="MT AA+CF+BEERCAVE"/>
    <s v="xmaltez"/>
    <s v="PMTRX00085231"/>
    <n v="4947922"/>
    <n v="1"/>
    <n v="76"/>
    <s v=""/>
  </r>
  <r>
    <n v="3055809"/>
    <x v="9"/>
    <s v="06-10-008-001"/>
    <x v="3"/>
    <n v="2540"/>
    <n v="0"/>
    <n v="2540"/>
    <n v="10000"/>
    <n v="100"/>
    <s v="AMPM61"/>
    <x v="55"/>
    <s v="RECARGA REFRIGERANTE A61"/>
    <s v="RECARGA REFRIGERANTE A61"/>
    <s v="xmaltez"/>
    <s v="PMTRX00085256"/>
    <n v="4947059"/>
    <n v="1"/>
    <n v="77"/>
    <s v=""/>
  </r>
  <r>
    <n v="3054275"/>
    <x v="9"/>
    <s v="06-10-008-001"/>
    <x v="3"/>
    <n v="6040"/>
    <n v="0"/>
    <n v="6040"/>
    <n v="10000"/>
    <n v="100"/>
    <s v="AMPM61"/>
    <x v="55"/>
    <s v="MT EQUIPO EN TIENDA A61"/>
    <s v="AA+ SUMINISTRO TARJETA+FLETE"/>
    <s v="xmaltez"/>
    <s v="PMTRX00085236"/>
    <n v="4946905"/>
    <n v="1"/>
    <n v="77"/>
    <s v=""/>
  </r>
  <r>
    <n v="3053128"/>
    <x v="10"/>
    <s v="06-10-008-001"/>
    <x v="3"/>
    <n v="7040"/>
    <n v="0"/>
    <n v="7040"/>
    <n v="10000"/>
    <n v="100"/>
    <s v="AMPM61"/>
    <x v="55"/>
    <s v="MT EQUIPO EN FRIO A61"/>
    <s v="REFRIGERANTE+FUGA CF"/>
    <s v="xmaltez"/>
    <s v="PMTRX00085101"/>
    <n v="4945108"/>
    <n v="1"/>
    <n v="77"/>
    <s v=""/>
  </r>
  <r>
    <n v="3055784"/>
    <x v="5"/>
    <s v="06-10-008-001"/>
    <x v="3"/>
    <n v="37640"/>
    <n v="0"/>
    <n v="37640"/>
    <n v="10000"/>
    <n v="100"/>
    <s v="AMPM62"/>
    <x v="56"/>
    <s v="COMP MH A62"/>
    <s v="Compras"/>
    <s v="xmaltez"/>
    <s v="PMTRX00085254"/>
    <n v="4947042"/>
    <n v="1"/>
    <n v="78"/>
    <s v=""/>
  </r>
  <r>
    <n v="3054430"/>
    <x v="24"/>
    <s v="06-10-008-001"/>
    <x v="3"/>
    <n v="500"/>
    <n v="0"/>
    <n v="500"/>
    <n v="10000"/>
    <n v="100"/>
    <s v="AMPM62"/>
    <x v="56"/>
    <s v="INST LUMINARIA A62"/>
    <s v="INST LUMINARIA A62"/>
    <s v="xmaltez"/>
    <s v="PMTRX00085253"/>
    <n v="4947028"/>
    <n v="1"/>
    <n v="78"/>
    <s v=""/>
  </r>
  <r>
    <n v="3054428"/>
    <x v="24"/>
    <s v="06-10-008-001"/>
    <x v="3"/>
    <n v="7880"/>
    <n v="0"/>
    <n v="7880"/>
    <n v="10000"/>
    <n v="100"/>
    <s v="AMPM62"/>
    <x v="56"/>
    <s v="MT EQUIPO EN FRIO A62"/>
    <s v="MT AA+BEERCAVE+MH+CF"/>
    <s v="xmaltez"/>
    <s v="PMTRX00085253"/>
    <n v="4947026"/>
    <n v="1"/>
    <n v="78"/>
    <s v=""/>
  </r>
  <r>
    <n v="3054283"/>
    <x v="9"/>
    <s v="06-10-008-001"/>
    <x v="3"/>
    <n v="4000"/>
    <n v="0"/>
    <n v="4000"/>
    <n v="10000"/>
    <n v="100"/>
    <s v="AMPM63"/>
    <x v="57"/>
    <s v="RECARGA REFRIGERANTE CF A63"/>
    <s v="RECARGA REFRIGERANTE CF A63"/>
    <s v="xmaltez"/>
    <s v="PMTRX00085236"/>
    <n v="4946909"/>
    <n v="1"/>
    <n v="79"/>
    <s v=""/>
  </r>
  <r>
    <n v="3054272"/>
    <x v="9"/>
    <s v="06-10-008-001"/>
    <x v="3"/>
    <n v="7340"/>
    <n v="0"/>
    <n v="7340"/>
    <n v="10000"/>
    <n v="100"/>
    <s v="AMPM63"/>
    <x v="57"/>
    <s v="MT EQUIPO EN FRIO A63"/>
    <s v="AA+CF+BEERCAVE+MH A63"/>
    <s v="xmaltez"/>
    <s v="PMTRX00085236"/>
    <n v="4946904"/>
    <n v="1"/>
    <n v="79"/>
    <s v=""/>
  </r>
  <r>
    <n v="3054425"/>
    <x v="24"/>
    <s v="06-10-008-001"/>
    <x v="3"/>
    <n v="6500"/>
    <n v="0"/>
    <n v="6500"/>
    <n v="10000"/>
    <n v="100"/>
    <s v="AMPM65"/>
    <x v="58"/>
    <s v="MT EQUIPO EN FRIO A65"/>
    <s v="MT AA+CF+BEERCAVE+ROLL SALCHIC"/>
    <s v="xmaltez"/>
    <s v="PMTRX00085253"/>
    <n v="4947023"/>
    <n v="1"/>
    <n v="81"/>
    <s v=""/>
  </r>
  <r>
    <n v="3054424"/>
    <x v="24"/>
    <s v="06-10-008-001"/>
    <x v="3"/>
    <n v="8000"/>
    <n v="0"/>
    <n v="8000"/>
    <n v="10000"/>
    <n v="100"/>
    <s v="AMPM66"/>
    <x v="59"/>
    <s v="MT EQUIPO EN FRIO A66"/>
    <s v="MT AA+CF+BEERCAVE+MH"/>
    <s v="xmaltez"/>
    <s v="PMTRX00085253"/>
    <n v="4947022"/>
    <n v="1"/>
    <n v="82"/>
    <s v=""/>
  </r>
  <r>
    <n v="3054290"/>
    <x v="9"/>
    <s v="06-10-008-001"/>
    <x v="3"/>
    <n v="730"/>
    <n v="0"/>
    <n v="730"/>
    <n v="10000"/>
    <n v="100"/>
    <s v="AMPM67"/>
    <x v="60"/>
    <s v="ACTI DE AIRE ACONDICIONADO A67"/>
    <s v="ACTI DE AIRE ACONDICIONADO A67"/>
    <s v="xmaltez"/>
    <s v="PMTRX00085236"/>
    <n v="4946913"/>
    <n v="1"/>
    <n v="83"/>
    <s v=""/>
  </r>
  <r>
    <n v="3053158"/>
    <x v="9"/>
    <s v="06-10-008-001"/>
    <x v="3"/>
    <n v="6500"/>
    <n v="0"/>
    <n v="6500"/>
    <n v="10000"/>
    <n v="100"/>
    <s v="AMPM67"/>
    <x v="60"/>
    <s v="MT EQUIPO EN FRIO A67"/>
    <s v="RECARGA RERIGERANTE CF"/>
    <s v="xmaltez"/>
    <s v="PMTRX00085124"/>
    <n v="4945806"/>
    <n v="1"/>
    <n v="83"/>
    <s v=""/>
  </r>
  <r>
    <n v="3053132"/>
    <x v="10"/>
    <s v="06-10-008-001"/>
    <x v="3"/>
    <n v="4500"/>
    <n v="0"/>
    <n v="4500"/>
    <n v="10000"/>
    <n v="100"/>
    <s v="AMPM67"/>
    <x v="60"/>
    <s v="MT EQUIPO EN FRIO A67"/>
    <s v="MT REFRIGERANTE+FUGA MH"/>
    <s v="xmaltez"/>
    <s v="PMTRX00085101"/>
    <n v="4945109"/>
    <n v="1"/>
    <n v="83"/>
    <s v=""/>
  </r>
  <r>
    <n v="3054257"/>
    <x v="9"/>
    <s v="06-10-008-001"/>
    <x v="3"/>
    <n v="11260"/>
    <n v="0"/>
    <n v="11260"/>
    <n v="10000"/>
    <n v="100"/>
    <s v="AMPM68"/>
    <x v="61"/>
    <s v="MT EQUIPO EN FRIO A68"/>
    <s v="MT AA+CF+BEERCAVE+MH A68"/>
    <s v="xmaltez"/>
    <s v="PMTRX00085236"/>
    <n v="4946901"/>
    <n v="1"/>
    <n v="84"/>
    <s v=""/>
  </r>
  <r>
    <n v="3063595"/>
    <x v="7"/>
    <s v="06-10-008-001"/>
    <x v="3"/>
    <n v="7252"/>
    <n v="0"/>
    <n v="7252"/>
    <n v="10000"/>
    <n v="100"/>
    <s v="AMPM69"/>
    <x v="62"/>
    <s v="MT EQUIPO EN FRIO A69"/>
    <s v="MT AA+CF+MH+ROLL SALCHICHA"/>
    <s v="xmaltez"/>
    <s v="PMTRX00085262"/>
    <n v="4955112"/>
    <n v="1"/>
    <n v="85"/>
    <s v=""/>
  </r>
  <r>
    <n v="3062375"/>
    <x v="14"/>
    <s v="06-10-008-001"/>
    <x v="3"/>
    <n v="1831.22"/>
    <n v="0"/>
    <n v="1831.22"/>
    <n v="10000"/>
    <n v="100"/>
    <s v="AMPM69"/>
    <x v="62"/>
    <s v="BOMBA HIDROENUMATI.A69"/>
    <s v="Compras"/>
    <s v="xmaltez"/>
    <s v="PMTRX00085260"/>
    <n v="4947904"/>
    <n v="1"/>
    <n v="85"/>
    <s v=""/>
  </r>
  <r>
    <n v="3043234"/>
    <x v="18"/>
    <s v="06-10-008-001"/>
    <x v="3"/>
    <n v="1831.22"/>
    <n v="0"/>
    <n v="1831.22"/>
    <n v="10000"/>
    <n v="100"/>
    <s v="AMPM69"/>
    <x v="62"/>
    <s v="MT EQUIPO EN TIENDA A69"/>
    <s v="CAMBIO ACCESORIOS PVC A69"/>
    <s v="xmaltez"/>
    <s v="PMTRX00084828"/>
    <n v="4937763"/>
    <n v="1"/>
    <n v="85"/>
    <s v=""/>
  </r>
  <r>
    <n v="3054231"/>
    <x v="9"/>
    <s v="06-10-008-001"/>
    <x v="3"/>
    <n v="8660"/>
    <n v="0"/>
    <n v="8660"/>
    <n v="10000"/>
    <n v="100"/>
    <s v="AMPM70"/>
    <x v="63"/>
    <s v="MT EQUIPO EN FRIO A70"/>
    <s v="MT AA+CF+BEERCAVE"/>
    <s v="xmaltez"/>
    <s v="PMTRX00085231"/>
    <n v="4947918"/>
    <n v="1"/>
    <n v="87"/>
    <s v=""/>
  </r>
  <r>
    <n v="3041879"/>
    <x v="0"/>
    <s v="06-10-008-001"/>
    <x v="3"/>
    <n v="4944.28"/>
    <n v="0"/>
    <n v="4944.28"/>
    <n v="10000"/>
    <n v="100"/>
    <s v="AMPM73"/>
    <x v="66"/>
    <s v="MT EN TIENDA A73"/>
    <s v="MT FOTOCELDA A73"/>
    <s v="xmaltez"/>
    <s v="PMTRX00084826"/>
    <n v="4937724"/>
    <n v="1"/>
    <n v="89"/>
    <s v=""/>
  </r>
  <r>
    <n v="3054234"/>
    <x v="9"/>
    <s v="06-10-008-001"/>
    <x v="3"/>
    <n v="7400"/>
    <n v="0"/>
    <n v="7400"/>
    <n v="10000"/>
    <n v="100"/>
    <s v="AMPM74"/>
    <x v="67"/>
    <s v="MT EQUIPO EN FRIO A74"/>
    <s v="MT AA+CF+MH A74"/>
    <s v="xmaltez"/>
    <s v="PMTRX00085231"/>
    <n v="4947920"/>
    <n v="1"/>
    <n v="90"/>
    <s v=""/>
  </r>
  <r>
    <n v="3053185"/>
    <x v="11"/>
    <s v="06-10-008-001"/>
    <x v="3"/>
    <n v="1800"/>
    <n v="0"/>
    <n v="1800"/>
    <n v="10000"/>
    <n v="100"/>
    <s v="AMPM75"/>
    <x v="68"/>
    <s v="MT EN TIENDA A75"/>
    <s v="MT TUBERIAS Y BOMBA A75"/>
    <s v="xmaltez"/>
    <s v="PMTRX00085124"/>
    <n v="4945813"/>
    <n v="1"/>
    <n v="91"/>
    <s v=""/>
  </r>
  <r>
    <n v="3053183"/>
    <x v="11"/>
    <s v="06-10-008-001"/>
    <x v="3"/>
    <n v="7040"/>
    <n v="0"/>
    <n v="7040"/>
    <n v="10000"/>
    <n v="100"/>
    <s v="AMPM75"/>
    <x v="68"/>
    <s v="MT EQUIPO EN FRIO A75"/>
    <s v="AA+CF+BEERCAVE"/>
    <s v="xmaltez"/>
    <s v="PMTRX00085124"/>
    <n v="4945812"/>
    <n v="1"/>
    <n v="91"/>
    <s v=""/>
  </r>
  <r>
    <n v="3054284"/>
    <x v="9"/>
    <s v="06-10-008-001"/>
    <x v="3"/>
    <n v="6500"/>
    <n v="0"/>
    <n v="6500"/>
    <n v="10000"/>
    <n v="100"/>
    <s v="AMPM76"/>
    <x v="69"/>
    <s v="MT EQUIPO CUARTO FRIO A76"/>
    <s v="REFRIGERANTE CF A76"/>
    <s v="xmaltez"/>
    <s v="PMTRX00085236"/>
    <n v="4946910"/>
    <n v="1"/>
    <n v="93"/>
    <s v=""/>
  </r>
  <r>
    <n v="3054251"/>
    <x v="9"/>
    <s v="06-10-008-001"/>
    <x v="3"/>
    <n v="11260"/>
    <n v="0"/>
    <n v="11260"/>
    <n v="10000"/>
    <n v="100"/>
    <s v="AMPM76"/>
    <x v="69"/>
    <s v="MT EQUIPO EN FRIO A76"/>
    <s v="AA+CF+BEERCAVE+ROLL SALCHICHA"/>
    <s v="xmaltez"/>
    <s v="PMTRX00085231"/>
    <n v="4947923"/>
    <n v="1"/>
    <n v="93"/>
    <s v=""/>
  </r>
  <r>
    <n v="3062393"/>
    <x v="3"/>
    <s v="06-10-008-001"/>
    <x v="3"/>
    <n v="6550.27"/>
    <n v="0"/>
    <n v="6550.27"/>
    <n v="10000"/>
    <n v="100"/>
    <s v="AMPM79"/>
    <x v="4"/>
    <s v="MT EQUIPO EN FRIO A79"/>
    <s v="MT AA+MH"/>
    <s v="xmaltez"/>
    <s v="PMTRX00085261"/>
    <n v="4947929"/>
    <n v="1"/>
    <n v="95"/>
    <s v=""/>
  </r>
  <r>
    <n v="3062372"/>
    <x v="14"/>
    <s v="06-10-008-001"/>
    <x v="3"/>
    <n v="2929.84"/>
    <n v="0"/>
    <n v="2929.84"/>
    <n v="10000"/>
    <n v="100"/>
    <s v="AMPM79"/>
    <x v="4"/>
    <s v="MANTENIMIENTO BOMBA.A79"/>
    <s v="Compras"/>
    <s v="xmaltez"/>
    <s v="PMTRX00085260"/>
    <n v="4947901"/>
    <n v="1"/>
    <n v="95"/>
    <s v=""/>
  </r>
  <r>
    <n v="3063593"/>
    <x v="11"/>
    <s v="06-10-008-001"/>
    <x v="3"/>
    <n v="20609.59"/>
    <n v="0"/>
    <n v="20609.59"/>
    <n v="10000"/>
    <n v="100"/>
    <s v="AMPM80"/>
    <x v="72"/>
    <s v="PLANTA Y REP VARIAS A80"/>
    <s v="PLANTA Y REP VARIAS A80"/>
    <s v="xmaltez"/>
    <s v="PMTRX00085262"/>
    <n v="4955110"/>
    <n v="1"/>
    <n v="98"/>
    <s v=""/>
  </r>
  <r>
    <n v="3053109"/>
    <x v="0"/>
    <s v="06-10-008-001"/>
    <x v="3"/>
    <n v="13900"/>
    <n v="0"/>
    <n v="13900"/>
    <n v="10000"/>
    <n v="100"/>
    <s v="AMPM80"/>
    <x v="72"/>
    <s v="MT EQUIPO EN TIENDA A80"/>
    <s v="GUARDAMOTOR+MDO+FLETE"/>
    <s v="xmaltez"/>
    <s v="PMTRX00085101"/>
    <n v="4945101"/>
    <n v="1"/>
    <n v="98"/>
    <s v=""/>
  </r>
  <r>
    <n v="3094548"/>
    <x v="2"/>
    <s v="06-10-008-001"/>
    <x v="3"/>
    <n v="7252"/>
    <n v="0"/>
    <n v="7252"/>
    <n v="10000"/>
    <n v="100"/>
    <s v="AMPM81"/>
    <x v="86"/>
    <s v="EQUIPOS FRIOS Y A.A A81"/>
    <s v="Compras"/>
    <s v="xmaltez"/>
    <s v="PMTRX00085880"/>
    <n v="4977619"/>
    <n v="1"/>
    <n v="99"/>
    <s v=""/>
  </r>
  <r>
    <n v="3053155"/>
    <x v="9"/>
    <s v="06-10-008-001"/>
    <x v="3"/>
    <n v="5300"/>
    <n v="0"/>
    <n v="5300"/>
    <n v="10000"/>
    <n v="100"/>
    <s v="AMPM81"/>
    <x v="86"/>
    <s v="PROTECTOR DE VOLTAJE A81"/>
    <s v="PROTECTOR DE VOLTAJE A81"/>
    <s v="xmaltez"/>
    <s v="PMTRX00085124"/>
    <n v="4945803"/>
    <n v="1"/>
    <n v="99"/>
    <s v=""/>
  </r>
  <r>
    <n v="3053187"/>
    <x v="11"/>
    <s v="06-10-008-001"/>
    <x v="3"/>
    <n v="5950"/>
    <n v="0"/>
    <n v="5950"/>
    <n v="10000"/>
    <n v="100"/>
    <s v="AMPM84"/>
    <x v="75"/>
    <s v="MT EQUIPO EN FRIO A84"/>
    <s v="MT AA+CF+BEERCAVE+ROLL SALCHIC"/>
    <s v="xmaltez"/>
    <s v="PMTRX00085124"/>
    <n v="4945814"/>
    <n v="1"/>
    <n v="100"/>
    <s v=""/>
  </r>
  <r>
    <n v="3053168"/>
    <x v="11"/>
    <s v="06-10-008-001"/>
    <x v="3"/>
    <n v="1500"/>
    <n v="0"/>
    <n v="1500"/>
    <n v="10000"/>
    <n v="100"/>
    <s v="AMPM84"/>
    <x v="75"/>
    <s v="INSTA DE TUBOS LED A84"/>
    <s v="INSTA DE TUBOS LED A84"/>
    <s v="xmaltez"/>
    <s v="PMTRX00085124"/>
    <n v="4945809"/>
    <n v="1"/>
    <n v="100"/>
    <s v=""/>
  </r>
  <r>
    <n v="3068052"/>
    <x v="17"/>
    <s v="06-10-008-001"/>
    <x v="3"/>
    <n v="2563.6999999999998"/>
    <n v="0"/>
    <n v="2563.6999999999998"/>
    <n v="10000"/>
    <n v="100"/>
    <s v="AMPM86"/>
    <x v="87"/>
    <s v="MT BOMBA HIDRONEUMATICA  A86"/>
    <s v="MT BOMBA HIDRONEUMATICA  A86"/>
    <s v="xmaltez"/>
    <s v="PMTRX00085440"/>
    <n v="4958915"/>
    <n v="1"/>
    <n v="104"/>
    <s v=""/>
  </r>
  <r>
    <n v="3054279"/>
    <x v="9"/>
    <s v="06-10-008-001"/>
    <x v="3"/>
    <n v="1800"/>
    <n v="0"/>
    <n v="1800"/>
    <n v="10000"/>
    <n v="100"/>
    <s v="AMPM87"/>
    <x v="76"/>
    <s v="CORRECCION LINEAS ALIMENTA A87"/>
    <s v="CORRECCION LINEAS ALIMENTA A87"/>
    <s v="xmaltez"/>
    <s v="PMTRX00085236"/>
    <n v="4946907"/>
    <n v="1"/>
    <n v="103"/>
    <s v=""/>
  </r>
  <r>
    <n v="3053189"/>
    <x v="9"/>
    <s v="06-10-008-001"/>
    <x v="3"/>
    <n v="9680"/>
    <n v="0"/>
    <n v="9680"/>
    <n v="10000"/>
    <n v="100"/>
    <s v="AMPM87"/>
    <x v="76"/>
    <s v="MT EQUIPO EN FRIO A87"/>
    <s v="AA+CF+ROLL SALCHICHA+MH"/>
    <s v="xmaltez"/>
    <s v="PMTRX00085124"/>
    <n v="4945816"/>
    <n v="1"/>
    <n v="103"/>
    <s v=""/>
  </r>
  <r>
    <n v="3054429"/>
    <x v="24"/>
    <s v="06-10-008-001"/>
    <x v="3"/>
    <n v="6940"/>
    <n v="0"/>
    <n v="6940"/>
    <n v="10000"/>
    <n v="100"/>
    <s v="AMPM89"/>
    <x v="78"/>
    <s v="MT EQUIPO EN FRIO A89"/>
    <s v="MT AA+CF+BEERCAVE+MH"/>
    <s v="xmaltez"/>
    <s v="PMTRX00085253"/>
    <n v="4947027"/>
    <n v="1"/>
    <n v="105"/>
    <s v=""/>
  </r>
  <r>
    <n v="3105978"/>
    <x v="20"/>
    <s v="06-10-008-005"/>
    <x v="4"/>
    <n v="330.61"/>
    <n v="0"/>
    <n v="330.61"/>
    <n v="10000"/>
    <n v="100"/>
    <s v="ADMON"/>
    <x v="5"/>
    <s v="FERRETERIA JENNY/ADMON"/>
    <s v="FERRETERIA JENNY/ADMON"/>
    <s v="xmaltez"/>
    <s v="GLTRX00976526"/>
    <n v="4991234"/>
    <n v="1"/>
    <n v="27"/>
    <s v=""/>
  </r>
  <r>
    <n v="3083223"/>
    <x v="4"/>
    <s v="06-10-008-005"/>
    <x v="4"/>
    <n v="377.77"/>
    <n v="0"/>
    <n v="377.77"/>
    <n v="10000"/>
    <n v="100"/>
    <s v="ADMON"/>
    <x v="5"/>
    <s v="SICSA"/>
    <s v="Mouse-ADMON"/>
    <s v="jlopez"/>
    <s v="GLTRX00969743"/>
    <n v="4970785"/>
    <n v="1"/>
    <n v="27"/>
    <s v=""/>
  </r>
  <r>
    <n v="3068293"/>
    <x v="24"/>
    <s v="06-10-008-005"/>
    <x v="4"/>
    <n v="2075.6999999999998"/>
    <n v="0"/>
    <n v="2075.6999999999998"/>
    <n v="10000"/>
    <n v="100"/>
    <s v="ADMON"/>
    <x v="5"/>
    <s v="FORZA ACUMULADOR UPS/TIENDA"/>
    <s v="FORZA ACUMULADOR DIGITAL"/>
    <s v="xmaltez"/>
    <s v="PMTRX00085442"/>
    <n v="4958930"/>
    <n v="1"/>
    <n v="27"/>
    <s v=""/>
  </r>
  <r>
    <n v="3068044"/>
    <x v="10"/>
    <s v="06-10-008-005"/>
    <x v="4"/>
    <n v="3700"/>
    <n v="0"/>
    <n v="3700"/>
    <n v="10000"/>
    <n v="100"/>
    <s v="ADMON"/>
    <x v="5"/>
    <s v="MANT PREVENTIVO IMPRESORA-ADM"/>
    <s v="MANT PREVENTIVO IMPRESORA-ADM"/>
    <s v="jlopez"/>
    <s v="GLTRX00965212"/>
    <n v="4958908"/>
    <n v="1"/>
    <n v="27"/>
    <s v=""/>
  </r>
  <r>
    <n v="3009126"/>
    <x v="10"/>
    <s v="06-10-008-005"/>
    <x v="4"/>
    <n v="2300"/>
    <n v="0"/>
    <n v="2300"/>
    <n v="10000"/>
    <n v="100"/>
    <s v="MERCADEO"/>
    <x v="88"/>
    <s v="Cargador Dell-MERCADEO"/>
    <s v="Cargador Dell-MERCADEO"/>
    <s v="jlopez"/>
    <s v="PMTRX00084221"/>
    <n v="4411005"/>
    <n v="1"/>
    <n v="29"/>
    <s v=""/>
  </r>
  <r>
    <n v="3067805"/>
    <x v="8"/>
    <s v="06-10-008-005"/>
    <x v="4"/>
    <n v="6580"/>
    <n v="0"/>
    <n v="6580"/>
    <n v="10000"/>
    <n v="100"/>
    <s v="MONITOREO"/>
    <x v="7"/>
    <s v="MASTER TECNOLOGIES-DISCO D"/>
    <s v="DISCO DURO MONITOREO"/>
    <s v="xmaltez"/>
    <s v="GLTRX00965015"/>
    <n v="4957712"/>
    <n v="1"/>
    <n v="30"/>
    <s v=""/>
  </r>
  <r>
    <n v="3088418"/>
    <x v="23"/>
    <s v="06-10-008-005"/>
    <x v="4"/>
    <n v="5449.29"/>
    <n v="0"/>
    <n v="5449.29"/>
    <n v="10000"/>
    <n v="100"/>
    <s v="OPERACIONES"/>
    <x v="8"/>
    <s v="UPS FORZA/ MILTON GAMONEDA"/>
    <s v="UPS FORZA/ MILTON GAMONEDA"/>
    <s v="xmaltez"/>
    <s v="PMTRX00085873"/>
    <n v="4975479"/>
    <n v="1"/>
    <n v="31"/>
    <s v=""/>
  </r>
  <r>
    <n v="3084867"/>
    <x v="14"/>
    <s v="06-10-008-005"/>
    <x v="4"/>
    <n v="769.12"/>
    <n v="0"/>
    <n v="769.12"/>
    <n v="10000"/>
    <n v="100"/>
    <s v="OPERACIONES"/>
    <x v="8"/>
    <s v="SEVASA /CARTUCHO EPSON A13+RES"/>
    <s v="SEVASA /CARTUCHO EPSON RESPALD"/>
    <s v="xmaltez"/>
    <s v="GLTRX00969840"/>
    <n v="4971301"/>
    <n v="1"/>
    <n v="31"/>
    <s v=""/>
  </r>
  <r>
    <n v="3083637"/>
    <x v="5"/>
    <s v="06-10-008-005"/>
    <x v="4"/>
    <n v="111.21"/>
    <n v="0"/>
    <n v="111.21"/>
    <n v="10000"/>
    <n v="100"/>
    <s v="OPERACIONES"/>
    <x v="8"/>
    <s v="MEGA IMAGE /CABLE VIDEO TIENDA"/>
    <s v="MEGA IMAGE /CABLE VIDEO WARROM"/>
    <s v="xmaltez"/>
    <s v="GLTRX00969753"/>
    <n v="4971194"/>
    <n v="1"/>
    <n v="31"/>
    <s v=""/>
  </r>
  <r>
    <n v="3068045"/>
    <x v="10"/>
    <s v="06-10-008-005"/>
    <x v="4"/>
    <n v="3330"/>
    <n v="0"/>
    <n v="3330"/>
    <n v="10000"/>
    <n v="100"/>
    <s v="OPERACIONES"/>
    <x v="8"/>
    <s v="MANT PREVENTIVO IMPRESORA-SIST"/>
    <s v="MANT PREVENTIVO IMPRESORA-SIST"/>
    <s v="jlopez"/>
    <s v="GLTRX00965212"/>
    <n v="4958909"/>
    <n v="1"/>
    <n v="31"/>
    <s v=""/>
  </r>
  <r>
    <n v="3068030"/>
    <x v="3"/>
    <s v="06-10-008-005"/>
    <x v="4"/>
    <n v="2960"/>
    <n v="0"/>
    <n v="2960"/>
    <n v="10000"/>
    <n v="100"/>
    <s v="OPERACIONES"/>
    <x v="8"/>
    <s v="BATERIA INTERNA/CRISTAL"/>
    <s v="BATERIA INTERNA"/>
    <s v="xmaltez"/>
    <s v="PMTRX00085437"/>
    <n v="4958900"/>
    <n v="1"/>
    <n v="31"/>
    <s v=""/>
  </r>
  <r>
    <n v="3068008"/>
    <x v="17"/>
    <s v="06-10-008-005"/>
    <x v="4"/>
    <n v="713.26"/>
    <n v="0"/>
    <n v="713.26"/>
    <n v="10000"/>
    <n v="100"/>
    <s v="OPERACIONES"/>
    <x v="8"/>
    <s v="SEVASA /MAUSE-CRISTAL"/>
    <s v="SEVASA /MAUSE-CRISTAL"/>
    <s v="xmaltez"/>
    <s v="GLTRX00965015"/>
    <n v="4958848"/>
    <n v="1"/>
    <n v="31"/>
    <s v=""/>
  </r>
  <r>
    <n v="3025689"/>
    <x v="12"/>
    <s v="06-10-008-005"/>
    <x v="4"/>
    <n v="6679.17"/>
    <n v="0"/>
    <n v="6679.17"/>
    <n v="10000"/>
    <n v="100"/>
    <s v="OPERACIONES"/>
    <x v="8"/>
    <s v="AMAZON MARK* BP6MY6MA2"/>
    <s v="Equipos Computos-SISTEMAS"/>
    <s v="jlopez"/>
    <s v="GLTRX00951225"/>
    <n v="4924425"/>
    <n v="1"/>
    <n v="31"/>
    <s v=""/>
  </r>
  <r>
    <n v="3021154"/>
    <x v="9"/>
    <s v="06-10-008-005"/>
    <x v="4"/>
    <n v="1281.8499999999999"/>
    <n v="0"/>
    <n v="1281.8499999999999"/>
    <n v="10000"/>
    <n v="100"/>
    <s v="OPERACIONES"/>
    <x v="8"/>
    <s v="Importacion Equipos-SISTEMAS"/>
    <s v="Importacion Equipos-SISTEMAS"/>
    <s v="crivera"/>
    <s v="PMTRX00084376"/>
    <n v="4921314"/>
    <n v="1"/>
    <n v="31"/>
    <s v=""/>
  </r>
  <r>
    <n v="3009129"/>
    <x v="10"/>
    <s v="06-10-008-005"/>
    <x v="4"/>
    <n v="9885"/>
    <n v="0"/>
    <n v="9885"/>
    <n v="10000"/>
    <n v="100"/>
    <s v="PANADE"/>
    <x v="9"/>
    <s v="Kit Inalambrico PANADE"/>
    <s v="Kit Inalambrico PANADE"/>
    <s v="jlopez"/>
    <s v="PMTRX00084221"/>
    <n v="4411008"/>
    <n v="1"/>
    <n v="32"/>
    <s v=""/>
  </r>
  <r>
    <n v="3009134"/>
    <x v="10"/>
    <s v="06-10-008-005"/>
    <x v="4"/>
    <n v="700"/>
    <n v="0"/>
    <n v="700"/>
    <n v="10000"/>
    <n v="100"/>
    <s v="AMPM02"/>
    <x v="10"/>
    <s v="REPARACIONES DE CAMARAS"/>
    <s v="Reparacion de Camaras A02"/>
    <s v="jlopez"/>
    <s v="PMTRX00084221"/>
    <n v="4411011"/>
    <n v="1"/>
    <n v="2"/>
    <s v=""/>
  </r>
  <r>
    <n v="3009134"/>
    <x v="10"/>
    <s v="06-10-008-005"/>
    <x v="4"/>
    <n v="700"/>
    <n v="0"/>
    <n v="700"/>
    <n v="10000"/>
    <n v="100"/>
    <s v="AMPM03"/>
    <x v="11"/>
    <s v="REPARACIONES DE CAMARAS"/>
    <s v="Reparacion de Camaras A03"/>
    <s v="jlopez"/>
    <s v="PMTRX00084221"/>
    <n v="4411011"/>
    <n v="1"/>
    <n v="3"/>
    <s v=""/>
  </r>
  <r>
    <n v="3009134"/>
    <x v="10"/>
    <s v="06-10-008-005"/>
    <x v="4"/>
    <n v="700"/>
    <n v="0"/>
    <n v="700"/>
    <n v="10000"/>
    <n v="100"/>
    <s v="AMPM04"/>
    <x v="12"/>
    <s v="REPARACIONES DE CAMARAS"/>
    <s v="Reparacion de Camaras A04"/>
    <s v="jlopez"/>
    <s v="PMTRX00084221"/>
    <n v="4411011"/>
    <n v="1"/>
    <n v="4"/>
    <s v=""/>
  </r>
  <r>
    <n v="3110687"/>
    <x v="2"/>
    <s v="06-10-008-005"/>
    <x v="4"/>
    <n v="520"/>
    <n v="0"/>
    <n v="520"/>
    <n v="10000"/>
    <n v="100"/>
    <s v="AMPM05"/>
    <x v="13"/>
    <s v="Entrada: Transacción Externa."/>
    <s v="Equipos Computo"/>
    <s v="mvasquez"/>
    <s v="GLTRX00977428"/>
    <n v="4992787"/>
    <n v="1"/>
    <n v="5"/>
    <s v=""/>
  </r>
  <r>
    <n v="3110687"/>
    <x v="2"/>
    <s v="06-10-008-005"/>
    <x v="4"/>
    <n v="400"/>
    <n v="0"/>
    <n v="400"/>
    <n v="10000"/>
    <n v="100"/>
    <s v="AMPM05"/>
    <x v="13"/>
    <s v="Entrada: Transacción Externa."/>
    <s v="Equipos Computo"/>
    <s v="mvasquez"/>
    <s v="GLTRX00977428"/>
    <n v="4992787"/>
    <n v="1"/>
    <n v="5"/>
    <s v=""/>
  </r>
  <r>
    <n v="3068031"/>
    <x v="8"/>
    <s v="06-10-008-005"/>
    <x v="4"/>
    <n v="1739"/>
    <n v="0"/>
    <n v="1739"/>
    <n v="10000"/>
    <n v="100"/>
    <s v="AMPM05"/>
    <x v="13"/>
    <s v="CARGADOR DELL A05"/>
    <s v="CARGADOR DELL ORIGINAL A05"/>
    <s v="xmaltez"/>
    <s v="PMTRX00085437"/>
    <n v="4958901"/>
    <n v="1"/>
    <n v="5"/>
    <s v=""/>
  </r>
  <r>
    <n v="3067945"/>
    <x v="19"/>
    <s v="06-10-008-005"/>
    <x v="4"/>
    <n v="1648.1"/>
    <n v="0"/>
    <n v="1648.1"/>
    <n v="10000"/>
    <n v="100"/>
    <s v="AMPM05"/>
    <x v="13"/>
    <s v="GLOBAL SISTEMAS/ A05"/>
    <s v="FAN PARA DELL/BISAGRA A05"/>
    <s v="xmaltez"/>
    <s v="GLTRX00965015"/>
    <n v="4957762"/>
    <n v="1"/>
    <n v="5"/>
    <s v=""/>
  </r>
  <r>
    <n v="3009128"/>
    <x v="10"/>
    <s v="06-10-008-005"/>
    <x v="4"/>
    <n v="2960"/>
    <n v="0"/>
    <n v="2960"/>
    <n v="10000"/>
    <n v="100"/>
    <s v="AMPM05"/>
    <x v="13"/>
    <s v="Bateria Interna A05"/>
    <s v="Bateria Interna A05"/>
    <s v="jlopez"/>
    <s v="PMTRX00084221"/>
    <n v="4411007"/>
    <n v="1"/>
    <n v="5"/>
    <s v=""/>
  </r>
  <r>
    <n v="3083712"/>
    <x v="23"/>
    <s v="06-10-008-005"/>
    <x v="4"/>
    <n v="926.75"/>
    <n v="0"/>
    <n v="926.75"/>
    <n v="10000"/>
    <n v="100"/>
    <s v="AMPM12"/>
    <x v="17"/>
    <s v="MEGA IMAGE/ TECLADO A12/13"/>
    <s v="MEGA IMAGE/TECLA+MAUSE A12"/>
    <s v="xmaltez"/>
    <s v="GLTRX00969840"/>
    <n v="4971283"/>
    <n v="1"/>
    <n v="12"/>
    <s v=""/>
  </r>
  <r>
    <n v="3107978"/>
    <x v="23"/>
    <s v="06-10-008-005"/>
    <x v="4"/>
    <n v="0"/>
    <n v="926.75"/>
    <n v="-926.75"/>
    <n v="10000"/>
    <n v="100"/>
    <s v="AMPM13"/>
    <x v="18"/>
    <s v="MEGA IMAGE/ TECLADO A12/13"/>
    <s v="MEGA IMAGE/ TECLADO A12/13"/>
    <s v="xmaltez"/>
    <s v="GLTRX00977305"/>
    <n v="4992085"/>
    <n v="1"/>
    <n v="13"/>
    <s v=""/>
  </r>
  <r>
    <n v="3107976"/>
    <x v="5"/>
    <s v="06-10-008-005"/>
    <x v="4"/>
    <n v="0"/>
    <n v="111.21"/>
    <n v="-111.21"/>
    <n v="10000"/>
    <n v="100"/>
    <s v="AMPM13"/>
    <x v="18"/>
    <s v="MEGA IMAGE /CABLE VIDEO TIENDA"/>
    <s v="MEGA IMAGE /CABLE VIDEO TIENDA"/>
    <s v="xmaltez"/>
    <s v="GLTRX00977305"/>
    <n v="4992084"/>
    <n v="1"/>
    <n v="13"/>
    <s v=""/>
  </r>
  <r>
    <n v="3107975"/>
    <x v="9"/>
    <s v="06-10-008-005"/>
    <x v="4"/>
    <n v="0"/>
    <n v="3534.69"/>
    <n v="-3534.69"/>
    <n v="10000"/>
    <n v="100"/>
    <s v="AMPM13"/>
    <x v="18"/>
    <s v="SINSA RADIAL/ A13"/>
    <s v="SINSA RADIAL/ A13"/>
    <s v="xmaltez"/>
    <s v="GLTRX00977305"/>
    <n v="4992082"/>
    <n v="1"/>
    <n v="13"/>
    <s v=""/>
  </r>
  <r>
    <n v="3107974"/>
    <x v="9"/>
    <s v="06-10-008-005"/>
    <x v="4"/>
    <n v="0"/>
    <n v="4935"/>
    <n v="-4935"/>
    <n v="10000"/>
    <n v="100"/>
    <s v="AMPM13"/>
    <x v="18"/>
    <s v="MASTER TECNOLOGIES- A13"/>
    <s v="MONITOR DELL A13 MB"/>
    <s v="xmaltez"/>
    <s v="GLTRX00977305"/>
    <n v="4992081"/>
    <n v="1"/>
    <n v="13"/>
    <s v=""/>
  </r>
  <r>
    <n v="3107972"/>
    <x v="7"/>
    <s v="06-10-008-005"/>
    <x v="4"/>
    <n v="0"/>
    <n v="1977.58"/>
    <n v="-1977.58"/>
    <n v="10000"/>
    <n v="100"/>
    <s v="AMPM13"/>
    <x v="18"/>
    <s v="SINSA RADIAL / TIENDAS"/>
    <s v="SINSA RADIAL / TIENDAS"/>
    <s v="xmaltez"/>
    <s v="GLTRX00977305"/>
    <n v="4992080"/>
    <n v="1"/>
    <n v="13"/>
    <s v=""/>
  </r>
  <r>
    <n v="3107968"/>
    <x v="9"/>
    <s v="06-10-008-005"/>
    <x v="4"/>
    <n v="0"/>
    <n v="1528"/>
    <n v="-1528"/>
    <n v="10000"/>
    <n v="100"/>
    <s v="AMPM13"/>
    <x v="18"/>
    <s v="MASTER TECNOLOGIES- A13"/>
    <s v="JACK+FACE PLATE A13-CAJA"/>
    <s v="xmaltez"/>
    <s v="GLTRX00977305"/>
    <n v="4992079"/>
    <n v="1"/>
    <n v="13"/>
    <s v=""/>
  </r>
  <r>
    <n v="3107967"/>
    <x v="9"/>
    <s v="06-10-008-005"/>
    <x v="4"/>
    <n v="0"/>
    <n v="1528"/>
    <n v="-1528"/>
    <n v="10000"/>
    <n v="100"/>
    <s v="AMPM13"/>
    <x v="18"/>
    <s v="MASTER TECNOLOGIES- A13"/>
    <s v="JACK+FACE PLATE A13-CAJA"/>
    <s v="xmaltez"/>
    <s v="GLTRX00977305"/>
    <n v="4992075"/>
    <n v="1"/>
    <n v="13"/>
    <s v=""/>
  </r>
  <r>
    <n v="3088470"/>
    <x v="22"/>
    <s v="06-10-008-005"/>
    <x v="4"/>
    <n v="2075.7199999999998"/>
    <n v="0"/>
    <n v="2075.7199999999998"/>
    <n v="10000"/>
    <n v="100"/>
    <s v="AMPM13"/>
    <x v="18"/>
    <s v="forza acumulador tiendas"/>
    <s v="forza acumulador tiendas A13 C"/>
    <s v="xmaltez"/>
    <s v="PMTRX00085875"/>
    <n v="4975511"/>
    <n v="1"/>
    <n v="13"/>
    <s v=""/>
  </r>
  <r>
    <n v="3084867"/>
    <x v="14"/>
    <s v="06-10-008-005"/>
    <x v="4"/>
    <n v="384.55"/>
    <n v="0"/>
    <n v="384.55"/>
    <n v="10000"/>
    <n v="100"/>
    <s v="AMPM13"/>
    <x v="18"/>
    <s v="SEVASA /CARTUCHO EPSON A13+RES"/>
    <s v="SEVASA /CARTUCHO EPSON A13"/>
    <s v="xmaltez"/>
    <s v="GLTRX00969840"/>
    <n v="4971301"/>
    <n v="1"/>
    <n v="13"/>
    <s v=""/>
  </r>
  <r>
    <n v="3084178"/>
    <x v="7"/>
    <s v="06-10-008-005"/>
    <x v="4"/>
    <n v="1155.1300000000001"/>
    <n v="0"/>
    <n v="1155.1300000000001"/>
    <n v="10000"/>
    <n v="100"/>
    <s v="AMPM13"/>
    <x v="18"/>
    <s v="SEVASA/JACK CAT A13"/>
    <s v="SEVASA/JACK CAT A13"/>
    <s v="xmaltez"/>
    <s v="GLTRX00969840"/>
    <n v="4971296"/>
    <n v="1"/>
    <n v="13"/>
    <s v=""/>
  </r>
  <r>
    <n v="3083727"/>
    <x v="7"/>
    <s v="06-10-008-005"/>
    <x v="4"/>
    <n v="269.64"/>
    <n v="0"/>
    <n v="269.64"/>
    <n v="10000"/>
    <n v="100"/>
    <s v="AMPM13"/>
    <x v="18"/>
    <s v="SEVASA/CONECTOR A13-90-91-66"/>
    <s v="SEVASA/CONECTOR A13"/>
    <s v="xmaltez"/>
    <s v="GLTRX00969840"/>
    <n v="4971290"/>
    <n v="1"/>
    <n v="13"/>
    <s v=""/>
  </r>
  <r>
    <n v="3083712"/>
    <x v="23"/>
    <s v="06-10-008-005"/>
    <x v="4"/>
    <n v="926.75"/>
    <n v="0"/>
    <n v="926.75"/>
    <n v="10000"/>
    <n v="100"/>
    <s v="AMPM13"/>
    <x v="18"/>
    <s v="MEGA IMAGE/ TECLADO A12/13"/>
    <s v="MEGA IMAGE/TECLADO +MAUSE A13"/>
    <s v="xmaltez"/>
    <s v="GLTRX00969840"/>
    <n v="4971283"/>
    <n v="1"/>
    <n v="13"/>
    <s v=""/>
  </r>
  <r>
    <n v="3083637"/>
    <x v="5"/>
    <s v="06-10-008-005"/>
    <x v="4"/>
    <n v="111.21"/>
    <n v="0"/>
    <n v="111.21"/>
    <n v="10000"/>
    <n v="100"/>
    <s v="AMPM13"/>
    <x v="18"/>
    <s v="MEGA IMAGE /CABLE VIDEO TIENDA"/>
    <s v="MEGA IMAGE /CABLE VIDEO A13"/>
    <s v="xmaltez"/>
    <s v="GLTRX00969753"/>
    <n v="4971194"/>
    <n v="1"/>
    <n v="13"/>
    <s v=""/>
  </r>
  <r>
    <n v="3067927"/>
    <x v="9"/>
    <s v="06-10-008-005"/>
    <x v="4"/>
    <n v="1119.1199999999999"/>
    <n v="0"/>
    <n v="1119.1199999999999"/>
    <n v="10000"/>
    <n v="100"/>
    <s v="AMPM13"/>
    <x v="18"/>
    <s v="SINSA RADIAL/ A13"/>
    <s v="CINTA DOBLE A13"/>
    <s v="xmaltez"/>
    <s v="GLTRX00965015"/>
    <n v="4957743"/>
    <n v="1"/>
    <n v="13"/>
    <s v=""/>
  </r>
  <r>
    <n v="3067927"/>
    <x v="9"/>
    <s v="06-10-008-005"/>
    <x v="4"/>
    <n v="457.9"/>
    <n v="0"/>
    <n v="457.9"/>
    <n v="10000"/>
    <n v="100"/>
    <s v="AMPM13"/>
    <x v="18"/>
    <s v="SINSA RADIAL/ A13"/>
    <s v="TAPA ELECTRICA A13"/>
    <s v="xmaltez"/>
    <s v="GLTRX00965015"/>
    <n v="4957743"/>
    <n v="1"/>
    <n v="13"/>
    <s v=""/>
  </r>
  <r>
    <n v="3067927"/>
    <x v="9"/>
    <s v="06-10-008-005"/>
    <x v="4"/>
    <n v="1957.67"/>
    <n v="0"/>
    <n v="1957.67"/>
    <n v="10000"/>
    <n v="100"/>
    <s v="AMPM13"/>
    <x v="18"/>
    <s v="SINSA RADIAL/ A13"/>
    <s v="4 CANALETAS A13"/>
    <s v="xmaltez"/>
    <s v="GLTRX00965015"/>
    <n v="4957743"/>
    <n v="1"/>
    <n v="13"/>
    <s v=""/>
  </r>
  <r>
    <n v="3067893"/>
    <x v="7"/>
    <s v="06-10-008-005"/>
    <x v="4"/>
    <n v="19.89"/>
    <n v="0"/>
    <n v="19.89"/>
    <n v="10000"/>
    <n v="100"/>
    <s v="AMPM13"/>
    <x v="18"/>
    <s v="SINSA RADIAL / TIENDAS"/>
    <s v="TORNILLO GYPSUM A13"/>
    <s v="xmaltez"/>
    <s v="GLTRX00965015"/>
    <n v="4957737"/>
    <n v="1"/>
    <n v="13"/>
    <s v=""/>
  </r>
  <r>
    <n v="3067893"/>
    <x v="7"/>
    <s v="06-10-008-005"/>
    <x v="4"/>
    <n v="1957.69"/>
    <n v="0"/>
    <n v="1957.69"/>
    <n v="10000"/>
    <n v="100"/>
    <s v="AMPM13"/>
    <x v="18"/>
    <s v="SINSA RADIAL / TIENDAS"/>
    <s v="4 CANALETAS A13"/>
    <s v="xmaltez"/>
    <s v="GLTRX00965015"/>
    <n v="4957737"/>
    <n v="1"/>
    <n v="13"/>
    <s v=""/>
  </r>
  <r>
    <n v="3067863"/>
    <x v="9"/>
    <s v="06-10-008-005"/>
    <x v="4"/>
    <n v="4935"/>
    <n v="0"/>
    <n v="4935"/>
    <n v="10000"/>
    <n v="100"/>
    <s v="AMPM13"/>
    <x v="18"/>
    <s v="MASTER TECNOLOGIES- A13"/>
    <s v="MONITOR DELL A13 MB"/>
    <s v="xmaltez"/>
    <s v="GLTRX00965015"/>
    <n v="4957714"/>
    <n v="1"/>
    <n v="13"/>
    <s v=""/>
  </r>
  <r>
    <n v="3067862"/>
    <x v="9"/>
    <s v="06-10-008-005"/>
    <x v="4"/>
    <n v="1528"/>
    <n v="0"/>
    <n v="1528"/>
    <n v="10000"/>
    <n v="100"/>
    <s v="AMPM13"/>
    <x v="18"/>
    <s v="MASTER TECNOLOGIES- A13"/>
    <s v="JACK+FACE PLATE A13-CAJA"/>
    <s v="xmaltez"/>
    <s v="GLTRX00965015"/>
    <n v="4957713"/>
    <n v="1"/>
    <n v="13"/>
    <s v=""/>
  </r>
  <r>
    <n v="3009134"/>
    <x v="10"/>
    <s v="06-10-008-005"/>
    <x v="4"/>
    <n v="700"/>
    <n v="0"/>
    <n v="700"/>
    <n v="10000"/>
    <n v="100"/>
    <s v="AMPM15"/>
    <x v="82"/>
    <s v="REPARACIONES DE CAMARAS"/>
    <s v="Reparacion de Camaras A15"/>
    <s v="jlopez"/>
    <s v="PMTRX00084221"/>
    <n v="4411011"/>
    <n v="1"/>
    <n v="15"/>
    <s v=""/>
  </r>
  <r>
    <n v="3106171"/>
    <x v="2"/>
    <s v="06-10-008-005"/>
    <x v="4"/>
    <n v="1850"/>
    <n v="0"/>
    <n v="1850"/>
    <n v="10000"/>
    <n v="100"/>
    <s v="AMPM18"/>
    <x v="21"/>
    <s v="MANT PREVENTIVO IMPRESORA"/>
    <s v="MANT PREVENTIVO IMPRESORA 18"/>
    <s v="jlopez"/>
    <s v="GLTRX00976559"/>
    <n v="4991322"/>
    <n v="1"/>
    <n v="18"/>
    <s v=""/>
  </r>
  <r>
    <n v="3077692"/>
    <x v="10"/>
    <s v="06-10-008-005"/>
    <x v="4"/>
    <n v="0"/>
    <n v="29485"/>
    <n v="-29485"/>
    <n v="10000"/>
    <n v="100"/>
    <s v="AMPM19"/>
    <x v="22"/>
    <s v="INST CABLEADO-PROGRAMACION A19"/>
    <s v="INST CABLEADO-PROGRAMACION A19"/>
    <s v="archivo01"/>
    <s v="GLTRX00967958"/>
    <n v="4966753"/>
    <n v="1"/>
    <n v="19"/>
    <s v=""/>
  </r>
  <r>
    <n v="3009132"/>
    <x v="10"/>
    <s v="06-10-008-005"/>
    <x v="4"/>
    <n v="29485"/>
    <n v="0"/>
    <n v="29485"/>
    <n v="10000"/>
    <n v="100"/>
    <s v="AMPM19"/>
    <x v="22"/>
    <s v="Inst Cableado-Programacion A19"/>
    <s v="Inst Cableado-Programacion A19"/>
    <s v="jlopez"/>
    <s v="PMTRX00084221"/>
    <n v="4411009"/>
    <n v="1"/>
    <n v="19"/>
    <s v=""/>
  </r>
  <r>
    <n v="3009133"/>
    <x v="10"/>
    <s v="06-10-008-005"/>
    <x v="4"/>
    <n v="3600"/>
    <n v="0"/>
    <n v="3600"/>
    <n v="10000"/>
    <n v="100"/>
    <s v="AMPM21"/>
    <x v="24"/>
    <s v="Suministro de cables A21"/>
    <s v="Suministro de cables A21"/>
    <s v="jlopez"/>
    <s v="PMTRX00084221"/>
    <n v="4411010"/>
    <n v="1"/>
    <n v="21"/>
    <s v=""/>
  </r>
  <r>
    <n v="3009134"/>
    <x v="10"/>
    <s v="06-10-008-005"/>
    <x v="4"/>
    <n v="1400"/>
    <n v="0"/>
    <n v="1400"/>
    <n v="10000"/>
    <n v="100"/>
    <s v="AMPM23"/>
    <x v="25"/>
    <s v="REPARACIONES DE CAMARAS"/>
    <s v="Reparacion de Camaras A23"/>
    <s v="jlopez"/>
    <s v="PMTRX00084221"/>
    <n v="4411011"/>
    <n v="1"/>
    <n v="23"/>
    <s v=""/>
  </r>
  <r>
    <n v="3110689"/>
    <x v="2"/>
    <s v="06-10-008-005"/>
    <x v="4"/>
    <n v="320"/>
    <n v="0"/>
    <n v="320"/>
    <n v="10000"/>
    <n v="100"/>
    <s v="AMPM25"/>
    <x v="26"/>
    <s v="Entrada: Transacción Externa."/>
    <s v="Micro SD 32GB A25"/>
    <s v="mvasquez"/>
    <s v="GLTRX00977430"/>
    <n v="4992789"/>
    <n v="1"/>
    <n v="25"/>
    <s v=""/>
  </r>
  <r>
    <n v="3110689"/>
    <x v="2"/>
    <s v="06-10-008-005"/>
    <x v="4"/>
    <n v="463.6"/>
    <n v="0"/>
    <n v="463.6"/>
    <n v="10000"/>
    <n v="100"/>
    <s v="AMPM25"/>
    <x v="26"/>
    <s v="Entrada: Transacción Externa."/>
    <s v="Memoria USB A25"/>
    <s v="mvasquez"/>
    <s v="GLTRX00977430"/>
    <n v="4992789"/>
    <n v="1"/>
    <n v="25"/>
    <s v=""/>
  </r>
  <r>
    <n v="3106171"/>
    <x v="2"/>
    <s v="06-10-008-005"/>
    <x v="4"/>
    <n v="1850"/>
    <n v="0"/>
    <n v="1850"/>
    <n v="10000"/>
    <n v="100"/>
    <s v="AMPM25"/>
    <x v="26"/>
    <s v="MANT PREVENTIVO IMPRESORA"/>
    <s v="MANT PREVENTIVO IMPRESORA 25"/>
    <s v="jlopez"/>
    <s v="GLTRX00976559"/>
    <n v="4991322"/>
    <n v="1"/>
    <n v="25"/>
    <s v=""/>
  </r>
  <r>
    <n v="3068293"/>
    <x v="24"/>
    <s v="06-10-008-005"/>
    <x v="4"/>
    <n v="2075.6999999999998"/>
    <n v="0"/>
    <n v="2075.6999999999998"/>
    <n v="10000"/>
    <n v="100"/>
    <s v="AMPM29"/>
    <x v="29"/>
    <s v="FORZA ACUMULADOR UPS/TIENDA"/>
    <s v="ACUMULADOR A29"/>
    <s v="xmaltez"/>
    <s v="PMTRX00085442"/>
    <n v="4958930"/>
    <n v="1"/>
    <n v="36"/>
    <s v=""/>
  </r>
  <r>
    <n v="3009134"/>
    <x v="10"/>
    <s v="06-10-008-005"/>
    <x v="4"/>
    <n v="700"/>
    <n v="0"/>
    <n v="700"/>
    <n v="10000"/>
    <n v="100"/>
    <s v="AMPM29"/>
    <x v="29"/>
    <s v="REPARACIONES DE CAMARAS"/>
    <s v="Reparacion de Camaras A29"/>
    <s v="jlopez"/>
    <s v="PMTRX00084221"/>
    <n v="4411011"/>
    <n v="1"/>
    <n v="36"/>
    <s v=""/>
  </r>
  <r>
    <n v="3067935"/>
    <x v="16"/>
    <s v="06-10-008-005"/>
    <x v="4"/>
    <n v="1850"/>
    <n v="0"/>
    <n v="1850"/>
    <n v="10000"/>
    <n v="100"/>
    <s v="AMPM39"/>
    <x v="39"/>
    <s v="GEEK PLAY / MT EQUIPO"/>
    <s v="SERV TECNICO HARDWARE A39"/>
    <s v="xmaltez"/>
    <s v="GLTRX00965015"/>
    <n v="4957748"/>
    <n v="1"/>
    <n v="48"/>
    <s v=""/>
  </r>
  <r>
    <n v="3110687"/>
    <x v="2"/>
    <s v="06-10-008-005"/>
    <x v="4"/>
    <n v="500"/>
    <n v="0"/>
    <n v="500"/>
    <n v="10000"/>
    <n v="100"/>
    <s v="AMPM43"/>
    <x v="89"/>
    <s v="Entrada: Transacción Externa."/>
    <s v="Equipos Computo"/>
    <s v="mvasquez"/>
    <s v="GLTRX00977428"/>
    <n v="4992787"/>
    <n v="1"/>
    <n v="58"/>
    <s v=""/>
  </r>
  <r>
    <n v="3110687"/>
    <x v="2"/>
    <s v="06-10-008-005"/>
    <x v="4"/>
    <n v="550"/>
    <n v="0"/>
    <n v="550"/>
    <n v="10000"/>
    <n v="100"/>
    <s v="AMPM45"/>
    <x v="83"/>
    <s v="Entrada: Transacción Externa."/>
    <s v="Equipos Computo"/>
    <s v="mvasquez"/>
    <s v="GLTRX00977428"/>
    <n v="4992787"/>
    <n v="1"/>
    <n v="59"/>
    <s v=""/>
  </r>
  <r>
    <n v="3110687"/>
    <x v="2"/>
    <s v="06-10-008-005"/>
    <x v="4"/>
    <n v="500"/>
    <n v="0"/>
    <n v="500"/>
    <n v="10000"/>
    <n v="100"/>
    <s v="AMPM45"/>
    <x v="83"/>
    <s v="Entrada: Transacción Externa."/>
    <s v="Equipos Computo"/>
    <s v="mvasquez"/>
    <s v="GLTRX00977428"/>
    <n v="4992787"/>
    <n v="1"/>
    <n v="59"/>
    <s v=""/>
  </r>
  <r>
    <n v="3088470"/>
    <x v="22"/>
    <s v="06-10-008-005"/>
    <x v="4"/>
    <n v="2075.7199999999998"/>
    <n v="0"/>
    <n v="2075.7199999999998"/>
    <n v="10000"/>
    <n v="100"/>
    <s v="AMPM55"/>
    <x v="51"/>
    <s v="forza acumulador tiendas"/>
    <s v="forza acumulador tiendas A55"/>
    <s v="xmaltez"/>
    <s v="PMTRX00085875"/>
    <n v="4975511"/>
    <n v="1"/>
    <n v="71"/>
    <s v=""/>
  </r>
  <r>
    <n v="3088467"/>
    <x v="22"/>
    <s v="06-10-008-005"/>
    <x v="4"/>
    <n v="896.64"/>
    <n v="0"/>
    <n v="896.64"/>
    <n v="10000"/>
    <n v="100"/>
    <s v="AMPM55"/>
    <x v="51"/>
    <s v="FORZA PROTECTOR A55"/>
    <s v="FORZA PROTECTOR A55"/>
    <s v="xmaltez"/>
    <s v="PMTRX00085875"/>
    <n v="4975508"/>
    <n v="1"/>
    <n v="71"/>
    <s v=""/>
  </r>
  <r>
    <n v="3083637"/>
    <x v="5"/>
    <s v="06-10-008-005"/>
    <x v="4"/>
    <n v="111.21"/>
    <n v="0"/>
    <n v="111.21"/>
    <n v="10000"/>
    <n v="100"/>
    <s v="AMPM55"/>
    <x v="51"/>
    <s v="MEGA IMAGE /CABLE VIDEO TIENDA"/>
    <s v="MEGA IMAGE /CABLE VIDEO A55"/>
    <s v="xmaltez"/>
    <s v="GLTRX00969753"/>
    <n v="4971194"/>
    <n v="1"/>
    <n v="71"/>
    <s v=""/>
  </r>
  <r>
    <n v="3067888"/>
    <x v="11"/>
    <s v="06-10-008-005"/>
    <x v="4"/>
    <n v="1295"/>
    <n v="0"/>
    <n v="1295"/>
    <n v="10000"/>
    <n v="100"/>
    <s v="AMPM56"/>
    <x v="85"/>
    <s v="GEEK PLAY/MT IMPRESORA A56"/>
    <s v="MT IMPRESORA A56"/>
    <s v="xmaltez"/>
    <s v="GLTRX00965015"/>
    <n v="4957728"/>
    <n v="1"/>
    <n v="72"/>
    <s v=""/>
  </r>
  <r>
    <n v="3110685"/>
    <x v="2"/>
    <s v="06-10-008-005"/>
    <x v="4"/>
    <n v="400"/>
    <n v="0"/>
    <n v="400"/>
    <n v="10000"/>
    <n v="100"/>
    <s v="AMPM60"/>
    <x v="54"/>
    <s v="Entrada: Transacción Externa."/>
    <s v="Reparacion de tablet peya"/>
    <s v="mvasquez"/>
    <s v="GLTRX00977426"/>
    <n v="4992785"/>
    <n v="1"/>
    <n v="76"/>
    <s v=""/>
  </r>
  <r>
    <n v="3083725"/>
    <x v="24"/>
    <s v="06-10-008-005"/>
    <x v="4"/>
    <n v="384.55"/>
    <n v="0"/>
    <n v="384.55"/>
    <n v="10000"/>
    <n v="100"/>
    <s v="AMPM60"/>
    <x v="54"/>
    <s v="SEVASA/CARTUCHO A60-85-83"/>
    <s v="SEVASA/CARTUCHO A60-"/>
    <s v="xmaltez"/>
    <s v="GLTRX00969840"/>
    <n v="4971288"/>
    <n v="1"/>
    <n v="76"/>
    <s v=""/>
  </r>
  <r>
    <n v="3110685"/>
    <x v="2"/>
    <s v="06-10-008-005"/>
    <x v="4"/>
    <n v="200"/>
    <n v="0"/>
    <n v="200"/>
    <n v="10000"/>
    <n v="100"/>
    <s v="AMPM61"/>
    <x v="55"/>
    <s v="Entrada: Transacción Externa."/>
    <s v="Compra de cargador coorporativ"/>
    <s v="mvasquez"/>
    <s v="GLTRX00977426"/>
    <n v="4992785"/>
    <n v="1"/>
    <n v="77"/>
    <s v=""/>
  </r>
  <r>
    <n v="3067935"/>
    <x v="16"/>
    <s v="06-10-008-005"/>
    <x v="4"/>
    <n v="1295"/>
    <n v="0"/>
    <n v="1295"/>
    <n v="10000"/>
    <n v="100"/>
    <s v="AMPM65"/>
    <x v="58"/>
    <s v="GEEK PLAY / MT EQUIPO"/>
    <s v="SERV TECNICO HARDWARE A65"/>
    <s v="xmaltez"/>
    <s v="GLTRX00965015"/>
    <n v="4957748"/>
    <n v="1"/>
    <n v="81"/>
    <s v=""/>
  </r>
  <r>
    <n v="3083727"/>
    <x v="7"/>
    <s v="06-10-008-005"/>
    <x v="4"/>
    <n v="269.64"/>
    <n v="0"/>
    <n v="269.64"/>
    <n v="10000"/>
    <n v="100"/>
    <s v="AMPM66"/>
    <x v="59"/>
    <s v="SEVASA/CONECTOR A13-90-91-66"/>
    <s v="SEVASA/CONECTOR A66"/>
    <s v="xmaltez"/>
    <s v="GLTRX00969840"/>
    <n v="4971290"/>
    <n v="1"/>
    <n v="82"/>
    <s v=""/>
  </r>
  <r>
    <n v="3068369"/>
    <x v="17"/>
    <s v="06-10-008-005"/>
    <x v="4"/>
    <n v="2075.7199999999998"/>
    <n v="0"/>
    <n v="2075.7199999999998"/>
    <n v="10000"/>
    <n v="100"/>
    <s v="AMPM66"/>
    <x v="59"/>
    <s v="FORZA ACUMULADOR UPS A66"/>
    <s v="FORZA ACUMULADOR UPS A66"/>
    <s v="xmaltez"/>
    <s v="PMTRX00085442"/>
    <n v="4958931"/>
    <n v="1"/>
    <n v="82"/>
    <s v=""/>
  </r>
  <r>
    <n v="3083637"/>
    <x v="5"/>
    <s v="06-10-008-005"/>
    <x v="4"/>
    <n v="111.21"/>
    <n v="0"/>
    <n v="111.21"/>
    <n v="10000"/>
    <n v="100"/>
    <s v="AMPM70"/>
    <x v="63"/>
    <s v="MEGA IMAGE /CABLE VIDEO TIENDA"/>
    <s v="MEGA IMAGE /CABLE VIDEO A70"/>
    <s v="xmaltez"/>
    <s v="GLTRX00969753"/>
    <n v="4971194"/>
    <n v="1"/>
    <n v="87"/>
    <s v=""/>
  </r>
  <r>
    <n v="3083559"/>
    <x v="5"/>
    <s v="06-10-008-005"/>
    <x v="4"/>
    <n v="8425"/>
    <n v="0"/>
    <n v="8425"/>
    <n v="10000"/>
    <n v="100"/>
    <s v="AMPM70"/>
    <x v="63"/>
    <s v="MT CAMARAS A70"/>
    <s v="MT CAMARAS,FUENTE DE PODER"/>
    <s v="xmaltez"/>
    <s v="PMTRX00085722"/>
    <n v="4971108"/>
    <n v="1"/>
    <n v="87"/>
    <s v=""/>
  </r>
  <r>
    <n v="3083637"/>
    <x v="5"/>
    <s v="06-10-008-005"/>
    <x v="4"/>
    <n v="111.21"/>
    <n v="0"/>
    <n v="111.21"/>
    <n v="10000"/>
    <n v="100"/>
    <s v="AMPM71"/>
    <x v="64"/>
    <s v="MEGA IMAGE /CABLE VIDEO TIENDA"/>
    <s v="MEGA IMAGE /CABLE VIDEO A71"/>
    <s v="xmaltez"/>
    <s v="GLTRX00969753"/>
    <n v="4971194"/>
    <n v="1"/>
    <n v="86"/>
    <s v=""/>
  </r>
  <r>
    <n v="3009127"/>
    <x v="10"/>
    <s v="06-10-008-005"/>
    <x v="4"/>
    <n v="1739"/>
    <n v="0"/>
    <n v="1739"/>
    <n v="10000"/>
    <n v="100"/>
    <s v="AMPM77"/>
    <x v="70"/>
    <s v="Cargador Dell-A77"/>
    <s v="Cargador Dell-A77"/>
    <s v="jlopez"/>
    <s v="PMTRX00084221"/>
    <n v="4411006"/>
    <n v="1"/>
    <n v="92"/>
    <s v=""/>
  </r>
  <r>
    <n v="3088414"/>
    <x v="23"/>
    <s v="06-10-008-005"/>
    <x v="4"/>
    <n v="2300"/>
    <n v="0"/>
    <n v="2300"/>
    <n v="10000"/>
    <n v="100"/>
    <s v="AMPM78"/>
    <x v="71"/>
    <s v="CARGADOR DELL A78"/>
    <s v="CARGADOR DELL A78"/>
    <s v="xmaltez"/>
    <s v="PMTRX00085873"/>
    <n v="4975478"/>
    <n v="1"/>
    <n v="94"/>
    <s v=""/>
  </r>
  <r>
    <n v="3083725"/>
    <x v="24"/>
    <s v="06-10-008-005"/>
    <x v="4"/>
    <n v="384.55"/>
    <n v="0"/>
    <n v="384.55"/>
    <n v="10000"/>
    <n v="100"/>
    <s v="AMPM83"/>
    <x v="74"/>
    <s v="SEVASA/CARTUCHO A60-85-83"/>
    <s v="SEVASA/CARTUCHO A-83"/>
    <s v="xmaltez"/>
    <s v="GLTRX00969840"/>
    <n v="4971288"/>
    <n v="1"/>
    <n v="97"/>
    <s v=""/>
  </r>
  <r>
    <n v="3083725"/>
    <x v="24"/>
    <s v="06-10-008-005"/>
    <x v="4"/>
    <n v="384.55"/>
    <n v="0"/>
    <n v="384.55"/>
    <n v="10000"/>
    <n v="100"/>
    <s v="AMPM85"/>
    <x v="90"/>
    <s v="SEVASA/CARTUCHO A60-85-83"/>
    <s v="SEVASA/CARTUCHO A85"/>
    <s v="xmaltez"/>
    <s v="GLTRX00969840"/>
    <n v="4971288"/>
    <n v="1"/>
    <n v="101"/>
    <s v=""/>
  </r>
  <r>
    <n v="3009134"/>
    <x v="10"/>
    <s v="06-10-008-005"/>
    <x v="4"/>
    <n v="700"/>
    <n v="0"/>
    <n v="700"/>
    <n v="10000"/>
    <n v="100"/>
    <s v="AMPM85"/>
    <x v="90"/>
    <s v="REPARACIONES DE CAMARAS"/>
    <s v="Reparacion de Camaras A85"/>
    <s v="jlopez"/>
    <s v="PMTRX00084221"/>
    <n v="4411011"/>
    <n v="1"/>
    <n v="101"/>
    <s v=""/>
  </r>
  <r>
    <n v="3084869"/>
    <x v="14"/>
    <s v="06-10-008-005"/>
    <x v="4"/>
    <n v="1924.46"/>
    <n v="0"/>
    <n v="1924.46"/>
    <n v="10000"/>
    <n v="100"/>
    <s v="AMPM90"/>
    <x v="91"/>
    <s v="SEVASA/MONITOR SOPORTE A90+91"/>
    <s v="SEVASA/2MONITOR SOPORTE A90"/>
    <s v="xmaltez"/>
    <s v="GLTRX00969840"/>
    <n v="4971305"/>
    <n v="1"/>
    <n v="107"/>
    <s v=""/>
  </r>
  <r>
    <n v="3083727"/>
    <x v="7"/>
    <s v="06-10-008-005"/>
    <x v="4"/>
    <n v="269.64"/>
    <n v="0"/>
    <n v="269.64"/>
    <n v="10000"/>
    <n v="100"/>
    <s v="AMPM90"/>
    <x v="91"/>
    <s v="SEVASA/CONECTOR A13-90-91-66"/>
    <s v="SEVASA/CONECTOR A90"/>
    <s v="xmaltez"/>
    <s v="GLTRX00969840"/>
    <n v="4971290"/>
    <n v="1"/>
    <n v="107"/>
    <s v=""/>
  </r>
  <r>
    <n v="3067980"/>
    <x v="7"/>
    <s v="06-10-008-005"/>
    <x v="4"/>
    <n v="6946.56"/>
    <n v="0"/>
    <n v="6946.56"/>
    <n v="10000"/>
    <n v="100"/>
    <s v="AMPM90"/>
    <x v="91"/>
    <s v="CONICO/CAJA DE DINERO"/>
    <s v="CONICO/CAJA DE DINERO A90"/>
    <s v="xmaltez"/>
    <s v="GLTRX00965015"/>
    <n v="4958847"/>
    <n v="1"/>
    <n v="107"/>
    <s v=""/>
  </r>
  <r>
    <n v="3088473"/>
    <x v="22"/>
    <s v="06-10-008-005"/>
    <x v="4"/>
    <n v="12233.1"/>
    <n v="0"/>
    <n v="12233.1"/>
    <n v="10000"/>
    <n v="100"/>
    <s v="AMPM91"/>
    <x v="92"/>
    <s v="UPS+SWITCH8 PUERTO A91"/>
    <s v="UPS+SWITCH8 PUERTO A91"/>
    <s v="xmaltez"/>
    <s v="PMTRX00085875"/>
    <n v="4975514"/>
    <n v="1"/>
    <n v="106"/>
    <s v=""/>
  </r>
  <r>
    <n v="3084869"/>
    <x v="14"/>
    <s v="06-10-008-005"/>
    <x v="4"/>
    <n v="1924.46"/>
    <n v="0"/>
    <n v="1924.46"/>
    <n v="10000"/>
    <n v="100"/>
    <s v="AMPM91"/>
    <x v="92"/>
    <s v="SEVASA/MONITOR SOPORTE A90+91"/>
    <s v="SEVASA/MONITOR SOPORTE A91"/>
    <s v="xmaltez"/>
    <s v="GLTRX00969840"/>
    <n v="4971305"/>
    <n v="1"/>
    <n v="106"/>
    <s v=""/>
  </r>
  <r>
    <n v="3083727"/>
    <x v="7"/>
    <s v="06-10-008-005"/>
    <x v="4"/>
    <n v="269.64"/>
    <n v="0"/>
    <n v="269.64"/>
    <n v="10000"/>
    <n v="100"/>
    <s v="AMPM91"/>
    <x v="92"/>
    <s v="SEVASA/CONECTOR A13-90-91-66"/>
    <s v="SEVASA/CONECTOR A91"/>
    <s v="xmaltez"/>
    <s v="GLTRX00969840"/>
    <n v="4971290"/>
    <n v="1"/>
    <n v="106"/>
    <s v=""/>
  </r>
  <r>
    <n v="3083653"/>
    <x v="5"/>
    <s v="06-10-008-005"/>
    <x v="4"/>
    <n v="5585"/>
    <n v="0"/>
    <n v="5585"/>
    <n v="10000"/>
    <n v="100"/>
    <s v="AMPM91"/>
    <x v="92"/>
    <s v="MASTER TECNOLV/TINAJITAS A91"/>
    <s v="CABLE DE REDTINAJITAS A91"/>
    <s v="xmaltez"/>
    <s v="GLTRX00969753"/>
    <n v="4971222"/>
    <n v="1"/>
    <n v="106"/>
    <s v=""/>
  </r>
  <r>
    <n v="3078106"/>
    <x v="22"/>
    <s v="06-10-008-005"/>
    <x v="4"/>
    <n v="1497.6"/>
    <n v="0"/>
    <n v="1497.6"/>
    <n v="10000"/>
    <n v="100"/>
    <s v="AMPM91"/>
    <x v="92"/>
    <s v="CONICO/ RAUTER A91"/>
    <s v="CONICO/ RAUTER A91"/>
    <s v="xmaltez"/>
    <s v="GLTRX00967963"/>
    <n v="4967209"/>
    <n v="1"/>
    <n v="106"/>
    <s v=""/>
  </r>
  <r>
    <n v="3067980"/>
    <x v="7"/>
    <s v="06-10-008-005"/>
    <x v="4"/>
    <n v="6946.56"/>
    <n v="0"/>
    <n v="6946.56"/>
    <n v="10000"/>
    <n v="100"/>
    <s v="AMPM91"/>
    <x v="92"/>
    <s v="CONICO/CAJA DE DINERO"/>
    <s v="CONICO/CAJA DE DINERO A91"/>
    <s v="xmaltez"/>
    <s v="GLTRX00965015"/>
    <n v="4958847"/>
    <n v="1"/>
    <n v="106"/>
    <s v=""/>
  </r>
  <r>
    <n v="3067893"/>
    <x v="7"/>
    <s v="06-10-008-005"/>
    <x v="4"/>
    <n v="150.81"/>
    <n v="0"/>
    <n v="150.81"/>
    <n v="10000"/>
    <n v="100"/>
    <s v="AMPM91"/>
    <x v="92"/>
    <s v="SINSA RADIAL / TIENDAS"/>
    <s v="4 PLACAS MONTAJE A91"/>
    <s v="xmaltez"/>
    <s v="GLTRX00965015"/>
    <n v="4957737"/>
    <n v="1"/>
    <n v="106"/>
    <s v=""/>
  </r>
  <r>
    <n v="3067893"/>
    <x v="7"/>
    <s v="06-10-008-005"/>
    <x v="4"/>
    <n v="2447.06"/>
    <n v="0"/>
    <n v="2447.06"/>
    <n v="10000"/>
    <n v="100"/>
    <s v="AMPM91"/>
    <x v="92"/>
    <s v="SINSA RADIAL / TIENDAS"/>
    <s v="5 CANALETAS A91"/>
    <s v="xmaltez"/>
    <s v="GLTRX00965015"/>
    <n v="4957737"/>
    <n v="1"/>
    <n v="106"/>
    <s v=""/>
  </r>
  <r>
    <n v="3067893"/>
    <x v="7"/>
    <s v="06-10-008-005"/>
    <x v="4"/>
    <n v="373.79"/>
    <n v="0"/>
    <n v="373.79"/>
    <n v="10000"/>
    <n v="100"/>
    <s v="AMPM91"/>
    <x v="92"/>
    <s v="SINSA RADIAL / TIENDAS"/>
    <s v="4 CAJAS PLASTICA A91"/>
    <s v="xmaltez"/>
    <s v="GLTRX00965015"/>
    <n v="4957737"/>
    <n v="1"/>
    <n v="10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4CDBE-0714-4E59-8972-0903EBBD0D2B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5" showAll="0"/>
    <pivotField axis="axisPage" multipleItemSelectionAllowed="1" showAll="0">
      <items count="26">
        <item x="10"/>
        <item x="3"/>
        <item x="8"/>
        <item x="12"/>
        <item x="9"/>
        <item x="0"/>
        <item x="4"/>
        <item x="16"/>
        <item x="19"/>
        <item x="20"/>
        <item x="18"/>
        <item x="11"/>
        <item x="6"/>
        <item x="17"/>
        <item x="14"/>
        <item x="5"/>
        <item x="7"/>
        <item x="24"/>
        <item x="13"/>
        <item x="15"/>
        <item x="2"/>
        <item x="21"/>
        <item x="22"/>
        <item x="23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4">
        <item x="5"/>
        <item x="6"/>
        <item x="88"/>
        <item x="7"/>
        <item sd="0" x="8"/>
        <item x="9"/>
        <item x="1"/>
        <item x="10"/>
        <item x="11"/>
        <item x="12"/>
        <item x="13"/>
        <item x="14"/>
        <item x="80"/>
        <item x="15"/>
        <item x="16"/>
        <item x="81"/>
        <item x="17"/>
        <item x="18"/>
        <item x="19"/>
        <item x="82"/>
        <item x="20"/>
        <item sd="0" x="21"/>
        <item x="22"/>
        <item x="23"/>
        <item x="24"/>
        <item x="25"/>
        <item x="26"/>
        <item x="27"/>
        <item x="0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89"/>
        <item x="43"/>
        <item x="83"/>
        <item x="44"/>
        <item x="45"/>
        <item x="84"/>
        <item x="46"/>
        <item x="47"/>
        <item x="48"/>
        <item x="3"/>
        <item x="49"/>
        <item x="50"/>
        <item x="51"/>
        <item x="85"/>
        <item x="52"/>
        <item x="53"/>
        <item x="79"/>
        <item x="54"/>
        <item x="55"/>
        <item x="56"/>
        <item x="57"/>
        <item x="2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4"/>
        <item x="72"/>
        <item x="86"/>
        <item x="73"/>
        <item x="74"/>
        <item x="75"/>
        <item x="90"/>
        <item x="87"/>
        <item x="76"/>
        <item x="77"/>
        <item x="78"/>
        <item x="91"/>
        <item x="9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6"/>
  </dataFields>
  <formats count="39">
    <format dxfId="105">
      <pivotArea outline="0" collapsedLevelsAreSubtotals="1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0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95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94">
      <pivotArea dataOnly="0" labelOnly="1" grandCol="1"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field="10" type="button" dataOnly="0" labelOnly="1" outline="0" axis="axisCol" fieldPosition="0"/>
    </format>
    <format dxfId="89">
      <pivotArea type="topRight" dataOnly="0" labelOnly="1" outline="0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84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83">
      <pivotArea dataOnly="0" labelOnly="1" grandCol="1" outline="0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0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73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72">
      <pivotArea dataOnly="0" labelOnly="1" grandCol="1" outline="0" fieldPosition="0"/>
    </format>
    <format dxfId="71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70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69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68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67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A0E27-9F67-4769-BA85-ADE3C863CFE8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A5:B13" firstHeaderRow="1" firstDataRow="1" firstDataCol="1" rowPageCount="2" colPageCount="1"/>
  <pivotFields count="19">
    <pivotField showAll="0"/>
    <pivotField numFmtId="14" showAll="0"/>
    <pivotField axis="axisPage" showAll="0">
      <items count="6">
        <item x="3"/>
        <item x="1"/>
        <item x="2"/>
        <item x="4"/>
        <item x="0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89">
        <item h="1" sd="0" x="3"/>
        <item h="1" sd="0" x="8"/>
        <item h="1" sd="0" x="9"/>
        <item h="1" sd="0" x="10"/>
        <item h="1" sd="0" x="11"/>
        <item h="1" sd="0" x="12"/>
        <item h="1" sd="0" x="69"/>
        <item h="1" sd="0" x="13"/>
        <item h="1" sd="0" x="14"/>
        <item h="1" sd="0" x="70"/>
        <item h="1" sd="0" x="15"/>
        <item h="1" sd="0" x="16"/>
        <item h="1" sd="0" x="17"/>
        <item h="1" sd="0" x="71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0"/>
        <item h="1" sd="0" x="26"/>
        <item h="1" sd="0" x="27"/>
        <item h="1" sd="0" x="72"/>
        <item h="1" sd="0" x="28"/>
        <item h="1" sd="0" x="29"/>
        <item h="1" sd="0" x="30"/>
        <item h="1" sd="0" x="31"/>
        <item h="1" sd="0" x="73"/>
        <item h="1" sd="0" x="74"/>
        <item h="1" sd="0" x="32"/>
        <item h="1" sd="0" x="33"/>
        <item h="1" sd="0" x="34"/>
        <item h="1" sd="0" x="35"/>
        <item h="1" sd="0" x="36"/>
        <item h="1" sd="0" x="37"/>
        <item sd="0" x="38"/>
        <item h="1" sd="0" x="75"/>
        <item h="1" sd="0" x="39"/>
        <item sd="0" x="76"/>
        <item sd="0" x="77"/>
        <item h="1" sd="0" x="40"/>
        <item h="1" sd="0" x="67"/>
        <item h="1" sd="0" x="1"/>
        <item h="1" sd="0" x="78"/>
        <item h="1" sd="0" x="41"/>
        <item h="1" sd="0" x="42"/>
        <item h="1" sd="0" x="79"/>
        <item h="1" sd="0" x="43"/>
        <item h="1" sd="0" x="44"/>
        <item h="1" sd="0" x="68"/>
        <item h="1" sd="0" x="45"/>
        <item h="1" sd="0" x="46"/>
        <item h="1" sd="0" x="47"/>
        <item h="1" sd="0" x="48"/>
        <item h="1" sd="0" x="49"/>
        <item h="1" sd="0" x="50"/>
        <item h="1" sd="0" x="51"/>
        <item sd="0" x="80"/>
        <item h="1" sd="0" x="52"/>
        <item sd="0" x="53"/>
        <item h="1" sd="0" x="54"/>
        <item h="1" sd="0" x="55"/>
        <item h="1" sd="0" x="56"/>
        <item h="1" sd="0" x="57"/>
        <item sd="0" x="58"/>
        <item h="1" sd="0" x="59"/>
        <item h="1" sd="0" x="60"/>
        <item h="1" sd="0" x="2"/>
        <item sd="0" x="61"/>
        <item h="1" sd="0" x="81"/>
        <item h="1" sd="0" x="62"/>
        <item h="1" sd="0" x="63"/>
        <item h="1" sd="0" x="64"/>
        <item h="1" sd="0" x="85"/>
        <item h="1" sd="0" x="82"/>
        <item h="1" sd="0" x="83"/>
        <item h="1" sd="0" x="65"/>
        <item h="1" sd="0" x="66"/>
        <item h="1" sd="0" x="86"/>
        <item h="1" sd="0" x="87"/>
        <item h="1" sd="0" x="4"/>
        <item h="1" sd="0" x="84"/>
        <item h="1" sd="0" x="5"/>
        <item h="1" sd="0" x="6"/>
        <item h="1" sd="0" x="7"/>
        <item t="default" sd="0"/>
      </items>
    </pivotField>
    <pivotField showAll="0"/>
    <pivotField showAll="0"/>
    <pivotField axis="axisRow" showAll="0">
      <items count="308">
        <item x="58"/>
        <item x="184"/>
        <item x="222"/>
        <item x="192"/>
        <item x="219"/>
        <item x="183"/>
        <item x="13"/>
        <item x="50"/>
        <item x="62"/>
        <item x="79"/>
        <item x="80"/>
        <item x="81"/>
        <item x="90"/>
        <item x="99"/>
        <item x="108"/>
        <item x="117"/>
        <item x="141"/>
        <item x="143"/>
        <item x="142"/>
        <item x="145"/>
        <item x="146"/>
        <item x="144"/>
        <item x="140"/>
        <item x="153"/>
        <item x="158"/>
        <item x="174"/>
        <item x="179"/>
        <item x="243"/>
        <item x="250"/>
        <item x="251"/>
        <item x="252"/>
        <item x="253"/>
        <item x="254"/>
        <item x="255"/>
        <item x="258"/>
        <item x="272"/>
        <item x="273"/>
        <item x="274"/>
        <item x="275"/>
        <item x="277"/>
        <item x="290"/>
        <item x="294"/>
        <item x="0"/>
        <item x="1"/>
        <item x="2"/>
        <item x="3"/>
        <item x="4"/>
        <item x="8"/>
        <item x="9"/>
        <item x="12"/>
        <item x="15"/>
        <item x="16"/>
        <item x="17"/>
        <item x="20"/>
        <item x="23"/>
        <item x="24"/>
        <item x="31"/>
        <item x="34"/>
        <item x="35"/>
        <item x="36"/>
        <item x="40"/>
        <item x="41"/>
        <item x="42"/>
        <item x="44"/>
        <item x="47"/>
        <item x="48"/>
        <item x="49"/>
        <item x="54"/>
        <item x="55"/>
        <item x="57"/>
        <item x="59"/>
        <item x="63"/>
        <item x="66"/>
        <item x="74"/>
        <item x="76"/>
        <item x="82"/>
        <item x="83"/>
        <item x="87"/>
        <item x="93"/>
        <item x="96"/>
        <item x="103"/>
        <item x="110"/>
        <item x="112"/>
        <item x="114"/>
        <item x="123"/>
        <item x="124"/>
        <item x="125"/>
        <item x="126"/>
        <item x="127"/>
        <item x="128"/>
        <item x="129"/>
        <item x="147"/>
        <item x="148"/>
        <item x="149"/>
        <item x="150"/>
        <item x="151"/>
        <item x="152"/>
        <item x="155"/>
        <item x="156"/>
        <item x="157"/>
        <item x="160"/>
        <item x="161"/>
        <item x="162"/>
        <item x="165"/>
        <item x="166"/>
        <item x="170"/>
        <item x="172"/>
        <item x="175"/>
        <item x="176"/>
        <item x="180"/>
        <item x="181"/>
        <item x="182"/>
        <item x="185"/>
        <item x="186"/>
        <item x="187"/>
        <item x="188"/>
        <item x="189"/>
        <item x="190"/>
        <item x="191"/>
        <item x="193"/>
        <item x="194"/>
        <item x="195"/>
        <item x="198"/>
        <item x="203"/>
        <item x="204"/>
        <item x="206"/>
        <item x="208"/>
        <item x="209"/>
        <item x="210"/>
        <item x="211"/>
        <item x="212"/>
        <item x="214"/>
        <item x="216"/>
        <item x="217"/>
        <item x="220"/>
        <item x="221"/>
        <item x="223"/>
        <item x="224"/>
        <item x="225"/>
        <item x="226"/>
        <item x="227"/>
        <item x="228"/>
        <item x="230"/>
        <item x="231"/>
        <item x="232"/>
        <item x="235"/>
        <item x="236"/>
        <item x="237"/>
        <item x="239"/>
        <item x="240"/>
        <item x="5"/>
        <item x="6"/>
        <item x="7"/>
        <item x="10"/>
        <item x="11"/>
        <item x="14"/>
        <item x="18"/>
        <item x="19"/>
        <item x="21"/>
        <item x="22"/>
        <item x="25"/>
        <item x="26"/>
        <item x="27"/>
        <item x="28"/>
        <item x="29"/>
        <item x="30"/>
        <item x="32"/>
        <item x="33"/>
        <item x="37"/>
        <item x="38"/>
        <item x="39"/>
        <item x="43"/>
        <item x="45"/>
        <item x="46"/>
        <item x="51"/>
        <item x="52"/>
        <item x="53"/>
        <item x="56"/>
        <item x="60"/>
        <item x="61"/>
        <item x="64"/>
        <item x="65"/>
        <item x="67"/>
        <item x="68"/>
        <item x="69"/>
        <item x="70"/>
        <item x="71"/>
        <item x="72"/>
        <item x="73"/>
        <item x="75"/>
        <item x="77"/>
        <item x="78"/>
        <item x="84"/>
        <item x="85"/>
        <item x="86"/>
        <item x="88"/>
        <item x="89"/>
        <item x="91"/>
        <item x="92"/>
        <item x="94"/>
        <item x="95"/>
        <item x="97"/>
        <item x="98"/>
        <item x="100"/>
        <item x="101"/>
        <item x="102"/>
        <item x="104"/>
        <item x="105"/>
        <item x="106"/>
        <item x="107"/>
        <item x="109"/>
        <item x="111"/>
        <item x="113"/>
        <item x="115"/>
        <item x="116"/>
        <item x="118"/>
        <item x="119"/>
        <item x="120"/>
        <item x="121"/>
        <item x="122"/>
        <item x="130"/>
        <item x="131"/>
        <item x="132"/>
        <item x="133"/>
        <item x="134"/>
        <item x="135"/>
        <item x="136"/>
        <item x="137"/>
        <item x="138"/>
        <item x="139"/>
        <item x="154"/>
        <item x="159"/>
        <item x="163"/>
        <item x="164"/>
        <item x="167"/>
        <item x="168"/>
        <item x="169"/>
        <item x="171"/>
        <item x="173"/>
        <item x="177"/>
        <item x="178"/>
        <item x="196"/>
        <item x="197"/>
        <item x="199"/>
        <item x="200"/>
        <item x="201"/>
        <item x="202"/>
        <item x="205"/>
        <item x="207"/>
        <item x="213"/>
        <item x="215"/>
        <item x="218"/>
        <item x="229"/>
        <item x="233"/>
        <item x="234"/>
        <item x="238"/>
        <item x="241"/>
        <item x="242"/>
        <item x="244"/>
        <item x="245"/>
        <item x="246"/>
        <item x="247"/>
        <item x="248"/>
        <item x="249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8">
    <i>
      <x v="38"/>
    </i>
    <i>
      <x v="41"/>
    </i>
    <i>
      <x v="42"/>
    </i>
    <i>
      <x v="60"/>
    </i>
    <i>
      <x v="62"/>
    </i>
    <i>
      <x v="67"/>
    </i>
    <i>
      <x v="71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 numFmtId="166"/>
  </dataFields>
  <formats count="1"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381BC-E910-4A67-BAB1-9D038C118166}" name="Tabla2" displayName="Tabla2" ref="A1:S468" totalsRowShown="0">
  <autoFilter ref="A1:S468" xr:uid="{64D381BC-E910-4A67-BAB1-9D038C118166}"/>
  <tableColumns count="19">
    <tableColumn id="1" xr3:uid="{3AF5F2C7-4916-41BC-B1F8-FC1AE135DA91}" name="PDA"/>
    <tableColumn id="2" xr3:uid="{8EB3E473-F5C3-4D14-AA20-FA85405451F5}" name="FECHA" dataDxfId="66"/>
    <tableColumn id="3" xr3:uid="{C8E9E56D-B7B6-4866-8AC2-81995D62AFC1}" name="CUENTA"/>
    <tableColumn id="4" xr3:uid="{55652426-6EFC-4C83-8E53-B1EAD0ACE952}" name="NOMBRE"/>
    <tableColumn id="5" xr3:uid="{E790DD79-83C3-4551-A50F-225CC6353C3C}" name="DEBITO"/>
    <tableColumn id="6" xr3:uid="{25A79C7B-1AA9-4276-B295-5F1B6E191BFB}" name="CREDITO"/>
    <tableColumn id="7" xr3:uid="{F07E4C84-5C5F-4EFE-8E20-CD6BA0CBF436}" name="SALDO"/>
    <tableColumn id="8" xr3:uid="{F7B5A91D-9C66-49D3-90A7-D2EC60369814}" name="ASIGNA"/>
    <tableColumn id="9" xr3:uid="{D7AB80E2-2FAC-4CE9-8F5A-77FB6A35B819}" name="% ASIGNACION"/>
    <tableColumn id="10" xr3:uid="{658C4CF9-3A3E-4E7D-9604-3A1F49C36D6C}" name="C-COSTO"/>
    <tableColumn id="11" xr3:uid="{9528045A-BE3A-4769-B906-089B84782F0E}" name="COST-DESCRIPCION"/>
    <tableColumn id="12" xr3:uid="{27FD8FF7-F15A-4960-94BF-35FD65C334C7}" name="REFERENCIA"/>
    <tableColumn id="13" xr3:uid="{024252A3-E53A-41A1-9BEC-2ED6D3C5009C}" name="DESCRIPCION"/>
    <tableColumn id="14" xr3:uid="{8833263E-D39E-419A-A0FE-4CCA9AD42160}" name="CONTAB"/>
    <tableColumn id="15" xr3:uid="{B582DA0A-2299-459F-BB96-F8E5B64CE708}" name="AUDITORIA"/>
    <tableColumn id="16" xr3:uid="{6555D8E3-26CD-4F04-A92E-155DED326D40}" name="aaGLHdrID"/>
    <tableColumn id="17" xr3:uid="{F262921E-3E99-48B9-958B-508C38B35233}" name="aaAcctClassID"/>
    <tableColumn id="18" xr3:uid="{0DB41125-C5E2-44E8-9598-2FA066F7ED9D}" name="aaTrxCodeID"/>
    <tableColumn id="19" xr3:uid="{BE126911-4F81-4EDA-BC7D-373F324E682B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D11" sqref="D11"/>
    </sheetView>
  </sheetViews>
  <sheetFormatPr baseColWidth="10" defaultRowHeight="12.75" x14ac:dyDescent="0.2"/>
  <cols>
    <col min="1" max="1" width="13.7109375" bestFit="1" customWidth="1"/>
    <col min="2" max="2" width="15" bestFit="1" customWidth="1"/>
    <col min="3" max="3" width="12.140625" bestFit="1" customWidth="1"/>
    <col min="4" max="4" width="14" bestFit="1" customWidth="1"/>
  </cols>
  <sheetData>
    <row r="1" spans="1:5" ht="13.5" thickBot="1" x14ac:dyDescent="0.25"/>
    <row r="2" spans="1:5" x14ac:dyDescent="0.2">
      <c r="A2" s="2" t="s">
        <v>16</v>
      </c>
      <c r="B2" s="3" t="s">
        <v>17</v>
      </c>
      <c r="C2" s="3" t="s">
        <v>20</v>
      </c>
      <c r="D2" s="1" t="s">
        <v>19</v>
      </c>
    </row>
    <row r="3" spans="1:5" x14ac:dyDescent="0.2">
      <c r="A3" s="5" t="s">
        <v>18</v>
      </c>
      <c r="B3" s="6">
        <f>+Mantenimiento!CQ24</f>
        <v>1960134.094038751</v>
      </c>
      <c r="C3" s="6">
        <f>+GETPIVOTDATA("SALDO",Mantenimiento!$A$5)</f>
        <v>2020994.5399999996</v>
      </c>
      <c r="D3" s="7">
        <f>+C3-B3</f>
        <v>60860.445961248595</v>
      </c>
      <c r="E3" s="9"/>
    </row>
    <row r="4" spans="1:5" x14ac:dyDescent="0.2">
      <c r="B4" s="4"/>
      <c r="C4" s="8" t="s">
        <v>77</v>
      </c>
      <c r="D4" s="8">
        <f>SUM(D3:D3)</f>
        <v>60860.445961248595</v>
      </c>
    </row>
  </sheetData>
  <autoFilter ref="A2:D2" xr:uid="{00000000-0009-0000-0000-000000000000}">
    <sortState ref="A3:D6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DT36"/>
  <sheetViews>
    <sheetView showGridLines="0" topLeftCell="A10" zoomScaleNormal="100" workbookViewId="0">
      <pane xSplit="1" topLeftCell="AU1" activePane="topRight" state="frozen"/>
      <selection pane="topRight" activeCell="AU24" sqref="AU24:CE24"/>
    </sheetView>
  </sheetViews>
  <sheetFormatPr baseColWidth="10" defaultColWidth="9.28515625" defaultRowHeight="12.75" outlineLevelRow="1" x14ac:dyDescent="0.2"/>
  <cols>
    <col min="1" max="1" width="29.28515625" style="19" bestFit="1" customWidth="1"/>
    <col min="2" max="2" width="18.85546875" style="19" hidden="1" customWidth="1"/>
    <col min="3" max="3" width="7.42578125" style="19" hidden="1" customWidth="1"/>
    <col min="4" max="4" width="9.140625" style="19" hidden="1" customWidth="1"/>
    <col min="5" max="5" width="9.85546875" style="19" hidden="1" customWidth="1"/>
    <col min="6" max="6" width="10.85546875" style="19" hidden="1" customWidth="1"/>
    <col min="7" max="7" width="9.28515625" style="19" hidden="1" customWidth="1"/>
    <col min="8" max="46" width="8.7109375" style="19" hidden="1" customWidth="1"/>
    <col min="47" max="47" width="8.7109375" style="19" bestFit="1" customWidth="1"/>
    <col min="48" max="49" width="8.7109375" style="19" hidden="1" customWidth="1"/>
    <col min="50" max="51" width="8.7109375" style="19" bestFit="1" customWidth="1"/>
    <col min="52" max="70" width="8.7109375" style="19" hidden="1" customWidth="1"/>
    <col min="71" max="71" width="8.7109375" style="19" bestFit="1" customWidth="1"/>
    <col min="72" max="72" width="8.7109375" style="19" hidden="1" customWidth="1"/>
    <col min="73" max="73" width="8.7109375" style="19" bestFit="1" customWidth="1"/>
    <col min="74" max="78" width="8.7109375" style="19" hidden="1" customWidth="1"/>
    <col min="79" max="79" width="8.7109375" style="19" bestFit="1" customWidth="1"/>
    <col min="80" max="82" width="8.7109375" style="19" hidden="1" customWidth="1"/>
    <col min="83" max="83" width="8.7109375" style="19" bestFit="1" customWidth="1"/>
    <col min="84" max="94" width="8.7109375" style="19" hidden="1" customWidth="1"/>
    <col min="95" max="95" width="10.7109375" style="19" hidden="1" customWidth="1"/>
    <col min="96" max="96" width="21.42578125" style="19" hidden="1" customWidth="1"/>
    <col min="97" max="98" width="9.140625" style="50" hidden="1" customWidth="1"/>
    <col min="99" max="99" width="7.42578125" style="19" hidden="1" customWidth="1"/>
    <col min="100" max="100" width="12.42578125" bestFit="1" customWidth="1"/>
    <col min="101" max="101" width="7.85546875" bestFit="1" customWidth="1"/>
    <col min="102" max="102" width="8.5703125" bestFit="1" customWidth="1"/>
    <col min="103" max="103" width="9.28515625" bestFit="1" customWidth="1"/>
    <col min="104" max="104" width="10.28515625" bestFit="1" customWidth="1"/>
    <col min="105" max="105" width="8.7109375" bestFit="1" customWidth="1"/>
    <col min="106" max="106" width="7.140625" bestFit="1" customWidth="1"/>
    <col min="107" max="108" width="9.28515625" bestFit="1" customWidth="1"/>
    <col min="109" max="109" width="8.5703125" bestFit="1" customWidth="1"/>
    <col min="110" max="112" width="7" bestFit="1" customWidth="1"/>
    <col min="113" max="113" width="7.140625" bestFit="1" customWidth="1"/>
    <col min="114" max="115" width="9.28515625" bestFit="1" customWidth="1"/>
    <col min="116" max="116" width="8.5703125" bestFit="1" customWidth="1"/>
    <col min="117" max="117" width="7" bestFit="1" customWidth="1"/>
    <col min="118" max="120" width="12.42578125" bestFit="1" customWidth="1"/>
    <col min="121" max="123" width="7.7109375" bestFit="1" customWidth="1"/>
    <col min="125" max="16384" width="9.28515625" style="19"/>
  </cols>
  <sheetData>
    <row r="1" spans="1:124" customFormat="1" x14ac:dyDescent="0.2"/>
    <row r="2" spans="1:124" customFormat="1" x14ac:dyDescent="0.2"/>
    <row r="3" spans="1:124" x14ac:dyDescent="0.2">
      <c r="A3" s="54" t="s">
        <v>23</v>
      </c>
      <c r="B3" s="44" t="s">
        <v>112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</row>
    <row r="4" spans="1:124" customFormat="1" x14ac:dyDescent="0.2"/>
    <row r="5" spans="1:124" ht="12" customHeight="1" x14ac:dyDescent="0.2">
      <c r="A5" s="54" t="s">
        <v>24</v>
      </c>
      <c r="B5" s="54" t="s">
        <v>0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51" t="s">
        <v>69</v>
      </c>
      <c r="CS5" s="51"/>
      <c r="CT5" s="51"/>
      <c r="CU5" s="51"/>
    </row>
    <row r="6" spans="1:124" s="20" customFormat="1" x14ac:dyDescent="0.2">
      <c r="A6" s="54" t="s">
        <v>1</v>
      </c>
      <c r="B6" s="44" t="s">
        <v>3</v>
      </c>
      <c r="C6" s="44" t="s">
        <v>42</v>
      </c>
      <c r="D6" s="44" t="s">
        <v>121</v>
      </c>
      <c r="E6" s="44" t="s">
        <v>116</v>
      </c>
      <c r="F6" s="44" t="s">
        <v>4</v>
      </c>
      <c r="G6" s="44" t="s">
        <v>43</v>
      </c>
      <c r="H6" s="44" t="s">
        <v>28</v>
      </c>
      <c r="I6" s="44" t="s">
        <v>44</v>
      </c>
      <c r="J6" s="44" t="s">
        <v>29</v>
      </c>
      <c r="K6" s="44" t="s">
        <v>56</v>
      </c>
      <c r="L6" s="44" t="s">
        <v>45</v>
      </c>
      <c r="M6" s="44" t="s">
        <v>54</v>
      </c>
      <c r="N6" s="44" t="s">
        <v>5</v>
      </c>
      <c r="O6" s="44" t="s">
        <v>46</v>
      </c>
      <c r="P6" s="44" t="s">
        <v>6</v>
      </c>
      <c r="Q6" s="44" t="s">
        <v>113</v>
      </c>
      <c r="R6" s="44" t="s">
        <v>26</v>
      </c>
      <c r="S6" s="44" t="s">
        <v>7</v>
      </c>
      <c r="T6" s="44" t="s">
        <v>47</v>
      </c>
      <c r="U6" s="44" t="s">
        <v>30</v>
      </c>
      <c r="V6" s="44" t="s">
        <v>31</v>
      </c>
      <c r="W6" s="44" t="s">
        <v>8</v>
      </c>
      <c r="X6" s="44" t="s">
        <v>48</v>
      </c>
      <c r="Y6" s="44" t="s">
        <v>32</v>
      </c>
      <c r="Z6" s="44" t="s">
        <v>49</v>
      </c>
      <c r="AA6" s="44" t="s">
        <v>33</v>
      </c>
      <c r="AB6" s="44" t="s">
        <v>34</v>
      </c>
      <c r="AC6" s="44" t="s">
        <v>35</v>
      </c>
      <c r="AD6" s="44" t="s">
        <v>9</v>
      </c>
      <c r="AE6" s="44" t="s">
        <v>36</v>
      </c>
      <c r="AF6" s="44" t="s">
        <v>37</v>
      </c>
      <c r="AG6" s="44" t="s">
        <v>10</v>
      </c>
      <c r="AH6" s="44" t="s">
        <v>62</v>
      </c>
      <c r="AI6" s="44" t="s">
        <v>50</v>
      </c>
      <c r="AJ6" s="44" t="s">
        <v>38</v>
      </c>
      <c r="AK6" s="44" t="s">
        <v>27</v>
      </c>
      <c r="AL6" s="44" t="s">
        <v>39</v>
      </c>
      <c r="AM6" s="44" t="s">
        <v>40</v>
      </c>
      <c r="AN6" s="44" t="s">
        <v>21</v>
      </c>
      <c r="AO6" s="44" t="s">
        <v>41</v>
      </c>
      <c r="AP6" s="44" t="s">
        <v>55</v>
      </c>
      <c r="AQ6" s="44" t="s">
        <v>63</v>
      </c>
      <c r="AR6" s="44" t="s">
        <v>22</v>
      </c>
      <c r="AS6" s="44" t="s">
        <v>51</v>
      </c>
      <c r="AT6" s="44" t="s">
        <v>52</v>
      </c>
      <c r="AU6" s="44" t="s">
        <v>53</v>
      </c>
      <c r="AV6" s="44" t="s">
        <v>57</v>
      </c>
      <c r="AW6" s="44" t="s">
        <v>60</v>
      </c>
      <c r="AX6" s="44" t="s">
        <v>58</v>
      </c>
      <c r="AY6" s="44" t="s">
        <v>59</v>
      </c>
      <c r="AZ6" s="44" t="s">
        <v>111</v>
      </c>
      <c r="BA6" s="44" t="s">
        <v>65</v>
      </c>
      <c r="BB6" s="44" t="s">
        <v>66</v>
      </c>
      <c r="BC6" s="44" t="s">
        <v>67</v>
      </c>
      <c r="BD6" s="44" t="s">
        <v>64</v>
      </c>
      <c r="BE6" s="44" t="s">
        <v>68</v>
      </c>
      <c r="BF6" s="44" t="s">
        <v>74</v>
      </c>
      <c r="BG6" s="44" t="s">
        <v>75</v>
      </c>
      <c r="BH6" s="44" t="s">
        <v>107</v>
      </c>
      <c r="BI6" s="44" t="s">
        <v>110</v>
      </c>
      <c r="BJ6" s="44" t="s">
        <v>115</v>
      </c>
      <c r="BK6" s="44" t="s">
        <v>117</v>
      </c>
      <c r="BL6" s="44" t="s">
        <v>118</v>
      </c>
      <c r="BM6" s="44" t="s">
        <v>119</v>
      </c>
      <c r="BN6" s="44" t="s">
        <v>120</v>
      </c>
      <c r="BO6" s="44" t="s">
        <v>122</v>
      </c>
      <c r="BP6" s="44" t="s">
        <v>123</v>
      </c>
      <c r="BQ6" s="44" t="s">
        <v>124</v>
      </c>
      <c r="BR6" s="44" t="s">
        <v>125</v>
      </c>
      <c r="BS6" s="44" t="s">
        <v>127</v>
      </c>
      <c r="BT6" s="44" t="s">
        <v>128</v>
      </c>
      <c r="BU6" s="44" t="s">
        <v>129</v>
      </c>
      <c r="BV6" s="44" t="s">
        <v>130</v>
      </c>
      <c r="BW6" s="44" t="s">
        <v>131</v>
      </c>
      <c r="BX6" s="44" t="s">
        <v>134</v>
      </c>
      <c r="BY6" s="44" t="s">
        <v>136</v>
      </c>
      <c r="BZ6" s="44" t="s">
        <v>137</v>
      </c>
      <c r="CA6" s="44" t="s">
        <v>172</v>
      </c>
      <c r="CB6" s="44" t="s">
        <v>173</v>
      </c>
      <c r="CC6" s="44" t="s">
        <v>174</v>
      </c>
      <c r="CD6" s="44" t="s">
        <v>175</v>
      </c>
      <c r="CE6" s="44" t="s">
        <v>176</v>
      </c>
      <c r="CF6" s="44" t="s">
        <v>177</v>
      </c>
      <c r="CG6" s="44" t="s">
        <v>178</v>
      </c>
      <c r="CH6" s="44" t="s">
        <v>179</v>
      </c>
      <c r="CI6" s="44" t="s">
        <v>180</v>
      </c>
      <c r="CJ6" s="44" t="s">
        <v>181</v>
      </c>
      <c r="CK6" s="44" t="s">
        <v>182</v>
      </c>
      <c r="CL6" s="44" t="s">
        <v>184</v>
      </c>
      <c r="CM6" s="44" t="s">
        <v>185</v>
      </c>
      <c r="CN6" s="44" t="s">
        <v>187</v>
      </c>
      <c r="CO6" s="44" t="s">
        <v>631</v>
      </c>
      <c r="CP6" s="44" t="s">
        <v>635</v>
      </c>
      <c r="CQ6" s="44" t="s">
        <v>2</v>
      </c>
      <c r="CR6" s="21" t="s">
        <v>70</v>
      </c>
      <c r="CS6" s="21" t="s">
        <v>71</v>
      </c>
      <c r="CT6" s="21" t="s">
        <v>72</v>
      </c>
      <c r="CU6" s="21" t="s">
        <v>73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</row>
    <row r="7" spans="1:124" s="12" customFormat="1" x14ac:dyDescent="0.2">
      <c r="A7" s="55" t="s">
        <v>96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>
        <v>11902.9</v>
      </c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>
        <v>65923.740000000005</v>
      </c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56"/>
      <c r="BV7" s="44"/>
      <c r="BW7" s="44"/>
      <c r="BX7" s="44"/>
      <c r="BY7" s="44"/>
      <c r="BZ7" s="44"/>
      <c r="CA7" s="44"/>
      <c r="CB7" s="44"/>
      <c r="CC7" s="44"/>
      <c r="CD7" s="44">
        <v>8789.83</v>
      </c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>
        <v>86616.47</v>
      </c>
      <c r="CR7" s="12">
        <f>SUM(H7:CP7)</f>
        <v>86616.47</v>
      </c>
      <c r="CS7" s="12">
        <f>+B7+E7+D7+F7</f>
        <v>0</v>
      </c>
      <c r="CT7" s="12">
        <f>+G7</f>
        <v>0</v>
      </c>
      <c r="CU7" s="12">
        <f>+C7</f>
        <v>0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</row>
    <row r="8" spans="1:124" s="12" customFormat="1" x14ac:dyDescent="0.2">
      <c r="A8" s="55" t="s">
        <v>14</v>
      </c>
      <c r="B8" s="44">
        <v>10860.3</v>
      </c>
      <c r="C8" s="44">
        <v>34631.18</v>
      </c>
      <c r="D8" s="44"/>
      <c r="E8" s="44">
        <v>21500</v>
      </c>
      <c r="F8" s="56">
        <v>11527.26</v>
      </c>
      <c r="G8" s="44">
        <v>30631.03</v>
      </c>
      <c r="H8" s="44"/>
      <c r="I8" s="44">
        <v>1665</v>
      </c>
      <c r="J8" s="44">
        <v>709.97</v>
      </c>
      <c r="K8" s="44">
        <v>17331</v>
      </c>
      <c r="L8" s="44">
        <v>29999.759999999998</v>
      </c>
      <c r="M8" s="44">
        <v>67968.990000000005</v>
      </c>
      <c r="N8" s="44"/>
      <c r="O8" s="44">
        <v>20858.620000000003</v>
      </c>
      <c r="P8" s="44">
        <v>6262.3499999999995</v>
      </c>
      <c r="Q8" s="44"/>
      <c r="R8" s="44">
        <v>4953.92</v>
      </c>
      <c r="S8" s="44">
        <v>5829.3099999999995</v>
      </c>
      <c r="T8" s="44">
        <v>308.60000000000002</v>
      </c>
      <c r="U8" s="44"/>
      <c r="V8" s="44">
        <v>12944.220000000001</v>
      </c>
      <c r="W8" s="44">
        <v>8494.69</v>
      </c>
      <c r="X8" s="44">
        <v>3850</v>
      </c>
      <c r="Y8" s="44">
        <v>30148.91</v>
      </c>
      <c r="Z8" s="44">
        <v>17196.710000000003</v>
      </c>
      <c r="AA8" s="44">
        <v>521.59</v>
      </c>
      <c r="AB8" s="44">
        <v>6981.3</v>
      </c>
      <c r="AC8" s="44">
        <v>21974.58</v>
      </c>
      <c r="AD8" s="44">
        <v>14597</v>
      </c>
      <c r="AE8" s="44">
        <v>14153.98</v>
      </c>
      <c r="AF8" s="44">
        <v>2478.2600000000002</v>
      </c>
      <c r="AG8" s="44">
        <v>298</v>
      </c>
      <c r="AH8" s="44">
        <v>4190.7</v>
      </c>
      <c r="AI8" s="44">
        <v>41348.629999999997</v>
      </c>
      <c r="AJ8" s="44">
        <v>9396</v>
      </c>
      <c r="AK8" s="44">
        <v>22760</v>
      </c>
      <c r="AL8" s="44">
        <v>2100</v>
      </c>
      <c r="AM8" s="44">
        <v>150</v>
      </c>
      <c r="AN8" s="44">
        <v>4300</v>
      </c>
      <c r="AO8" s="44">
        <v>366.52</v>
      </c>
      <c r="AP8" s="44">
        <v>5310.73</v>
      </c>
      <c r="AQ8" s="44">
        <v>5594.91</v>
      </c>
      <c r="AR8" s="44">
        <v>7075.79</v>
      </c>
      <c r="AS8" s="44">
        <v>330</v>
      </c>
      <c r="AT8" s="44"/>
      <c r="AU8" s="44">
        <v>2967</v>
      </c>
      <c r="AV8" s="44"/>
      <c r="AW8" s="44">
        <v>11360</v>
      </c>
      <c r="AX8" s="44">
        <v>299</v>
      </c>
      <c r="AY8" s="44"/>
      <c r="AZ8" s="44">
        <v>2365.37</v>
      </c>
      <c r="BA8" s="44">
        <v>3545</v>
      </c>
      <c r="BB8" s="44">
        <v>170</v>
      </c>
      <c r="BC8" s="44">
        <v>15500</v>
      </c>
      <c r="BD8" s="44">
        <v>12565</v>
      </c>
      <c r="BE8" s="44">
        <v>137</v>
      </c>
      <c r="BF8" s="44">
        <v>20000</v>
      </c>
      <c r="BG8" s="44"/>
      <c r="BH8" s="44">
        <v>13421.07</v>
      </c>
      <c r="BI8" s="44">
        <v>945</v>
      </c>
      <c r="BJ8" s="44"/>
      <c r="BK8" s="44">
        <v>12164.91</v>
      </c>
      <c r="BL8" s="44">
        <v>10165</v>
      </c>
      <c r="BM8" s="44">
        <v>283</v>
      </c>
      <c r="BN8" s="44">
        <v>20774</v>
      </c>
      <c r="BO8" s="44"/>
      <c r="BP8" s="44">
        <v>24386.01</v>
      </c>
      <c r="BQ8" s="44">
        <v>195</v>
      </c>
      <c r="BR8" s="44">
        <v>36399</v>
      </c>
      <c r="BS8" s="44">
        <v>5000</v>
      </c>
      <c r="BT8" s="44">
        <v>2048.23</v>
      </c>
      <c r="BU8" s="56">
        <v>39130</v>
      </c>
      <c r="BV8" s="44">
        <v>306.98</v>
      </c>
      <c r="BW8" s="44">
        <v>303</v>
      </c>
      <c r="BX8" s="44">
        <v>11512.6</v>
      </c>
      <c r="BY8" s="44">
        <v>4520.0000000000036</v>
      </c>
      <c r="BZ8" s="44">
        <v>5900</v>
      </c>
      <c r="CA8" s="44">
        <v>297</v>
      </c>
      <c r="CB8" s="44">
        <v>10192.43</v>
      </c>
      <c r="CC8" s="44">
        <v>7109.18</v>
      </c>
      <c r="CD8" s="44">
        <v>2200</v>
      </c>
      <c r="CE8" s="44">
        <v>21995</v>
      </c>
      <c r="CF8" s="44"/>
      <c r="CG8" s="44">
        <v>434.32</v>
      </c>
      <c r="CH8" s="44">
        <v>495</v>
      </c>
      <c r="CI8" s="44">
        <v>29590.2</v>
      </c>
      <c r="CJ8" s="44"/>
      <c r="CK8" s="44"/>
      <c r="CL8" s="44">
        <v>60</v>
      </c>
      <c r="CM8" s="44">
        <v>1748.25</v>
      </c>
      <c r="CN8" s="44">
        <v>8902.25</v>
      </c>
      <c r="CO8" s="44"/>
      <c r="CP8" s="44"/>
      <c r="CQ8" s="44">
        <v>840985.60999999987</v>
      </c>
      <c r="CR8" s="12">
        <f t="shared" ref="CR8:CR11" si="0">SUM(H8:CP8)</f>
        <v>731835.83999999985</v>
      </c>
      <c r="CS8" s="12">
        <f t="shared" ref="CS8:CS11" si="1">+B8+E8+D8+F8</f>
        <v>43887.56</v>
      </c>
      <c r="CT8" s="12">
        <f t="shared" ref="CT8:CT11" si="2">+G8</f>
        <v>30631.03</v>
      </c>
      <c r="CU8" s="12">
        <f t="shared" ref="CU8:CU11" si="3">+C8</f>
        <v>34631.18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</row>
    <row r="9" spans="1:124" s="12" customFormat="1" x14ac:dyDescent="0.2">
      <c r="A9" s="55" t="s">
        <v>61</v>
      </c>
      <c r="B9" s="44">
        <v>34130.32</v>
      </c>
      <c r="C9" s="44"/>
      <c r="D9" s="44"/>
      <c r="E9" s="44"/>
      <c r="F9" s="56"/>
      <c r="G9" s="44">
        <v>41334.11</v>
      </c>
      <c r="H9" s="44"/>
      <c r="I9" s="44"/>
      <c r="J9" s="44"/>
      <c r="K9" s="44"/>
      <c r="L9" s="44"/>
      <c r="M9" s="44">
        <v>0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>
        <v>1800</v>
      </c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>
        <v>8000</v>
      </c>
      <c r="AX9" s="44"/>
      <c r="AY9" s="44"/>
      <c r="AZ9" s="44"/>
      <c r="BA9" s="44"/>
      <c r="BB9" s="44">
        <v>8420</v>
      </c>
      <c r="BC9" s="44"/>
      <c r="BD9" s="44"/>
      <c r="BE9" s="44"/>
      <c r="BF9" s="44"/>
      <c r="BG9" s="44"/>
      <c r="BH9" s="44"/>
      <c r="BI9" s="44"/>
      <c r="BJ9" s="44">
        <v>8860</v>
      </c>
      <c r="BK9" s="44"/>
      <c r="BL9" s="44"/>
      <c r="BM9" s="44"/>
      <c r="BN9" s="44"/>
      <c r="BO9" s="44"/>
      <c r="BP9" s="44">
        <v>46000</v>
      </c>
      <c r="BQ9" s="44"/>
      <c r="BR9" s="44"/>
      <c r="BS9" s="44"/>
      <c r="BT9" s="44"/>
      <c r="BU9" s="56"/>
      <c r="BV9" s="44"/>
      <c r="BW9" s="44"/>
      <c r="BX9" s="44"/>
      <c r="BY9" s="44"/>
      <c r="BZ9" s="44">
        <v>6100</v>
      </c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>
        <v>154644.43</v>
      </c>
      <c r="CR9" s="12">
        <f t="shared" si="0"/>
        <v>79180</v>
      </c>
      <c r="CS9" s="12">
        <f t="shared" si="1"/>
        <v>34130.32</v>
      </c>
      <c r="CT9" s="12">
        <f t="shared" si="2"/>
        <v>41334.11</v>
      </c>
      <c r="CU9" s="12">
        <f t="shared" si="3"/>
        <v>0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</row>
    <row r="10" spans="1:124" s="12" customFormat="1" x14ac:dyDescent="0.2">
      <c r="A10" s="55" t="s">
        <v>12</v>
      </c>
      <c r="B10" s="44">
        <v>5906.95</v>
      </c>
      <c r="C10" s="44">
        <v>95000</v>
      </c>
      <c r="D10" s="44"/>
      <c r="E10" s="44"/>
      <c r="F10" s="44">
        <v>5850</v>
      </c>
      <c r="G10" s="44">
        <v>14793.23</v>
      </c>
      <c r="H10" s="44"/>
      <c r="I10" s="44">
        <v>1665</v>
      </c>
      <c r="J10" s="44">
        <v>6550.27</v>
      </c>
      <c r="K10" s="44">
        <v>1098.73</v>
      </c>
      <c r="L10" s="44"/>
      <c r="M10" s="44">
        <v>5032.49</v>
      </c>
      <c r="N10" s="44">
        <v>5493.65</v>
      </c>
      <c r="O10" s="44">
        <v>2563.6999999999998</v>
      </c>
      <c r="P10" s="44">
        <v>35117.229999999996</v>
      </c>
      <c r="Q10" s="44">
        <v>6550.27</v>
      </c>
      <c r="R10" s="44">
        <v>6345.17</v>
      </c>
      <c r="S10" s="44"/>
      <c r="T10" s="44"/>
      <c r="U10" s="44">
        <v>22664.959999999999</v>
      </c>
      <c r="V10" s="44"/>
      <c r="W10" s="44">
        <v>6333.44</v>
      </c>
      <c r="X10" s="44">
        <v>14649.73</v>
      </c>
      <c r="Y10" s="44">
        <v>8160</v>
      </c>
      <c r="Z10" s="44">
        <v>7700</v>
      </c>
      <c r="AA10" s="44">
        <v>4761.18</v>
      </c>
      <c r="AB10" s="44">
        <v>22299.97</v>
      </c>
      <c r="AC10" s="44"/>
      <c r="AD10" s="44"/>
      <c r="AE10" s="44"/>
      <c r="AF10" s="44">
        <v>60700</v>
      </c>
      <c r="AG10" s="44">
        <v>8260</v>
      </c>
      <c r="AH10" s="44">
        <v>14180</v>
      </c>
      <c r="AI10" s="44"/>
      <c r="AJ10" s="44">
        <v>3420</v>
      </c>
      <c r="AK10" s="44">
        <v>9920</v>
      </c>
      <c r="AL10" s="44">
        <v>16770.559999999998</v>
      </c>
      <c r="AM10" s="44">
        <v>2280</v>
      </c>
      <c r="AN10" s="44">
        <v>7640</v>
      </c>
      <c r="AO10" s="44">
        <v>11841.31</v>
      </c>
      <c r="AP10" s="44">
        <v>17780.3</v>
      </c>
      <c r="AQ10" s="44">
        <v>7700</v>
      </c>
      <c r="AR10" s="44">
        <v>11390</v>
      </c>
      <c r="AS10" s="44">
        <v>1860</v>
      </c>
      <c r="AT10" s="44"/>
      <c r="AU10" s="44">
        <v>9800</v>
      </c>
      <c r="AV10" s="44">
        <v>11800</v>
      </c>
      <c r="AW10" s="44">
        <v>9140</v>
      </c>
      <c r="AX10" s="44">
        <v>7100</v>
      </c>
      <c r="AY10" s="44">
        <v>8500</v>
      </c>
      <c r="AZ10" s="44"/>
      <c r="BA10" s="44"/>
      <c r="BB10" s="44">
        <v>10020</v>
      </c>
      <c r="BC10" s="44"/>
      <c r="BD10" s="44">
        <v>7700</v>
      </c>
      <c r="BE10" s="44"/>
      <c r="BF10" s="44">
        <v>2110</v>
      </c>
      <c r="BG10" s="44">
        <v>1800</v>
      </c>
      <c r="BH10" s="44"/>
      <c r="BI10" s="44">
        <v>13360</v>
      </c>
      <c r="BJ10" s="44">
        <v>5394.92</v>
      </c>
      <c r="BK10" s="44">
        <v>6500</v>
      </c>
      <c r="BL10" s="44">
        <v>15620</v>
      </c>
      <c r="BM10" s="44">
        <v>46020</v>
      </c>
      <c r="BN10" s="44">
        <v>11340</v>
      </c>
      <c r="BO10" s="44"/>
      <c r="BP10" s="44">
        <v>6500</v>
      </c>
      <c r="BQ10" s="44">
        <v>8000</v>
      </c>
      <c r="BR10" s="44">
        <v>11730</v>
      </c>
      <c r="BS10" s="44">
        <v>11260</v>
      </c>
      <c r="BT10" s="44">
        <v>10914.439999999999</v>
      </c>
      <c r="BU10" s="56">
        <v>8660</v>
      </c>
      <c r="BV10" s="44"/>
      <c r="BW10" s="44"/>
      <c r="BX10" s="44">
        <v>4944.28</v>
      </c>
      <c r="BY10" s="44">
        <v>7400</v>
      </c>
      <c r="BZ10" s="44">
        <v>8840</v>
      </c>
      <c r="CA10" s="44">
        <v>17760</v>
      </c>
      <c r="CB10" s="44"/>
      <c r="CC10" s="44"/>
      <c r="CD10" s="44">
        <v>9480.11</v>
      </c>
      <c r="CE10" s="44">
        <v>34509.589999999997</v>
      </c>
      <c r="CF10" s="44">
        <v>12552</v>
      </c>
      <c r="CG10" s="44"/>
      <c r="CH10" s="44"/>
      <c r="CI10" s="44">
        <v>7450</v>
      </c>
      <c r="CJ10" s="44"/>
      <c r="CK10" s="44">
        <v>2563.6999999999998</v>
      </c>
      <c r="CL10" s="44">
        <v>11480</v>
      </c>
      <c r="CM10" s="44"/>
      <c r="CN10" s="44">
        <v>6940</v>
      </c>
      <c r="CO10" s="44"/>
      <c r="CP10" s="44"/>
      <c r="CQ10" s="44">
        <v>799467.17999999982</v>
      </c>
      <c r="CR10" s="12">
        <f t="shared" si="0"/>
        <v>677916.99999999977</v>
      </c>
      <c r="CS10" s="12">
        <f t="shared" si="1"/>
        <v>11756.95</v>
      </c>
      <c r="CT10" s="12">
        <f t="shared" si="2"/>
        <v>14793.23</v>
      </c>
      <c r="CU10" s="12">
        <f t="shared" si="3"/>
        <v>95000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</row>
    <row r="11" spans="1:124" s="12" customFormat="1" ht="13.5" thickBot="1" x14ac:dyDescent="0.25">
      <c r="A11" s="55" t="s">
        <v>25</v>
      </c>
      <c r="B11" s="44">
        <v>6484.08</v>
      </c>
      <c r="C11" s="44"/>
      <c r="D11" s="44">
        <v>2300</v>
      </c>
      <c r="E11" s="44">
        <v>6580</v>
      </c>
      <c r="F11" s="44">
        <v>21293.899999999998</v>
      </c>
      <c r="G11" s="44">
        <v>9885</v>
      </c>
      <c r="H11" s="44"/>
      <c r="I11" s="44">
        <v>700</v>
      </c>
      <c r="J11" s="44">
        <v>700</v>
      </c>
      <c r="K11" s="44">
        <v>700</v>
      </c>
      <c r="L11" s="44">
        <v>7267.1</v>
      </c>
      <c r="M11" s="44"/>
      <c r="N11" s="44"/>
      <c r="O11" s="44"/>
      <c r="P11" s="44"/>
      <c r="Q11" s="44"/>
      <c r="R11" s="44">
        <v>926.75</v>
      </c>
      <c r="S11" s="44">
        <v>2357.0399999999954</v>
      </c>
      <c r="T11" s="44"/>
      <c r="U11" s="44">
        <v>700</v>
      </c>
      <c r="V11" s="44"/>
      <c r="W11" s="44">
        <v>1850</v>
      </c>
      <c r="X11" s="44">
        <v>0</v>
      </c>
      <c r="Y11" s="44"/>
      <c r="Z11" s="44">
        <v>3600</v>
      </c>
      <c r="AA11" s="44">
        <v>1400</v>
      </c>
      <c r="AB11" s="44">
        <v>2633.6</v>
      </c>
      <c r="AC11" s="44"/>
      <c r="AD11" s="44"/>
      <c r="AE11" s="44"/>
      <c r="AF11" s="44">
        <v>2775.7</v>
      </c>
      <c r="AG11" s="44"/>
      <c r="AH11" s="44"/>
      <c r="AI11" s="44"/>
      <c r="AJ11" s="44"/>
      <c r="AK11" s="44"/>
      <c r="AL11" s="44"/>
      <c r="AM11" s="44"/>
      <c r="AN11" s="44"/>
      <c r="AO11" s="44"/>
      <c r="AP11" s="44">
        <v>1850</v>
      </c>
      <c r="AQ11" s="44"/>
      <c r="AR11" s="44"/>
      <c r="AS11" s="44"/>
      <c r="AT11" s="44">
        <v>500</v>
      </c>
      <c r="AU11" s="44"/>
      <c r="AV11" s="44">
        <v>1050</v>
      </c>
      <c r="AW11" s="44"/>
      <c r="AX11" s="44"/>
      <c r="AY11" s="44"/>
      <c r="AZ11" s="44"/>
      <c r="BA11" s="44"/>
      <c r="BB11" s="44"/>
      <c r="BC11" s="44"/>
      <c r="BD11" s="44"/>
      <c r="BE11" s="44"/>
      <c r="BF11" s="44">
        <v>3083.5699999999997</v>
      </c>
      <c r="BG11" s="44">
        <v>1295</v>
      </c>
      <c r="BH11" s="44"/>
      <c r="BI11" s="44"/>
      <c r="BJ11" s="44"/>
      <c r="BK11" s="44">
        <v>784.55</v>
      </c>
      <c r="BL11" s="44">
        <v>200</v>
      </c>
      <c r="BM11" s="44"/>
      <c r="BN11" s="44"/>
      <c r="BO11" s="44"/>
      <c r="BP11" s="44">
        <v>1295</v>
      </c>
      <c r="BQ11" s="44">
        <v>2345.3599999999997</v>
      </c>
      <c r="BR11" s="44"/>
      <c r="BS11" s="44"/>
      <c r="BT11" s="44"/>
      <c r="BU11" s="56">
        <v>8536.2099999999991</v>
      </c>
      <c r="BV11" s="44">
        <v>111.21</v>
      </c>
      <c r="BW11" s="44"/>
      <c r="BX11" s="44"/>
      <c r="BY11" s="44"/>
      <c r="BZ11" s="44"/>
      <c r="CA11" s="44"/>
      <c r="CB11" s="44">
        <v>1739</v>
      </c>
      <c r="CC11" s="44">
        <v>2300</v>
      </c>
      <c r="CD11" s="44"/>
      <c r="CE11" s="44"/>
      <c r="CF11" s="44"/>
      <c r="CG11" s="44"/>
      <c r="CH11" s="44">
        <v>384.55</v>
      </c>
      <c r="CI11" s="44"/>
      <c r="CJ11" s="44">
        <v>1084.55</v>
      </c>
      <c r="CK11" s="44"/>
      <c r="CL11" s="44"/>
      <c r="CM11" s="44"/>
      <c r="CN11" s="44"/>
      <c r="CO11" s="44">
        <v>9140.66</v>
      </c>
      <c r="CP11" s="44">
        <v>31428.020000000004</v>
      </c>
      <c r="CQ11" s="44">
        <v>139280.85</v>
      </c>
      <c r="CR11" s="12">
        <f t="shared" si="0"/>
        <v>92737.87000000001</v>
      </c>
      <c r="CS11" s="12">
        <f t="shared" si="1"/>
        <v>36657.979999999996</v>
      </c>
      <c r="CT11" s="12">
        <f t="shared" si="2"/>
        <v>9885</v>
      </c>
      <c r="CU11" s="12">
        <f t="shared" si="3"/>
        <v>0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</row>
    <row r="12" spans="1:124" s="12" customFormat="1" ht="13.5" thickTop="1" x14ac:dyDescent="0.2">
      <c r="A12" s="55" t="s">
        <v>2</v>
      </c>
      <c r="B12" s="44">
        <v>57381.649999999994</v>
      </c>
      <c r="C12" s="44">
        <v>129631.18</v>
      </c>
      <c r="D12" s="44">
        <v>2300</v>
      </c>
      <c r="E12" s="44">
        <v>28080</v>
      </c>
      <c r="F12" s="44">
        <v>38671.160000000003</v>
      </c>
      <c r="G12" s="44">
        <v>96643.37</v>
      </c>
      <c r="H12" s="44"/>
      <c r="I12" s="44">
        <v>4030</v>
      </c>
      <c r="J12" s="44">
        <v>7960.2400000000007</v>
      </c>
      <c r="K12" s="44">
        <v>19129.73</v>
      </c>
      <c r="L12" s="44">
        <v>37266.86</v>
      </c>
      <c r="M12" s="44">
        <v>73001.48000000001</v>
      </c>
      <c r="N12" s="44">
        <v>5493.65</v>
      </c>
      <c r="O12" s="44">
        <v>23422.320000000003</v>
      </c>
      <c r="P12" s="44">
        <v>41379.579999999994</v>
      </c>
      <c r="Q12" s="44">
        <v>6550.27</v>
      </c>
      <c r="R12" s="44">
        <v>12225.84</v>
      </c>
      <c r="S12" s="44">
        <v>8186.3499999999949</v>
      </c>
      <c r="T12" s="44">
        <v>308.60000000000002</v>
      </c>
      <c r="U12" s="44">
        <v>23364.959999999999</v>
      </c>
      <c r="V12" s="44">
        <v>12944.220000000001</v>
      </c>
      <c r="W12" s="44">
        <v>16678.13</v>
      </c>
      <c r="X12" s="44">
        <v>18499.73</v>
      </c>
      <c r="Y12" s="44">
        <v>38308.910000000003</v>
      </c>
      <c r="Z12" s="44">
        <v>28496.710000000003</v>
      </c>
      <c r="AA12" s="44">
        <v>6682.77</v>
      </c>
      <c r="AB12" s="44">
        <v>31914.87</v>
      </c>
      <c r="AC12" s="44">
        <v>21974.58</v>
      </c>
      <c r="AD12" s="44">
        <v>26499.9</v>
      </c>
      <c r="AE12" s="44">
        <v>14153.98</v>
      </c>
      <c r="AF12" s="44">
        <v>67753.960000000006</v>
      </c>
      <c r="AG12" s="44">
        <v>8558</v>
      </c>
      <c r="AH12" s="44">
        <v>18370.7</v>
      </c>
      <c r="AI12" s="44">
        <v>41348.629999999997</v>
      </c>
      <c r="AJ12" s="44">
        <v>12816</v>
      </c>
      <c r="AK12" s="44">
        <v>32680</v>
      </c>
      <c r="AL12" s="44">
        <v>18870.559999999998</v>
      </c>
      <c r="AM12" s="44">
        <v>2430</v>
      </c>
      <c r="AN12" s="44">
        <v>11940</v>
      </c>
      <c r="AO12" s="44">
        <v>12207.83</v>
      </c>
      <c r="AP12" s="44">
        <v>24941.03</v>
      </c>
      <c r="AQ12" s="44">
        <v>13294.91</v>
      </c>
      <c r="AR12" s="44">
        <v>18465.79</v>
      </c>
      <c r="AS12" s="44">
        <v>2190</v>
      </c>
      <c r="AT12" s="44">
        <v>500</v>
      </c>
      <c r="AU12" s="44">
        <v>12767</v>
      </c>
      <c r="AV12" s="44">
        <v>12850</v>
      </c>
      <c r="AW12" s="44">
        <v>28500</v>
      </c>
      <c r="AX12" s="44">
        <v>7399</v>
      </c>
      <c r="AY12" s="44">
        <v>8500</v>
      </c>
      <c r="AZ12" s="44">
        <v>2365.37</v>
      </c>
      <c r="BA12" s="44">
        <v>3545</v>
      </c>
      <c r="BB12" s="44">
        <v>18610</v>
      </c>
      <c r="BC12" s="44">
        <v>81423.740000000005</v>
      </c>
      <c r="BD12" s="44">
        <v>20265</v>
      </c>
      <c r="BE12" s="44">
        <v>137</v>
      </c>
      <c r="BF12" s="44">
        <v>25193.57</v>
      </c>
      <c r="BG12" s="44">
        <v>3095</v>
      </c>
      <c r="BH12" s="44">
        <v>13421.07</v>
      </c>
      <c r="BI12" s="44">
        <v>14305</v>
      </c>
      <c r="BJ12" s="44">
        <v>14254.92</v>
      </c>
      <c r="BK12" s="44">
        <v>19449.46</v>
      </c>
      <c r="BL12" s="44">
        <v>25985</v>
      </c>
      <c r="BM12" s="44">
        <v>46303</v>
      </c>
      <c r="BN12" s="44">
        <v>32114</v>
      </c>
      <c r="BO12" s="44"/>
      <c r="BP12" s="44">
        <v>78181.009999999995</v>
      </c>
      <c r="BQ12" s="44">
        <v>10540.36</v>
      </c>
      <c r="BR12" s="44">
        <v>48129</v>
      </c>
      <c r="BS12" s="44">
        <v>16260</v>
      </c>
      <c r="BT12" s="44">
        <v>12962.669999999998</v>
      </c>
      <c r="BU12" s="44">
        <v>56326.21</v>
      </c>
      <c r="BV12" s="44">
        <v>418.19</v>
      </c>
      <c r="BW12" s="44">
        <v>303</v>
      </c>
      <c r="BX12" s="44">
        <v>16456.88</v>
      </c>
      <c r="BY12" s="44">
        <v>11920.000000000004</v>
      </c>
      <c r="BZ12" s="44">
        <v>20840</v>
      </c>
      <c r="CA12" s="44">
        <v>18057</v>
      </c>
      <c r="CB12" s="44">
        <v>11931.43</v>
      </c>
      <c r="CC12" s="44">
        <v>9409.18</v>
      </c>
      <c r="CD12" s="44">
        <v>20469.940000000002</v>
      </c>
      <c r="CE12" s="44">
        <v>56504.59</v>
      </c>
      <c r="CF12" s="44">
        <v>12552</v>
      </c>
      <c r="CG12" s="44">
        <v>434.32</v>
      </c>
      <c r="CH12" s="44">
        <v>879.55</v>
      </c>
      <c r="CI12" s="44">
        <v>37040.199999999997</v>
      </c>
      <c r="CJ12" s="44">
        <v>1084.55</v>
      </c>
      <c r="CK12" s="44">
        <v>2563.6999999999998</v>
      </c>
      <c r="CL12" s="44">
        <v>11540</v>
      </c>
      <c r="CM12" s="44">
        <v>1748.25</v>
      </c>
      <c r="CN12" s="44">
        <v>15842.25</v>
      </c>
      <c r="CO12" s="44">
        <v>9140.66</v>
      </c>
      <c r="CP12" s="44">
        <v>31428.020000000004</v>
      </c>
      <c r="CQ12" s="44">
        <v>2020994.5399999996</v>
      </c>
      <c r="CR12" s="52">
        <f>SUM(CR7:CR11)</f>
        <v>1668287.1799999997</v>
      </c>
      <c r="CS12" s="52">
        <f>SUM(CS7:CS11)</f>
        <v>126432.81</v>
      </c>
      <c r="CT12" s="52">
        <f>SUM(CT7:CT11)</f>
        <v>96643.37</v>
      </c>
      <c r="CU12" s="52">
        <f>SUM(CU7:CU11)</f>
        <v>129631.18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</row>
    <row r="13" spans="1:124" s="12" customForma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S13" s="13">
        <f>SUM(CR12:CU12)</f>
        <v>2020994.5399999998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</row>
    <row r="14" spans="1:124" s="12" customFormat="1" ht="10.15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 s="44"/>
      <c r="CC14" s="44"/>
      <c r="CD14" s="44"/>
      <c r="CE14" s="44"/>
      <c r="CF14" s="44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50"/>
      <c r="CT14" s="50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</row>
    <row r="15" spans="1:124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s="44"/>
      <c r="CC15" s="44"/>
      <c r="CD15" s="44"/>
      <c r="CE15" s="44"/>
      <c r="CF15" s="44"/>
    </row>
    <row r="16" spans="1:124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CS16" s="19"/>
      <c r="CT16" s="19"/>
      <c r="CU16" s="50"/>
    </row>
    <row r="17" spans="1:124" ht="10.15" customHeight="1" x14ac:dyDescent="0.2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51" t="s">
        <v>69</v>
      </c>
      <c r="CS17" s="51"/>
      <c r="CT17" s="51"/>
      <c r="CU17" s="51"/>
    </row>
    <row r="18" spans="1:124" x14ac:dyDescent="0.2">
      <c r="A18" s="21" t="s">
        <v>1</v>
      </c>
      <c r="B18" s="21" t="s">
        <v>3</v>
      </c>
      <c r="C18" s="21" t="s">
        <v>42</v>
      </c>
      <c r="D18" s="21" t="s">
        <v>121</v>
      </c>
      <c r="E18" s="21" t="s">
        <v>116</v>
      </c>
      <c r="F18" s="21" t="s">
        <v>4</v>
      </c>
      <c r="G18" s="21" t="s">
        <v>43</v>
      </c>
      <c r="H18" s="21" t="s">
        <v>28</v>
      </c>
      <c r="I18" s="21" t="s">
        <v>44</v>
      </c>
      <c r="J18" s="21" t="s">
        <v>29</v>
      </c>
      <c r="K18" s="21" t="s">
        <v>56</v>
      </c>
      <c r="L18" s="21" t="s">
        <v>45</v>
      </c>
      <c r="M18" s="21" t="s">
        <v>54</v>
      </c>
      <c r="N18" s="21" t="s">
        <v>5</v>
      </c>
      <c r="O18" s="21" t="s">
        <v>46</v>
      </c>
      <c r="P18" s="21" t="s">
        <v>6</v>
      </c>
      <c r="Q18" s="21" t="s">
        <v>113</v>
      </c>
      <c r="R18" s="21" t="s">
        <v>26</v>
      </c>
      <c r="S18" s="21" t="s">
        <v>7</v>
      </c>
      <c r="T18" s="21" t="s">
        <v>47</v>
      </c>
      <c r="U18" s="21" t="s">
        <v>30</v>
      </c>
      <c r="V18" s="21" t="s">
        <v>31</v>
      </c>
      <c r="W18" s="21" t="s">
        <v>8</v>
      </c>
      <c r="X18" s="21" t="s">
        <v>48</v>
      </c>
      <c r="Y18" s="21" t="s">
        <v>32</v>
      </c>
      <c r="Z18" s="21" t="s">
        <v>49</v>
      </c>
      <c r="AA18" s="21" t="s">
        <v>33</v>
      </c>
      <c r="AB18" s="21" t="s">
        <v>34</v>
      </c>
      <c r="AC18" s="21" t="s">
        <v>35</v>
      </c>
      <c r="AD18" s="21" t="s">
        <v>9</v>
      </c>
      <c r="AE18" s="21" t="s">
        <v>36</v>
      </c>
      <c r="AF18" s="21" t="s">
        <v>37</v>
      </c>
      <c r="AG18" s="21" t="s">
        <v>10</v>
      </c>
      <c r="AH18" s="21" t="s">
        <v>62</v>
      </c>
      <c r="AI18" s="21" t="s">
        <v>50</v>
      </c>
      <c r="AJ18" s="21" t="s">
        <v>38</v>
      </c>
      <c r="AK18" s="21" t="s">
        <v>27</v>
      </c>
      <c r="AL18" s="21" t="s">
        <v>39</v>
      </c>
      <c r="AM18" s="21" t="s">
        <v>40</v>
      </c>
      <c r="AN18" s="21" t="s">
        <v>21</v>
      </c>
      <c r="AO18" s="21" t="s">
        <v>41</v>
      </c>
      <c r="AP18" s="21" t="s">
        <v>55</v>
      </c>
      <c r="AQ18" s="21" t="s">
        <v>63</v>
      </c>
      <c r="AR18" s="21" t="s">
        <v>22</v>
      </c>
      <c r="AS18" s="21" t="s">
        <v>51</v>
      </c>
      <c r="AT18" s="21" t="s">
        <v>52</v>
      </c>
      <c r="AU18" s="21" t="s">
        <v>53</v>
      </c>
      <c r="AV18" s="21" t="s">
        <v>57</v>
      </c>
      <c r="AW18" s="21" t="s">
        <v>60</v>
      </c>
      <c r="AX18" s="21" t="s">
        <v>58</v>
      </c>
      <c r="AY18" s="21" t="s">
        <v>59</v>
      </c>
      <c r="AZ18" s="21" t="s">
        <v>111</v>
      </c>
      <c r="BA18" s="21" t="s">
        <v>65</v>
      </c>
      <c r="BB18" s="21" t="s">
        <v>66</v>
      </c>
      <c r="BC18" s="21" t="s">
        <v>67</v>
      </c>
      <c r="BD18" s="21" t="s">
        <v>64</v>
      </c>
      <c r="BE18" s="21" t="s">
        <v>68</v>
      </c>
      <c r="BF18" s="21" t="s">
        <v>74</v>
      </c>
      <c r="BG18" s="21" t="s">
        <v>75</v>
      </c>
      <c r="BH18" s="21" t="s">
        <v>107</v>
      </c>
      <c r="BI18" s="21" t="s">
        <v>110</v>
      </c>
      <c r="BJ18" s="21" t="s">
        <v>115</v>
      </c>
      <c r="BK18" s="21" t="s">
        <v>117</v>
      </c>
      <c r="BL18" s="21" t="s">
        <v>118</v>
      </c>
      <c r="BM18" s="21" t="s">
        <v>119</v>
      </c>
      <c r="BN18" s="21" t="s">
        <v>120</v>
      </c>
      <c r="BO18" s="21" t="s">
        <v>122</v>
      </c>
      <c r="BP18" s="21" t="s">
        <v>123</v>
      </c>
      <c r="BQ18" s="21" t="s">
        <v>124</v>
      </c>
      <c r="BR18" s="21" t="s">
        <v>125</v>
      </c>
      <c r="BS18" s="21" t="s">
        <v>127</v>
      </c>
      <c r="BT18" s="21" t="s">
        <v>128</v>
      </c>
      <c r="BU18" s="21" t="s">
        <v>129</v>
      </c>
      <c r="BV18" s="21" t="s">
        <v>130</v>
      </c>
      <c r="BW18" s="21" t="s">
        <v>131</v>
      </c>
      <c r="BX18" s="21" t="s">
        <v>134</v>
      </c>
      <c r="BY18" s="21" t="s">
        <v>136</v>
      </c>
      <c r="BZ18" s="21" t="s">
        <v>137</v>
      </c>
      <c r="CA18" s="21" t="s">
        <v>172</v>
      </c>
      <c r="CB18" s="21" t="s">
        <v>173</v>
      </c>
      <c r="CC18" s="21" t="s">
        <v>174</v>
      </c>
      <c r="CD18" s="21" t="s">
        <v>175</v>
      </c>
      <c r="CE18" s="21" t="s">
        <v>176</v>
      </c>
      <c r="CF18" s="21" t="s">
        <v>177</v>
      </c>
      <c r="CG18" s="21" t="s">
        <v>178</v>
      </c>
      <c r="CH18" s="21" t="s">
        <v>179</v>
      </c>
      <c r="CI18" s="21" t="s">
        <v>180</v>
      </c>
      <c r="CJ18" s="21" t="s">
        <v>181</v>
      </c>
      <c r="CK18" s="21" t="s">
        <v>182</v>
      </c>
      <c r="CL18" s="21" t="s">
        <v>184</v>
      </c>
      <c r="CM18" s="21" t="s">
        <v>185</v>
      </c>
      <c r="CN18" s="21" t="s">
        <v>187</v>
      </c>
      <c r="CO18" s="21" t="s">
        <v>631</v>
      </c>
      <c r="CP18" s="21" t="s">
        <v>635</v>
      </c>
      <c r="CQ18" s="21" t="s">
        <v>2</v>
      </c>
      <c r="CR18" s="21" t="s">
        <v>70</v>
      </c>
      <c r="CS18" s="21" t="s">
        <v>71</v>
      </c>
      <c r="CT18" s="21" t="s">
        <v>72</v>
      </c>
      <c r="CU18" s="21" t="s">
        <v>73</v>
      </c>
    </row>
    <row r="19" spans="1:124" s="12" customFormat="1" outlineLevel="1" x14ac:dyDescent="0.2">
      <c r="A19" s="14" t="s">
        <v>96</v>
      </c>
      <c r="B19" s="15"/>
      <c r="C19" s="15"/>
      <c r="D19" s="15"/>
      <c r="E19" s="15"/>
      <c r="F19" s="15"/>
      <c r="G19" s="15"/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117183.99999999999</v>
      </c>
      <c r="AD19" s="15">
        <v>0</v>
      </c>
      <c r="AE19" s="15">
        <v>0</v>
      </c>
      <c r="AF19" s="15">
        <v>117183.99999999999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/>
      <c r="CP19" s="15"/>
      <c r="CQ19" s="16">
        <f>SUM(B19:CP19)</f>
        <v>234367.99999999997</v>
      </c>
      <c r="CR19" s="12">
        <f>SUM(H19:CP19)</f>
        <v>234367.99999999997</v>
      </c>
      <c r="CS19" s="12">
        <f>+B19+E19+D19+F19</f>
        <v>0</v>
      </c>
      <c r="CT19" s="12">
        <f>+G19</f>
        <v>0</v>
      </c>
      <c r="CU19" s="12">
        <f>+C19</f>
        <v>0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</row>
    <row r="20" spans="1:124" s="12" customFormat="1" outlineLevel="1" x14ac:dyDescent="0.2">
      <c r="A20" s="17" t="s">
        <v>14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18000</v>
      </c>
      <c r="R20" s="15">
        <v>36000</v>
      </c>
      <c r="S20" s="15">
        <v>18000</v>
      </c>
      <c r="T20" s="15">
        <v>18000</v>
      </c>
      <c r="U20" s="15">
        <v>18000</v>
      </c>
      <c r="V20" s="15">
        <v>0</v>
      </c>
      <c r="W20" s="15">
        <v>0</v>
      </c>
      <c r="X20" s="15">
        <v>0</v>
      </c>
      <c r="Y20" s="15">
        <v>9833</v>
      </c>
      <c r="Z20" s="15">
        <v>9833</v>
      </c>
      <c r="AA20" s="15">
        <v>9833</v>
      </c>
      <c r="AB20" s="15">
        <v>9833</v>
      </c>
      <c r="AC20" s="15">
        <v>9833</v>
      </c>
      <c r="AD20" s="15">
        <v>9833</v>
      </c>
      <c r="AE20" s="15">
        <v>0</v>
      </c>
      <c r="AF20" s="15">
        <v>45833</v>
      </c>
      <c r="AG20" s="15">
        <v>36000</v>
      </c>
      <c r="AH20" s="15">
        <v>36000</v>
      </c>
      <c r="AI20" s="15">
        <v>36000</v>
      </c>
      <c r="AJ20" s="15">
        <v>36000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/>
      <c r="CP20" s="15"/>
      <c r="CQ20" s="16">
        <f t="shared" ref="CQ20:CQ23" si="4">SUM(B20:CP20)</f>
        <v>356831</v>
      </c>
      <c r="CR20" s="12">
        <f t="shared" ref="CR20:CR23" si="5">SUM(H20:CP20)</f>
        <v>356831</v>
      </c>
      <c r="CS20" s="12">
        <f t="shared" ref="CS20:CS23" si="6">+B20+E20+D20+F20</f>
        <v>0</v>
      </c>
      <c r="CT20" s="12">
        <f t="shared" ref="CT20:CT23" si="7">+G20</f>
        <v>0</v>
      </c>
      <c r="CU20" s="12">
        <f t="shared" ref="CU20:CU23" si="8">+C20</f>
        <v>0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</row>
    <row r="21" spans="1:124" s="12" customFormat="1" outlineLevel="1" x14ac:dyDescent="0.2">
      <c r="A21" s="17" t="s">
        <v>61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5341.1764705882351</v>
      </c>
      <c r="I21" s="15">
        <v>5341.1764705882351</v>
      </c>
      <c r="J21" s="15">
        <v>5341.1764705882351</v>
      </c>
      <c r="K21" s="15">
        <v>5341.1764705882351</v>
      </c>
      <c r="L21" s="15">
        <v>5341.1764705882351</v>
      </c>
      <c r="M21" s="15">
        <v>5341.1764705882351</v>
      </c>
      <c r="N21" s="15">
        <v>5341.1764705882351</v>
      </c>
      <c r="O21" s="15">
        <v>5341.1764705882351</v>
      </c>
      <c r="P21" s="15">
        <v>5341.1764705882351</v>
      </c>
      <c r="Q21" s="15">
        <v>5341.1764705882351</v>
      </c>
      <c r="R21" s="15">
        <v>5341.1764705882351</v>
      </c>
      <c r="S21" s="15">
        <v>5341.1764705882351</v>
      </c>
      <c r="T21" s="15">
        <v>5341.1764705882351</v>
      </c>
      <c r="U21" s="15">
        <v>5341.1764705882351</v>
      </c>
      <c r="V21" s="15">
        <v>5341.1764705882351</v>
      </c>
      <c r="W21" s="15">
        <v>5341.1764705882351</v>
      </c>
      <c r="X21" s="15">
        <v>5341.1764705882351</v>
      </c>
      <c r="Y21" s="15">
        <v>5341.1764705882351</v>
      </c>
      <c r="Z21" s="15">
        <v>5341.1764705882351</v>
      </c>
      <c r="AA21" s="15">
        <v>5341.1764705882351</v>
      </c>
      <c r="AB21" s="15">
        <v>5341.1764705882351</v>
      </c>
      <c r="AC21" s="15">
        <v>5341.1764705882351</v>
      </c>
      <c r="AD21" s="15">
        <v>5341.1764705882351</v>
      </c>
      <c r="AE21" s="15">
        <v>5341.1764705882351</v>
      </c>
      <c r="AF21" s="15">
        <v>5341.1764705882351</v>
      </c>
      <c r="AG21" s="15">
        <v>5341.1764705882351</v>
      </c>
      <c r="AH21" s="15">
        <v>5341.1764705882351</v>
      </c>
      <c r="AI21" s="15">
        <v>5341.1764705882351</v>
      </c>
      <c r="AJ21" s="15">
        <v>5341.1764705882351</v>
      </c>
      <c r="AK21" s="15">
        <v>5341.1764705882351</v>
      </c>
      <c r="AL21" s="15">
        <v>5341.1764705882351</v>
      </c>
      <c r="AM21" s="15">
        <v>5341.1764705882351</v>
      </c>
      <c r="AN21" s="15">
        <v>5341.1764705882351</v>
      </c>
      <c r="AO21" s="15">
        <v>5341.1764705882351</v>
      </c>
      <c r="AP21" s="15">
        <v>5341.1764705882351</v>
      </c>
      <c r="AQ21" s="15">
        <v>5341.1764705882351</v>
      </c>
      <c r="AR21" s="15">
        <v>5341.1764705882351</v>
      </c>
      <c r="AS21" s="15">
        <v>5341.1764705882351</v>
      </c>
      <c r="AT21" s="15">
        <v>5341.1764705882351</v>
      </c>
      <c r="AU21" s="15">
        <v>5341.1764705882351</v>
      </c>
      <c r="AV21" s="15">
        <v>5341.1764705882351</v>
      </c>
      <c r="AW21" s="15">
        <v>5341.1764705882351</v>
      </c>
      <c r="AX21" s="15">
        <v>5341.1764705882351</v>
      </c>
      <c r="AY21" s="15">
        <v>5341.1764705882351</v>
      </c>
      <c r="AZ21" s="15">
        <v>5341.1764705882351</v>
      </c>
      <c r="BA21" s="15">
        <v>5341.1764705882351</v>
      </c>
      <c r="BB21" s="15">
        <v>5341.1764705882351</v>
      </c>
      <c r="BC21" s="15">
        <v>5341.1764705882351</v>
      </c>
      <c r="BD21" s="15">
        <v>5341.1764705882351</v>
      </c>
      <c r="BE21" s="15">
        <v>5341.1764705882351</v>
      </c>
      <c r="BF21" s="15">
        <v>5341.1764705882351</v>
      </c>
      <c r="BG21" s="15">
        <v>5341.1764705882351</v>
      </c>
      <c r="BH21" s="15">
        <v>5341.1764705882351</v>
      </c>
      <c r="BI21" s="15">
        <v>5341.1764705882351</v>
      </c>
      <c r="BJ21" s="15">
        <v>5341.1764705882351</v>
      </c>
      <c r="BK21" s="15">
        <v>5341.1764705882351</v>
      </c>
      <c r="BL21" s="15">
        <v>5341.1764705882351</v>
      </c>
      <c r="BM21" s="15">
        <v>5341.1764705882351</v>
      </c>
      <c r="BN21" s="15">
        <v>5341.1764705882351</v>
      </c>
      <c r="BO21" s="15">
        <v>5341.1764705882351</v>
      </c>
      <c r="BP21" s="15">
        <v>5341.1764705882351</v>
      </c>
      <c r="BQ21" s="15">
        <v>5341.1764705882351</v>
      </c>
      <c r="BR21" s="15">
        <v>5341.1764705882351</v>
      </c>
      <c r="BS21" s="15">
        <v>5341.1764705882351</v>
      </c>
      <c r="BT21" s="15">
        <v>5341.1764705882351</v>
      </c>
      <c r="BU21" s="15">
        <v>5341.1764705882351</v>
      </c>
      <c r="BV21" s="15">
        <v>5341.1764705882351</v>
      </c>
      <c r="BW21" s="15">
        <v>5341.1764705882351</v>
      </c>
      <c r="BX21" s="15">
        <v>5341.1764705882351</v>
      </c>
      <c r="BY21" s="15">
        <v>5341.1764705882351</v>
      </c>
      <c r="BZ21" s="15">
        <v>5341.1764705882351</v>
      </c>
      <c r="CA21" s="15">
        <v>5341.1764705882351</v>
      </c>
      <c r="CB21" s="15">
        <v>5341.1764705882351</v>
      </c>
      <c r="CC21" s="15">
        <v>5341.1764705882351</v>
      </c>
      <c r="CD21" s="15">
        <v>5341.1764705882351</v>
      </c>
      <c r="CE21" s="15">
        <v>5341.1764705882351</v>
      </c>
      <c r="CF21" s="15">
        <v>5341.1764705882351</v>
      </c>
      <c r="CG21" s="15">
        <v>5341.1764705882351</v>
      </c>
      <c r="CH21" s="15">
        <v>5341.1764705882351</v>
      </c>
      <c r="CI21" s="15">
        <v>5341.1764705882351</v>
      </c>
      <c r="CJ21" s="15">
        <v>5341.1764705882351</v>
      </c>
      <c r="CK21" s="15">
        <v>5341.1764705882351</v>
      </c>
      <c r="CL21" s="15">
        <v>5341.1764705882351</v>
      </c>
      <c r="CM21" s="15">
        <v>5341.1764705882351</v>
      </c>
      <c r="CN21" s="15">
        <v>5341.1764705882351</v>
      </c>
      <c r="CO21" s="15"/>
      <c r="CP21" s="15"/>
      <c r="CQ21" s="16">
        <f t="shared" si="4"/>
        <v>454000.00000000035</v>
      </c>
      <c r="CR21" s="12">
        <f t="shared" si="5"/>
        <v>454000.00000000035</v>
      </c>
      <c r="CS21" s="12">
        <f t="shared" si="6"/>
        <v>0</v>
      </c>
      <c r="CT21" s="12">
        <f t="shared" si="7"/>
        <v>0</v>
      </c>
      <c r="CU21" s="12">
        <f t="shared" si="8"/>
        <v>0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</row>
    <row r="22" spans="1:124" s="12" customFormat="1" outlineLevel="1" x14ac:dyDescent="0.2">
      <c r="A22" s="17" t="s">
        <v>12</v>
      </c>
      <c r="B22" s="15">
        <v>28560</v>
      </c>
      <c r="C22" s="15">
        <v>0</v>
      </c>
      <c r="D22" s="15">
        <v>1365</v>
      </c>
      <c r="E22" s="15">
        <v>1995</v>
      </c>
      <c r="F22" s="15">
        <v>1365</v>
      </c>
      <c r="G22" s="15">
        <v>51492</v>
      </c>
      <c r="H22" s="15">
        <v>7536.9</v>
      </c>
      <c r="I22" s="15">
        <v>7536.9</v>
      </c>
      <c r="J22" s="15">
        <v>10036.9</v>
      </c>
      <c r="K22" s="15">
        <v>7536.9</v>
      </c>
      <c r="L22" s="15">
        <v>7536.9</v>
      </c>
      <c r="M22" s="15">
        <v>8636.9</v>
      </c>
      <c r="N22" s="15">
        <v>11066.9</v>
      </c>
      <c r="O22" s="15">
        <v>7536.9</v>
      </c>
      <c r="P22" s="15">
        <v>8586.9</v>
      </c>
      <c r="Q22" s="15">
        <v>7536.9</v>
      </c>
      <c r="R22" s="15">
        <v>7536.9</v>
      </c>
      <c r="S22" s="15">
        <v>9426.9</v>
      </c>
      <c r="T22" s="15">
        <v>13566.9</v>
      </c>
      <c r="U22" s="15">
        <v>13566.9</v>
      </c>
      <c r="V22" s="15">
        <v>13636.9</v>
      </c>
      <c r="W22" s="15">
        <v>12536.9</v>
      </c>
      <c r="X22" s="15">
        <v>26696.9</v>
      </c>
      <c r="Y22" s="15">
        <v>20000</v>
      </c>
      <c r="Z22" s="15">
        <v>22536.9</v>
      </c>
      <c r="AA22" s="15">
        <v>22536.9</v>
      </c>
      <c r="AB22" s="15">
        <v>15000</v>
      </c>
      <c r="AC22" s="15">
        <v>15000</v>
      </c>
      <c r="AD22" s="15">
        <v>15000</v>
      </c>
      <c r="AE22" s="15">
        <v>21066.9</v>
      </c>
      <c r="AF22" s="15">
        <v>10266.9</v>
      </c>
      <c r="AG22" s="15">
        <v>12501.9</v>
      </c>
      <c r="AH22" s="15">
        <v>0</v>
      </c>
      <c r="AI22" s="15">
        <v>0</v>
      </c>
      <c r="AJ22" s="15">
        <v>0</v>
      </c>
      <c r="AK22" s="15">
        <v>0</v>
      </c>
      <c r="AL22" s="15">
        <v>7536.9</v>
      </c>
      <c r="AM22" s="15">
        <v>0</v>
      </c>
      <c r="AN22" s="15">
        <v>0</v>
      </c>
      <c r="AO22" s="15">
        <v>7536.9</v>
      </c>
      <c r="AP22" s="15">
        <v>7536.9</v>
      </c>
      <c r="AQ22" s="15">
        <v>7536.9</v>
      </c>
      <c r="AR22" s="15">
        <v>8636.9</v>
      </c>
      <c r="AS22" s="15">
        <v>0</v>
      </c>
      <c r="AT22" s="15">
        <v>7536.9</v>
      </c>
      <c r="AU22" s="15">
        <v>0</v>
      </c>
      <c r="AV22" s="15">
        <v>7536.9</v>
      </c>
      <c r="AW22" s="15">
        <v>0</v>
      </c>
      <c r="AX22" s="15">
        <v>8636.9</v>
      </c>
      <c r="AY22" s="15">
        <v>0</v>
      </c>
      <c r="AZ22" s="15">
        <v>9426.9</v>
      </c>
      <c r="BA22" s="15">
        <v>0</v>
      </c>
      <c r="BB22" s="15">
        <v>12000</v>
      </c>
      <c r="BC22" s="15">
        <v>8636.9</v>
      </c>
      <c r="BD22" s="15">
        <v>12000</v>
      </c>
      <c r="BE22" s="15">
        <v>12000</v>
      </c>
      <c r="BF22" s="15">
        <v>12000</v>
      </c>
      <c r="BG22" s="15">
        <v>12000</v>
      </c>
      <c r="BH22" s="15">
        <v>12000</v>
      </c>
      <c r="BI22" s="15">
        <v>12000</v>
      </c>
      <c r="BJ22" s="15">
        <v>12000</v>
      </c>
      <c r="BK22" s="15">
        <v>7536.9</v>
      </c>
      <c r="BL22" s="15">
        <v>21426.9</v>
      </c>
      <c r="BM22" s="15">
        <v>12000</v>
      </c>
      <c r="BN22" s="15">
        <v>7536.9</v>
      </c>
      <c r="BO22" s="15">
        <v>0</v>
      </c>
      <c r="BP22" s="15">
        <v>10036.9</v>
      </c>
      <c r="BQ22" s="15">
        <v>0</v>
      </c>
      <c r="BR22" s="15">
        <v>8636.9</v>
      </c>
      <c r="BS22" s="15">
        <v>0</v>
      </c>
      <c r="BT22" s="15">
        <v>8636.9</v>
      </c>
      <c r="BU22" s="15">
        <v>0</v>
      </c>
      <c r="BV22" s="15">
        <v>0</v>
      </c>
      <c r="BW22" s="15">
        <v>0</v>
      </c>
      <c r="BX22" s="15">
        <v>8586.9</v>
      </c>
      <c r="BY22" s="15">
        <v>0</v>
      </c>
      <c r="BZ22" s="15">
        <v>9686.9</v>
      </c>
      <c r="CA22" s="15">
        <v>0</v>
      </c>
      <c r="CB22" s="15">
        <v>0</v>
      </c>
      <c r="CC22" s="15">
        <v>9686.9</v>
      </c>
      <c r="CD22" s="15">
        <v>0</v>
      </c>
      <c r="CE22" s="15">
        <v>0</v>
      </c>
      <c r="CF22" s="15">
        <v>8061.9</v>
      </c>
      <c r="CG22" s="15">
        <v>0</v>
      </c>
      <c r="CH22" s="15">
        <v>8586.9</v>
      </c>
      <c r="CI22" s="15">
        <v>9686.9</v>
      </c>
      <c r="CJ22" s="15">
        <v>9426.9</v>
      </c>
      <c r="CK22" s="15">
        <v>8586.9</v>
      </c>
      <c r="CL22" s="15">
        <v>0</v>
      </c>
      <c r="CM22" s="15">
        <v>9686.9</v>
      </c>
      <c r="CN22" s="15">
        <v>8586.9</v>
      </c>
      <c r="CO22" s="15"/>
      <c r="CP22" s="15"/>
      <c r="CQ22" s="16">
        <f t="shared" si="4"/>
        <v>762158.20000000065</v>
      </c>
      <c r="CR22" s="12">
        <f t="shared" si="5"/>
        <v>677381.20000000065</v>
      </c>
      <c r="CS22" s="12">
        <f t="shared" si="6"/>
        <v>33285</v>
      </c>
      <c r="CT22" s="12">
        <f t="shared" si="7"/>
        <v>51492</v>
      </c>
      <c r="CU22" s="12">
        <f t="shared" si="8"/>
        <v>0</v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</row>
    <row r="23" spans="1:124" s="12" customFormat="1" ht="13.5" outlineLevel="1" thickBot="1" x14ac:dyDescent="0.25">
      <c r="A23" s="17" t="s">
        <v>25</v>
      </c>
      <c r="B23" s="15"/>
      <c r="C23" s="15"/>
      <c r="D23" s="15"/>
      <c r="E23" s="15"/>
      <c r="F23" s="15"/>
      <c r="G23" s="15"/>
      <c r="H23" s="15">
        <v>1797.375223985294</v>
      </c>
      <c r="I23" s="15">
        <v>1797.375223985294</v>
      </c>
      <c r="J23" s="15">
        <v>1797.375223985294</v>
      </c>
      <c r="K23" s="15">
        <v>1797.375223985294</v>
      </c>
      <c r="L23" s="15">
        <v>1797.375223985294</v>
      </c>
      <c r="M23" s="15">
        <v>1797.375223985294</v>
      </c>
      <c r="N23" s="15">
        <v>1797.375223985294</v>
      </c>
      <c r="O23" s="15">
        <v>1797.375223985294</v>
      </c>
      <c r="P23" s="15">
        <v>1797.375223985294</v>
      </c>
      <c r="Q23" s="15">
        <v>1797.375223985294</v>
      </c>
      <c r="R23" s="15">
        <v>1797.375223985294</v>
      </c>
      <c r="S23" s="15">
        <v>1797.375223985294</v>
      </c>
      <c r="T23" s="15">
        <v>1797.375223985294</v>
      </c>
      <c r="U23" s="15">
        <v>1797.375223985294</v>
      </c>
      <c r="V23" s="15">
        <v>1797.375223985294</v>
      </c>
      <c r="W23" s="15">
        <v>1797.375223985294</v>
      </c>
      <c r="X23" s="15">
        <v>1797.375223985294</v>
      </c>
      <c r="Y23" s="15">
        <v>1797.375223985294</v>
      </c>
      <c r="Z23" s="15">
        <v>1797.375223985294</v>
      </c>
      <c r="AA23" s="15">
        <v>1797.375223985294</v>
      </c>
      <c r="AB23" s="15">
        <v>1797.375223985294</v>
      </c>
      <c r="AC23" s="15">
        <v>1797.375223985294</v>
      </c>
      <c r="AD23" s="15">
        <v>1797.375223985294</v>
      </c>
      <c r="AE23" s="15">
        <v>1797.375223985294</v>
      </c>
      <c r="AF23" s="15">
        <v>1797.375223985294</v>
      </c>
      <c r="AG23" s="15">
        <v>1797.375223985294</v>
      </c>
      <c r="AH23" s="15">
        <v>1797.375223985294</v>
      </c>
      <c r="AI23" s="15">
        <v>1797.375223985294</v>
      </c>
      <c r="AJ23" s="15">
        <v>1797.375223985294</v>
      </c>
      <c r="AK23" s="15">
        <v>1797.375223985294</v>
      </c>
      <c r="AL23" s="15">
        <v>1797.375223985294</v>
      </c>
      <c r="AM23" s="15">
        <v>1797.375223985294</v>
      </c>
      <c r="AN23" s="15">
        <v>1797.375223985294</v>
      </c>
      <c r="AO23" s="15">
        <v>1797.375223985294</v>
      </c>
      <c r="AP23" s="15">
        <v>1797.375223985294</v>
      </c>
      <c r="AQ23" s="15">
        <v>1797.375223985294</v>
      </c>
      <c r="AR23" s="15">
        <v>1797.375223985294</v>
      </c>
      <c r="AS23" s="15">
        <v>1797.375223985294</v>
      </c>
      <c r="AT23" s="15">
        <v>1797.375223985294</v>
      </c>
      <c r="AU23" s="15">
        <v>1797.375223985294</v>
      </c>
      <c r="AV23" s="15">
        <v>1797.375223985294</v>
      </c>
      <c r="AW23" s="15">
        <v>1797.375223985294</v>
      </c>
      <c r="AX23" s="15">
        <v>1797.375223985294</v>
      </c>
      <c r="AY23" s="15">
        <v>1797.375223985294</v>
      </c>
      <c r="AZ23" s="15">
        <v>1797.375223985294</v>
      </c>
      <c r="BA23" s="15">
        <v>1797.375223985294</v>
      </c>
      <c r="BB23" s="15">
        <v>1797.375223985294</v>
      </c>
      <c r="BC23" s="15">
        <v>1797.375223985294</v>
      </c>
      <c r="BD23" s="15">
        <v>1797.375223985294</v>
      </c>
      <c r="BE23" s="15">
        <v>1797.375223985294</v>
      </c>
      <c r="BF23" s="15">
        <v>1797.375223985294</v>
      </c>
      <c r="BG23" s="15">
        <v>1797.375223985294</v>
      </c>
      <c r="BH23" s="15">
        <v>1797.375223985294</v>
      </c>
      <c r="BI23" s="15">
        <v>1797.375223985294</v>
      </c>
      <c r="BJ23" s="15">
        <v>1797.375223985294</v>
      </c>
      <c r="BK23" s="15">
        <v>1797.375223985294</v>
      </c>
      <c r="BL23" s="15">
        <v>1797.375223985294</v>
      </c>
      <c r="BM23" s="15">
        <v>1797.375223985294</v>
      </c>
      <c r="BN23" s="15">
        <v>1797.375223985294</v>
      </c>
      <c r="BO23" s="15">
        <v>1797.375223985294</v>
      </c>
      <c r="BP23" s="15">
        <v>1797.375223985294</v>
      </c>
      <c r="BQ23" s="15">
        <v>1797.375223985294</v>
      </c>
      <c r="BR23" s="15">
        <v>1797.375223985294</v>
      </c>
      <c r="BS23" s="15">
        <v>1797.375223985294</v>
      </c>
      <c r="BT23" s="15">
        <v>1797.375223985294</v>
      </c>
      <c r="BU23" s="15">
        <v>1797.375223985294</v>
      </c>
      <c r="BV23" s="15">
        <v>1797.375223985294</v>
      </c>
      <c r="BW23" s="15">
        <v>1797.375223985294</v>
      </c>
      <c r="BX23" s="15">
        <v>1797.375223985294</v>
      </c>
      <c r="BY23" s="15">
        <v>1797.375223985294</v>
      </c>
      <c r="BZ23" s="15">
        <v>1797.375223985294</v>
      </c>
      <c r="CA23" s="15">
        <v>1797.375223985294</v>
      </c>
      <c r="CB23" s="15">
        <v>1797.375223985294</v>
      </c>
      <c r="CC23" s="15">
        <v>1797.375223985294</v>
      </c>
      <c r="CD23" s="15">
        <v>1797.375223985294</v>
      </c>
      <c r="CE23" s="15">
        <v>1797.375223985294</v>
      </c>
      <c r="CF23" s="15">
        <v>1797.375223985294</v>
      </c>
      <c r="CG23" s="15">
        <v>1797.375223985294</v>
      </c>
      <c r="CH23" s="15">
        <v>1797.375223985294</v>
      </c>
      <c r="CI23" s="15">
        <v>1797.375223985294</v>
      </c>
      <c r="CJ23" s="15">
        <v>1797.375223985294</v>
      </c>
      <c r="CK23" s="15">
        <v>1797.375223985294</v>
      </c>
      <c r="CL23" s="15">
        <v>1797.375223985294</v>
      </c>
      <c r="CM23" s="15">
        <v>1797.375223985294</v>
      </c>
      <c r="CN23" s="15">
        <v>1797.375223985294</v>
      </c>
      <c r="CO23" s="15"/>
      <c r="CP23" s="15"/>
      <c r="CQ23" s="16">
        <f t="shared" si="4"/>
        <v>152776.89403874983</v>
      </c>
      <c r="CR23" s="12">
        <f t="shared" si="5"/>
        <v>152776.89403874983</v>
      </c>
      <c r="CS23" s="12">
        <f t="shared" si="6"/>
        <v>0</v>
      </c>
      <c r="CT23" s="12">
        <f t="shared" si="7"/>
        <v>0</v>
      </c>
      <c r="CU23" s="12">
        <f t="shared" si="8"/>
        <v>0</v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</row>
    <row r="24" spans="1:124" s="12" customFormat="1" ht="13.5" thickTop="1" x14ac:dyDescent="0.2">
      <c r="A24" s="13" t="s">
        <v>11</v>
      </c>
      <c r="B24" s="13">
        <f t="shared" ref="B24:AG24" si="9">SUM(B19:B23)</f>
        <v>28560</v>
      </c>
      <c r="C24" s="13">
        <f t="shared" si="9"/>
        <v>0</v>
      </c>
      <c r="D24" s="13">
        <f t="shared" si="9"/>
        <v>1365</v>
      </c>
      <c r="E24" s="13">
        <f t="shared" si="9"/>
        <v>1995</v>
      </c>
      <c r="F24" s="13">
        <f t="shared" si="9"/>
        <v>1365</v>
      </c>
      <c r="G24" s="13">
        <f t="shared" si="9"/>
        <v>51492</v>
      </c>
      <c r="H24" s="13">
        <f t="shared" si="9"/>
        <v>14675.45169457353</v>
      </c>
      <c r="I24" s="13">
        <f t="shared" si="9"/>
        <v>14675.45169457353</v>
      </c>
      <c r="J24" s="13">
        <f t="shared" si="9"/>
        <v>17175.45169457353</v>
      </c>
      <c r="K24" s="13">
        <f t="shared" si="9"/>
        <v>14675.45169457353</v>
      </c>
      <c r="L24" s="13">
        <f t="shared" si="9"/>
        <v>14675.45169457353</v>
      </c>
      <c r="M24" s="13">
        <f t="shared" si="9"/>
        <v>15775.45169457353</v>
      </c>
      <c r="N24" s="13">
        <f t="shared" si="9"/>
        <v>18205.45169457353</v>
      </c>
      <c r="O24" s="13">
        <f t="shared" si="9"/>
        <v>14675.45169457353</v>
      </c>
      <c r="P24" s="13">
        <f t="shared" si="9"/>
        <v>15725.45169457353</v>
      </c>
      <c r="Q24" s="13">
        <f t="shared" si="9"/>
        <v>32675.451694573527</v>
      </c>
      <c r="R24" s="13">
        <f t="shared" si="9"/>
        <v>50675.45169457353</v>
      </c>
      <c r="S24" s="13">
        <f t="shared" si="9"/>
        <v>34565.451694573523</v>
      </c>
      <c r="T24" s="13">
        <f t="shared" si="9"/>
        <v>38705.451694573523</v>
      </c>
      <c r="U24" s="13">
        <f t="shared" si="9"/>
        <v>38705.451694573523</v>
      </c>
      <c r="V24" s="13">
        <f t="shared" si="9"/>
        <v>20775.45169457353</v>
      </c>
      <c r="W24" s="13">
        <f t="shared" si="9"/>
        <v>19675.45169457353</v>
      </c>
      <c r="X24" s="13">
        <f t="shared" si="9"/>
        <v>33835.45169457353</v>
      </c>
      <c r="Y24" s="13">
        <f t="shared" si="9"/>
        <v>36971.551694573529</v>
      </c>
      <c r="Z24" s="13">
        <f t="shared" si="9"/>
        <v>39508.451694573523</v>
      </c>
      <c r="AA24" s="13">
        <f t="shared" si="9"/>
        <v>39508.451694573523</v>
      </c>
      <c r="AB24" s="13">
        <f t="shared" si="9"/>
        <v>31971.551694573529</v>
      </c>
      <c r="AC24" s="13">
        <f t="shared" si="9"/>
        <v>149155.55169457351</v>
      </c>
      <c r="AD24" s="13">
        <f t="shared" si="9"/>
        <v>31971.551694573529</v>
      </c>
      <c r="AE24" s="13">
        <f t="shared" si="9"/>
        <v>28205.45169457353</v>
      </c>
      <c r="AF24" s="13">
        <f t="shared" si="9"/>
        <v>180422.45169457351</v>
      </c>
      <c r="AG24" s="13">
        <f t="shared" si="9"/>
        <v>55640.45169457353</v>
      </c>
      <c r="AH24" s="13">
        <f t="shared" ref="AH24:BM24" si="10">SUM(AH19:AH23)</f>
        <v>43138.551694573529</v>
      </c>
      <c r="AI24" s="13">
        <f t="shared" si="10"/>
        <v>43138.551694573529</v>
      </c>
      <c r="AJ24" s="13">
        <f t="shared" si="10"/>
        <v>43138.551694573529</v>
      </c>
      <c r="AK24" s="13">
        <f t="shared" si="10"/>
        <v>7138.5516945735289</v>
      </c>
      <c r="AL24" s="13">
        <f t="shared" si="10"/>
        <v>14675.45169457353</v>
      </c>
      <c r="AM24" s="13">
        <f t="shared" si="10"/>
        <v>7138.5516945735289</v>
      </c>
      <c r="AN24" s="13">
        <f t="shared" si="10"/>
        <v>7138.5516945735289</v>
      </c>
      <c r="AO24" s="13">
        <f t="shared" si="10"/>
        <v>14675.45169457353</v>
      </c>
      <c r="AP24" s="13">
        <f t="shared" si="10"/>
        <v>14675.45169457353</v>
      </c>
      <c r="AQ24" s="13">
        <f t="shared" si="10"/>
        <v>14675.45169457353</v>
      </c>
      <c r="AR24" s="13">
        <f t="shared" si="10"/>
        <v>15775.45169457353</v>
      </c>
      <c r="AS24" s="13">
        <f t="shared" si="10"/>
        <v>7138.5516945735289</v>
      </c>
      <c r="AT24" s="13">
        <f t="shared" si="10"/>
        <v>14675.45169457353</v>
      </c>
      <c r="AU24" s="13">
        <f t="shared" si="10"/>
        <v>7138.5516945735289</v>
      </c>
      <c r="AV24" s="13">
        <f t="shared" si="10"/>
        <v>14675.45169457353</v>
      </c>
      <c r="AW24" s="13">
        <f t="shared" si="10"/>
        <v>7138.5516945735289</v>
      </c>
      <c r="AX24" s="13">
        <f t="shared" si="10"/>
        <v>15775.45169457353</v>
      </c>
      <c r="AY24" s="13">
        <f t="shared" si="10"/>
        <v>7138.5516945735289</v>
      </c>
      <c r="AZ24" s="13">
        <f t="shared" si="10"/>
        <v>16565.45169457353</v>
      </c>
      <c r="BA24" s="13">
        <f t="shared" si="10"/>
        <v>7138.5516945735289</v>
      </c>
      <c r="BB24" s="13">
        <f t="shared" si="10"/>
        <v>19138.551694573529</v>
      </c>
      <c r="BC24" s="13">
        <f t="shared" si="10"/>
        <v>15775.45169457353</v>
      </c>
      <c r="BD24" s="13">
        <f t="shared" si="10"/>
        <v>19138.551694573529</v>
      </c>
      <c r="BE24" s="13">
        <f t="shared" si="10"/>
        <v>19138.551694573529</v>
      </c>
      <c r="BF24" s="13">
        <f t="shared" si="10"/>
        <v>19138.551694573529</v>
      </c>
      <c r="BG24" s="13">
        <f t="shared" si="10"/>
        <v>19138.551694573529</v>
      </c>
      <c r="BH24" s="13">
        <f t="shared" si="10"/>
        <v>19138.551694573529</v>
      </c>
      <c r="BI24" s="13">
        <f t="shared" si="10"/>
        <v>19138.551694573529</v>
      </c>
      <c r="BJ24" s="13">
        <f t="shared" si="10"/>
        <v>19138.551694573529</v>
      </c>
      <c r="BK24" s="13">
        <f t="shared" si="10"/>
        <v>14675.45169457353</v>
      </c>
      <c r="BL24" s="13">
        <f t="shared" si="10"/>
        <v>28565.45169457353</v>
      </c>
      <c r="BM24" s="13">
        <f t="shared" si="10"/>
        <v>19138.551694573529</v>
      </c>
      <c r="BN24" s="13">
        <f t="shared" ref="BN24:CQ24" si="11">SUM(BN19:BN23)</f>
        <v>14675.45169457353</v>
      </c>
      <c r="BO24" s="13">
        <f t="shared" si="11"/>
        <v>7138.5516945735289</v>
      </c>
      <c r="BP24" s="13">
        <f t="shared" si="11"/>
        <v>17175.45169457353</v>
      </c>
      <c r="BQ24" s="13">
        <f t="shared" si="11"/>
        <v>7138.5516945735289</v>
      </c>
      <c r="BR24" s="13">
        <f t="shared" si="11"/>
        <v>15775.45169457353</v>
      </c>
      <c r="BS24" s="13">
        <f t="shared" si="11"/>
        <v>7138.5516945735289</v>
      </c>
      <c r="BT24" s="13">
        <f t="shared" si="11"/>
        <v>15775.45169457353</v>
      </c>
      <c r="BU24" s="13">
        <f t="shared" si="11"/>
        <v>7138.5516945735289</v>
      </c>
      <c r="BV24" s="13">
        <f t="shared" si="11"/>
        <v>7138.5516945735289</v>
      </c>
      <c r="BW24" s="13">
        <f t="shared" si="11"/>
        <v>7138.5516945735289</v>
      </c>
      <c r="BX24" s="13">
        <f t="shared" si="11"/>
        <v>15725.45169457353</v>
      </c>
      <c r="BY24" s="13">
        <f t="shared" si="11"/>
        <v>7138.5516945735289</v>
      </c>
      <c r="BZ24" s="13">
        <f t="shared" si="11"/>
        <v>16825.45169457353</v>
      </c>
      <c r="CA24" s="13">
        <f t="shared" si="11"/>
        <v>7138.5516945735289</v>
      </c>
      <c r="CB24" s="13">
        <f t="shared" si="11"/>
        <v>7138.5516945735289</v>
      </c>
      <c r="CC24" s="13">
        <f t="shared" si="11"/>
        <v>16825.45169457353</v>
      </c>
      <c r="CD24" s="13">
        <f t="shared" si="11"/>
        <v>7138.5516945735289</v>
      </c>
      <c r="CE24" s="13">
        <f t="shared" si="11"/>
        <v>7138.5516945735289</v>
      </c>
      <c r="CF24" s="13">
        <f t="shared" si="11"/>
        <v>15200.45169457353</v>
      </c>
      <c r="CG24" s="13">
        <f t="shared" si="11"/>
        <v>7138.5516945735289</v>
      </c>
      <c r="CH24" s="13">
        <f t="shared" si="11"/>
        <v>15725.45169457353</v>
      </c>
      <c r="CI24" s="13">
        <f t="shared" si="11"/>
        <v>16825.45169457353</v>
      </c>
      <c r="CJ24" s="13">
        <f t="shared" si="11"/>
        <v>16565.45169457353</v>
      </c>
      <c r="CK24" s="13">
        <f t="shared" si="11"/>
        <v>15725.45169457353</v>
      </c>
      <c r="CL24" s="13">
        <f t="shared" si="11"/>
        <v>7138.5516945735289</v>
      </c>
      <c r="CM24" s="13">
        <f t="shared" ref="CM24" si="12">SUM(CM19:CM23)</f>
        <v>16825.45169457353</v>
      </c>
      <c r="CN24" s="13">
        <f t="shared" si="11"/>
        <v>15725.45169457353</v>
      </c>
      <c r="CO24" s="13">
        <f t="shared" si="11"/>
        <v>0</v>
      </c>
      <c r="CP24" s="13">
        <f t="shared" si="11"/>
        <v>0</v>
      </c>
      <c r="CQ24" s="13">
        <f t="shared" si="11"/>
        <v>1960134.094038751</v>
      </c>
      <c r="CR24" s="52">
        <f>SUM(CR19:CR23)</f>
        <v>1875357.094038751</v>
      </c>
      <c r="CS24" s="52">
        <f>SUM(CS19:CS23)</f>
        <v>33285</v>
      </c>
      <c r="CT24" s="52">
        <f>SUM(CT19:CT23)</f>
        <v>51492</v>
      </c>
      <c r="CU24" s="52">
        <f>SUM(CU19:CU23)</f>
        <v>0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</row>
    <row r="25" spans="1:12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S25" s="53">
        <f>SUM(CR24:CU24)</f>
        <v>1960134.094038751</v>
      </c>
      <c r="CT25" s="19"/>
    </row>
    <row r="26" spans="1:124" x14ac:dyDescent="0.2">
      <c r="A26" s="13"/>
      <c r="B26" s="13"/>
      <c r="C26" s="13"/>
      <c r="D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CS26" s="19"/>
      <c r="CT26" s="19"/>
    </row>
    <row r="27" spans="1:124" ht="10.15" customHeight="1" x14ac:dyDescent="0.2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51" t="s">
        <v>69</v>
      </c>
      <c r="CS27" s="51"/>
      <c r="CT27" s="51"/>
      <c r="CU27" s="51"/>
    </row>
    <row r="28" spans="1:124" x14ac:dyDescent="0.2">
      <c r="A28" s="21" t="s">
        <v>1</v>
      </c>
      <c r="B28" s="21" t="s">
        <v>3</v>
      </c>
      <c r="C28" s="21" t="s">
        <v>42</v>
      </c>
      <c r="D28" s="21" t="s">
        <v>121</v>
      </c>
      <c r="E28" s="21" t="s">
        <v>116</v>
      </c>
      <c r="F28" s="21" t="s">
        <v>4</v>
      </c>
      <c r="G28" s="21" t="s">
        <v>43</v>
      </c>
      <c r="H28" s="21" t="s">
        <v>28</v>
      </c>
      <c r="I28" s="21" t="s">
        <v>44</v>
      </c>
      <c r="J28" s="21" t="s">
        <v>29</v>
      </c>
      <c r="K28" s="21" t="s">
        <v>56</v>
      </c>
      <c r="L28" s="21" t="s">
        <v>45</v>
      </c>
      <c r="M28" s="21" t="s">
        <v>54</v>
      </c>
      <c r="N28" s="21" t="s">
        <v>5</v>
      </c>
      <c r="O28" s="21" t="s">
        <v>46</v>
      </c>
      <c r="P28" s="21" t="s">
        <v>6</v>
      </c>
      <c r="Q28" s="21" t="s">
        <v>113</v>
      </c>
      <c r="R28" s="21" t="s">
        <v>26</v>
      </c>
      <c r="S28" s="21" t="s">
        <v>7</v>
      </c>
      <c r="T28" s="21" t="s">
        <v>47</v>
      </c>
      <c r="U28" s="21" t="s">
        <v>30</v>
      </c>
      <c r="V28" s="21" t="s">
        <v>31</v>
      </c>
      <c r="W28" s="21" t="s">
        <v>8</v>
      </c>
      <c r="X28" s="21" t="s">
        <v>48</v>
      </c>
      <c r="Y28" s="21" t="s">
        <v>32</v>
      </c>
      <c r="Z28" s="21" t="s">
        <v>49</v>
      </c>
      <c r="AA28" s="21" t="s">
        <v>33</v>
      </c>
      <c r="AB28" s="21" t="s">
        <v>34</v>
      </c>
      <c r="AC28" s="21" t="s">
        <v>35</v>
      </c>
      <c r="AD28" s="21" t="s">
        <v>9</v>
      </c>
      <c r="AE28" s="21" t="s">
        <v>36</v>
      </c>
      <c r="AF28" s="21" t="s">
        <v>37</v>
      </c>
      <c r="AG28" s="21" t="s">
        <v>10</v>
      </c>
      <c r="AH28" s="21" t="s">
        <v>62</v>
      </c>
      <c r="AI28" s="21" t="s">
        <v>50</v>
      </c>
      <c r="AJ28" s="21" t="s">
        <v>38</v>
      </c>
      <c r="AK28" s="21" t="s">
        <v>27</v>
      </c>
      <c r="AL28" s="21" t="s">
        <v>39</v>
      </c>
      <c r="AM28" s="21" t="s">
        <v>40</v>
      </c>
      <c r="AN28" s="21" t="s">
        <v>21</v>
      </c>
      <c r="AO28" s="21" t="s">
        <v>41</v>
      </c>
      <c r="AP28" s="21" t="s">
        <v>55</v>
      </c>
      <c r="AQ28" s="21" t="s">
        <v>63</v>
      </c>
      <c r="AR28" s="21" t="s">
        <v>22</v>
      </c>
      <c r="AS28" s="21" t="s">
        <v>51</v>
      </c>
      <c r="AT28" s="21" t="s">
        <v>52</v>
      </c>
      <c r="AU28" s="21" t="s">
        <v>53</v>
      </c>
      <c r="AV28" s="21" t="s">
        <v>57</v>
      </c>
      <c r="AW28" s="21" t="s">
        <v>60</v>
      </c>
      <c r="AX28" s="21" t="s">
        <v>58</v>
      </c>
      <c r="AY28" s="21" t="s">
        <v>59</v>
      </c>
      <c r="AZ28" s="21" t="s">
        <v>111</v>
      </c>
      <c r="BA28" s="21" t="s">
        <v>65</v>
      </c>
      <c r="BB28" s="21" t="s">
        <v>66</v>
      </c>
      <c r="BC28" s="21" t="s">
        <v>67</v>
      </c>
      <c r="BD28" s="21" t="s">
        <v>64</v>
      </c>
      <c r="BE28" s="21" t="s">
        <v>68</v>
      </c>
      <c r="BF28" s="21" t="s">
        <v>74</v>
      </c>
      <c r="BG28" s="21" t="s">
        <v>75</v>
      </c>
      <c r="BH28" s="21" t="s">
        <v>107</v>
      </c>
      <c r="BI28" s="21" t="s">
        <v>110</v>
      </c>
      <c r="BJ28" s="21" t="s">
        <v>115</v>
      </c>
      <c r="BK28" s="21" t="s">
        <v>117</v>
      </c>
      <c r="BL28" s="21" t="s">
        <v>118</v>
      </c>
      <c r="BM28" s="21" t="s">
        <v>119</v>
      </c>
      <c r="BN28" s="21" t="s">
        <v>120</v>
      </c>
      <c r="BO28" s="21" t="s">
        <v>122</v>
      </c>
      <c r="BP28" s="21" t="s">
        <v>123</v>
      </c>
      <c r="BQ28" s="21" t="s">
        <v>124</v>
      </c>
      <c r="BR28" s="21" t="s">
        <v>125</v>
      </c>
      <c r="BS28" s="21" t="s">
        <v>127</v>
      </c>
      <c r="BT28" s="21" t="s">
        <v>128</v>
      </c>
      <c r="BU28" s="21" t="s">
        <v>129</v>
      </c>
      <c r="BV28" s="21" t="s">
        <v>130</v>
      </c>
      <c r="BW28" s="21" t="s">
        <v>131</v>
      </c>
      <c r="BX28" s="21" t="s">
        <v>134</v>
      </c>
      <c r="BY28" s="21" t="s">
        <v>136</v>
      </c>
      <c r="BZ28" s="21" t="s">
        <v>137</v>
      </c>
      <c r="CA28" s="21" t="s">
        <v>172</v>
      </c>
      <c r="CB28" s="21" t="s">
        <v>173</v>
      </c>
      <c r="CC28" s="21" t="s">
        <v>174</v>
      </c>
      <c r="CD28" s="21" t="s">
        <v>175</v>
      </c>
      <c r="CE28" s="21" t="s">
        <v>176</v>
      </c>
      <c r="CF28" s="21" t="s">
        <v>177</v>
      </c>
      <c r="CG28" s="21" t="s">
        <v>178</v>
      </c>
      <c r="CH28" s="21" t="s">
        <v>179</v>
      </c>
      <c r="CI28" s="21" t="s">
        <v>180</v>
      </c>
      <c r="CJ28" s="21" t="s">
        <v>181</v>
      </c>
      <c r="CK28" s="21" t="s">
        <v>182</v>
      </c>
      <c r="CL28" s="21" t="s">
        <v>184</v>
      </c>
      <c r="CM28" s="21" t="s">
        <v>185</v>
      </c>
      <c r="CN28" s="21" t="s">
        <v>187</v>
      </c>
      <c r="CO28" s="21" t="s">
        <v>631</v>
      </c>
      <c r="CP28" s="21" t="s">
        <v>635</v>
      </c>
      <c r="CQ28" s="21" t="s">
        <v>2</v>
      </c>
      <c r="CR28" s="21" t="s">
        <v>70</v>
      </c>
      <c r="CS28" s="21" t="s">
        <v>71</v>
      </c>
      <c r="CT28" s="21" t="s">
        <v>72</v>
      </c>
      <c r="CU28" s="21" t="s">
        <v>73</v>
      </c>
    </row>
    <row r="29" spans="1:124" s="12" customFormat="1" outlineLevel="1" x14ac:dyDescent="0.2">
      <c r="A29" s="14" t="s">
        <v>96</v>
      </c>
      <c r="B29" s="18">
        <f>+B7-B19</f>
        <v>0</v>
      </c>
      <c r="C29" s="18">
        <f t="shared" ref="C29:BN30" si="13">+C7-C19</f>
        <v>0</v>
      </c>
      <c r="D29" s="18">
        <f t="shared" si="13"/>
        <v>0</v>
      </c>
      <c r="E29" s="18">
        <f t="shared" si="13"/>
        <v>0</v>
      </c>
      <c r="F29" s="18">
        <f t="shared" si="13"/>
        <v>0</v>
      </c>
      <c r="G29" s="18">
        <f t="shared" si="13"/>
        <v>0</v>
      </c>
      <c r="H29" s="18">
        <f t="shared" si="13"/>
        <v>0</v>
      </c>
      <c r="I29" s="18">
        <f t="shared" si="13"/>
        <v>0</v>
      </c>
      <c r="J29" s="18">
        <f t="shared" si="13"/>
        <v>0</v>
      </c>
      <c r="K29" s="18">
        <f t="shared" si="13"/>
        <v>0</v>
      </c>
      <c r="L29" s="18">
        <f t="shared" si="13"/>
        <v>0</v>
      </c>
      <c r="M29" s="18">
        <f t="shared" si="13"/>
        <v>0</v>
      </c>
      <c r="N29" s="18">
        <f t="shared" si="13"/>
        <v>0</v>
      </c>
      <c r="O29" s="18">
        <f t="shared" si="13"/>
        <v>0</v>
      </c>
      <c r="P29" s="18">
        <f t="shared" si="13"/>
        <v>0</v>
      </c>
      <c r="Q29" s="18">
        <f t="shared" si="13"/>
        <v>0</v>
      </c>
      <c r="R29" s="18">
        <f t="shared" si="13"/>
        <v>0</v>
      </c>
      <c r="S29" s="18">
        <f t="shared" si="13"/>
        <v>0</v>
      </c>
      <c r="T29" s="18">
        <f t="shared" si="13"/>
        <v>0</v>
      </c>
      <c r="U29" s="18">
        <f t="shared" si="13"/>
        <v>0</v>
      </c>
      <c r="V29" s="18">
        <f t="shared" si="13"/>
        <v>0</v>
      </c>
      <c r="W29" s="18">
        <f t="shared" si="13"/>
        <v>0</v>
      </c>
      <c r="X29" s="18">
        <f t="shared" si="13"/>
        <v>0</v>
      </c>
      <c r="Y29" s="18">
        <f t="shared" si="13"/>
        <v>0</v>
      </c>
      <c r="Z29" s="18">
        <f t="shared" si="13"/>
        <v>0</v>
      </c>
      <c r="AA29" s="18">
        <f t="shared" si="13"/>
        <v>0</v>
      </c>
      <c r="AB29" s="18">
        <f t="shared" si="13"/>
        <v>0</v>
      </c>
      <c r="AC29" s="18">
        <f t="shared" si="13"/>
        <v>-117183.99999999999</v>
      </c>
      <c r="AD29" s="18">
        <f t="shared" si="13"/>
        <v>11902.9</v>
      </c>
      <c r="AE29" s="18">
        <f t="shared" si="13"/>
        <v>0</v>
      </c>
      <c r="AF29" s="18">
        <f t="shared" si="13"/>
        <v>-117183.99999999999</v>
      </c>
      <c r="AG29" s="18">
        <f t="shared" si="13"/>
        <v>0</v>
      </c>
      <c r="AH29" s="18">
        <f t="shared" si="13"/>
        <v>0</v>
      </c>
      <c r="AI29" s="18">
        <f t="shared" si="13"/>
        <v>0</v>
      </c>
      <c r="AJ29" s="18">
        <f t="shared" si="13"/>
        <v>0</v>
      </c>
      <c r="AK29" s="18">
        <f t="shared" si="13"/>
        <v>0</v>
      </c>
      <c r="AL29" s="18">
        <f t="shared" si="13"/>
        <v>0</v>
      </c>
      <c r="AM29" s="18">
        <f t="shared" si="13"/>
        <v>0</v>
      </c>
      <c r="AN29" s="18">
        <f t="shared" si="13"/>
        <v>0</v>
      </c>
      <c r="AO29" s="18">
        <f t="shared" si="13"/>
        <v>0</v>
      </c>
      <c r="AP29" s="18">
        <f t="shared" si="13"/>
        <v>0</v>
      </c>
      <c r="AQ29" s="18">
        <f t="shared" si="13"/>
        <v>0</v>
      </c>
      <c r="AR29" s="18">
        <f t="shared" si="13"/>
        <v>0</v>
      </c>
      <c r="AS29" s="18">
        <f t="shared" si="13"/>
        <v>0</v>
      </c>
      <c r="AT29" s="18">
        <f t="shared" si="13"/>
        <v>0</v>
      </c>
      <c r="AU29" s="18">
        <f t="shared" si="13"/>
        <v>0</v>
      </c>
      <c r="AV29" s="18">
        <f t="shared" si="13"/>
        <v>0</v>
      </c>
      <c r="AW29" s="18">
        <f t="shared" si="13"/>
        <v>0</v>
      </c>
      <c r="AX29" s="18">
        <f t="shared" si="13"/>
        <v>0</v>
      </c>
      <c r="AY29" s="18">
        <f t="shared" si="13"/>
        <v>0</v>
      </c>
      <c r="AZ29" s="18">
        <f t="shared" si="13"/>
        <v>0</v>
      </c>
      <c r="BA29" s="18">
        <f t="shared" si="13"/>
        <v>0</v>
      </c>
      <c r="BB29" s="18">
        <f t="shared" si="13"/>
        <v>0</v>
      </c>
      <c r="BC29" s="18">
        <f t="shared" si="13"/>
        <v>65923.740000000005</v>
      </c>
      <c r="BD29" s="18">
        <f t="shared" si="13"/>
        <v>0</v>
      </c>
      <c r="BE29" s="18">
        <f t="shared" si="13"/>
        <v>0</v>
      </c>
      <c r="BF29" s="18">
        <f t="shared" si="13"/>
        <v>0</v>
      </c>
      <c r="BG29" s="18">
        <f t="shared" si="13"/>
        <v>0</v>
      </c>
      <c r="BH29" s="18">
        <f t="shared" si="13"/>
        <v>0</v>
      </c>
      <c r="BI29" s="18">
        <f t="shared" si="13"/>
        <v>0</v>
      </c>
      <c r="BJ29" s="18">
        <f t="shared" si="13"/>
        <v>0</v>
      </c>
      <c r="BK29" s="18">
        <f t="shared" si="13"/>
        <v>0</v>
      </c>
      <c r="BL29" s="18">
        <f t="shared" si="13"/>
        <v>0</v>
      </c>
      <c r="BM29" s="18">
        <f t="shared" si="13"/>
        <v>0</v>
      </c>
      <c r="BN29" s="18">
        <f t="shared" si="13"/>
        <v>0</v>
      </c>
      <c r="BO29" s="18">
        <f t="shared" ref="BO29:CP33" si="14">+BO7-BO19</f>
        <v>0</v>
      </c>
      <c r="BP29" s="18">
        <f t="shared" si="14"/>
        <v>0</v>
      </c>
      <c r="BQ29" s="18">
        <f t="shared" si="14"/>
        <v>0</v>
      </c>
      <c r="BR29" s="18">
        <f t="shared" si="14"/>
        <v>0</v>
      </c>
      <c r="BS29" s="18">
        <f t="shared" si="14"/>
        <v>0</v>
      </c>
      <c r="BT29" s="18">
        <f t="shared" si="14"/>
        <v>0</v>
      </c>
      <c r="BU29" s="18">
        <f t="shared" si="14"/>
        <v>0</v>
      </c>
      <c r="BV29" s="18">
        <f t="shared" si="14"/>
        <v>0</v>
      </c>
      <c r="BW29" s="18">
        <f t="shared" si="14"/>
        <v>0</v>
      </c>
      <c r="BX29" s="18">
        <f t="shared" si="14"/>
        <v>0</v>
      </c>
      <c r="BY29" s="18">
        <f t="shared" si="14"/>
        <v>0</v>
      </c>
      <c r="BZ29" s="18">
        <f t="shared" si="14"/>
        <v>0</v>
      </c>
      <c r="CA29" s="18">
        <f t="shared" si="14"/>
        <v>0</v>
      </c>
      <c r="CB29" s="18">
        <f t="shared" si="14"/>
        <v>0</v>
      </c>
      <c r="CC29" s="18">
        <f t="shared" si="14"/>
        <v>0</v>
      </c>
      <c r="CD29" s="18">
        <f t="shared" si="14"/>
        <v>8789.83</v>
      </c>
      <c r="CE29" s="18">
        <f t="shared" si="14"/>
        <v>0</v>
      </c>
      <c r="CF29" s="18">
        <f t="shared" si="14"/>
        <v>0</v>
      </c>
      <c r="CG29" s="18">
        <f t="shared" si="14"/>
        <v>0</v>
      </c>
      <c r="CH29" s="18">
        <f t="shared" si="14"/>
        <v>0</v>
      </c>
      <c r="CI29" s="18">
        <f t="shared" si="14"/>
        <v>0</v>
      </c>
      <c r="CJ29" s="18">
        <f t="shared" si="14"/>
        <v>0</v>
      </c>
      <c r="CK29" s="18">
        <f t="shared" si="14"/>
        <v>0</v>
      </c>
      <c r="CL29" s="18">
        <f t="shared" si="14"/>
        <v>0</v>
      </c>
      <c r="CM29" s="18">
        <f t="shared" si="14"/>
        <v>0</v>
      </c>
      <c r="CN29" s="18">
        <f t="shared" si="14"/>
        <v>0</v>
      </c>
      <c r="CO29" s="18">
        <f t="shared" si="14"/>
        <v>0</v>
      </c>
      <c r="CP29" s="18">
        <f t="shared" si="14"/>
        <v>0</v>
      </c>
      <c r="CQ29" s="16">
        <f t="shared" ref="CQ29:CQ33" si="15">SUM(B29:CP29)</f>
        <v>-147751.53</v>
      </c>
      <c r="CR29" s="12">
        <f>SUM(H29:CP29)</f>
        <v>-147751.53</v>
      </c>
      <c r="CS29" s="12">
        <f>+B29+E29+D29+F29</f>
        <v>0</v>
      </c>
      <c r="CT29" s="12">
        <f>+G29</f>
        <v>0</v>
      </c>
      <c r="CU29" s="12">
        <f>+C29</f>
        <v>0</v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</row>
    <row r="30" spans="1:124" s="12" customFormat="1" outlineLevel="1" x14ac:dyDescent="0.2">
      <c r="A30" s="17" t="s">
        <v>14</v>
      </c>
      <c r="B30" s="18">
        <f t="shared" ref="B30:Q33" si="16">+B8-B20</f>
        <v>10860.3</v>
      </c>
      <c r="C30" s="18">
        <f t="shared" si="16"/>
        <v>34631.18</v>
      </c>
      <c r="D30" s="18">
        <f t="shared" si="16"/>
        <v>0</v>
      </c>
      <c r="E30" s="18">
        <f t="shared" si="16"/>
        <v>21500</v>
      </c>
      <c r="F30" s="18">
        <f t="shared" si="16"/>
        <v>11527.26</v>
      </c>
      <c r="G30" s="18">
        <f t="shared" si="16"/>
        <v>30631.03</v>
      </c>
      <c r="H30" s="18">
        <f t="shared" si="16"/>
        <v>0</v>
      </c>
      <c r="I30" s="18">
        <f t="shared" si="16"/>
        <v>1665</v>
      </c>
      <c r="J30" s="18">
        <f t="shared" si="16"/>
        <v>709.97</v>
      </c>
      <c r="K30" s="18">
        <f t="shared" si="16"/>
        <v>17331</v>
      </c>
      <c r="L30" s="18">
        <f t="shared" si="16"/>
        <v>29999.759999999998</v>
      </c>
      <c r="M30" s="18">
        <f t="shared" si="16"/>
        <v>67968.990000000005</v>
      </c>
      <c r="N30" s="18">
        <f t="shared" si="16"/>
        <v>0</v>
      </c>
      <c r="O30" s="18">
        <f t="shared" si="16"/>
        <v>20858.620000000003</v>
      </c>
      <c r="P30" s="18">
        <f t="shared" si="16"/>
        <v>6262.3499999999995</v>
      </c>
      <c r="Q30" s="18">
        <f t="shared" si="16"/>
        <v>-18000</v>
      </c>
      <c r="R30" s="18">
        <f t="shared" si="13"/>
        <v>-31046.080000000002</v>
      </c>
      <c r="S30" s="18">
        <f t="shared" si="13"/>
        <v>-12170.69</v>
      </c>
      <c r="T30" s="18">
        <f t="shared" si="13"/>
        <v>-17691.400000000001</v>
      </c>
      <c r="U30" s="18">
        <f t="shared" si="13"/>
        <v>-18000</v>
      </c>
      <c r="V30" s="18">
        <f t="shared" si="13"/>
        <v>12944.220000000001</v>
      </c>
      <c r="W30" s="18">
        <f t="shared" si="13"/>
        <v>8494.69</v>
      </c>
      <c r="X30" s="18">
        <f t="shared" si="13"/>
        <v>3850</v>
      </c>
      <c r="Y30" s="18">
        <f t="shared" si="13"/>
        <v>20315.91</v>
      </c>
      <c r="Z30" s="18">
        <f t="shared" si="13"/>
        <v>7363.7100000000028</v>
      </c>
      <c r="AA30" s="18">
        <f t="shared" si="13"/>
        <v>-9311.41</v>
      </c>
      <c r="AB30" s="18">
        <f t="shared" si="13"/>
        <v>-2851.7</v>
      </c>
      <c r="AC30" s="18">
        <f t="shared" si="13"/>
        <v>12141.580000000002</v>
      </c>
      <c r="AD30" s="18">
        <f t="shared" si="13"/>
        <v>4764</v>
      </c>
      <c r="AE30" s="18">
        <f t="shared" si="13"/>
        <v>14153.98</v>
      </c>
      <c r="AF30" s="18">
        <f t="shared" si="13"/>
        <v>-43354.74</v>
      </c>
      <c r="AG30" s="18">
        <f t="shared" si="13"/>
        <v>-35702</v>
      </c>
      <c r="AH30" s="18">
        <f t="shared" si="13"/>
        <v>-31809.3</v>
      </c>
      <c r="AI30" s="18">
        <f t="shared" si="13"/>
        <v>5348.6299999999974</v>
      </c>
      <c r="AJ30" s="18">
        <f t="shared" si="13"/>
        <v>-26604</v>
      </c>
      <c r="AK30" s="18">
        <f t="shared" si="13"/>
        <v>22760</v>
      </c>
      <c r="AL30" s="18">
        <f t="shared" si="13"/>
        <v>2100</v>
      </c>
      <c r="AM30" s="18">
        <f t="shared" si="13"/>
        <v>150</v>
      </c>
      <c r="AN30" s="18">
        <f t="shared" si="13"/>
        <v>4300</v>
      </c>
      <c r="AO30" s="18">
        <f t="shared" si="13"/>
        <v>366.52</v>
      </c>
      <c r="AP30" s="18">
        <f t="shared" si="13"/>
        <v>5310.73</v>
      </c>
      <c r="AQ30" s="18">
        <f t="shared" si="13"/>
        <v>5594.91</v>
      </c>
      <c r="AR30" s="18">
        <f t="shared" si="13"/>
        <v>7075.79</v>
      </c>
      <c r="AS30" s="18">
        <f t="shared" si="13"/>
        <v>330</v>
      </c>
      <c r="AT30" s="18">
        <f t="shared" si="13"/>
        <v>0</v>
      </c>
      <c r="AU30" s="18">
        <f t="shared" si="13"/>
        <v>2967</v>
      </c>
      <c r="AV30" s="18">
        <f t="shared" si="13"/>
        <v>0</v>
      </c>
      <c r="AW30" s="18">
        <f t="shared" si="13"/>
        <v>11360</v>
      </c>
      <c r="AX30" s="18">
        <f t="shared" si="13"/>
        <v>299</v>
      </c>
      <c r="AY30" s="18">
        <f t="shared" si="13"/>
        <v>0</v>
      </c>
      <c r="AZ30" s="18">
        <f t="shared" si="13"/>
        <v>2365.37</v>
      </c>
      <c r="BA30" s="18">
        <f t="shared" si="13"/>
        <v>3545</v>
      </c>
      <c r="BB30" s="18">
        <f t="shared" si="13"/>
        <v>170</v>
      </c>
      <c r="BC30" s="18">
        <f t="shared" si="13"/>
        <v>15500</v>
      </c>
      <c r="BD30" s="18">
        <f t="shared" si="13"/>
        <v>12565</v>
      </c>
      <c r="BE30" s="18">
        <f t="shared" si="13"/>
        <v>137</v>
      </c>
      <c r="BF30" s="18">
        <f t="shared" si="13"/>
        <v>20000</v>
      </c>
      <c r="BG30" s="18">
        <f t="shared" si="13"/>
        <v>0</v>
      </c>
      <c r="BH30" s="18">
        <f t="shared" si="13"/>
        <v>13421.07</v>
      </c>
      <c r="BI30" s="18">
        <f t="shared" si="13"/>
        <v>945</v>
      </c>
      <c r="BJ30" s="18">
        <f t="shared" si="13"/>
        <v>0</v>
      </c>
      <c r="BK30" s="18">
        <f t="shared" si="13"/>
        <v>12164.91</v>
      </c>
      <c r="BL30" s="18">
        <f t="shared" si="13"/>
        <v>10165</v>
      </c>
      <c r="BM30" s="18">
        <f t="shared" si="13"/>
        <v>283</v>
      </c>
      <c r="BN30" s="18">
        <f t="shared" si="13"/>
        <v>20774</v>
      </c>
      <c r="BO30" s="18">
        <f t="shared" si="14"/>
        <v>0</v>
      </c>
      <c r="BP30" s="18">
        <f t="shared" si="14"/>
        <v>24386.01</v>
      </c>
      <c r="BQ30" s="18">
        <f t="shared" si="14"/>
        <v>195</v>
      </c>
      <c r="BR30" s="18">
        <f t="shared" si="14"/>
        <v>36399</v>
      </c>
      <c r="BS30" s="18">
        <f t="shared" si="14"/>
        <v>5000</v>
      </c>
      <c r="BT30" s="18">
        <f t="shared" si="14"/>
        <v>2048.23</v>
      </c>
      <c r="BU30" s="18">
        <f t="shared" si="14"/>
        <v>39130</v>
      </c>
      <c r="BV30" s="18">
        <f t="shared" si="14"/>
        <v>306.98</v>
      </c>
      <c r="BW30" s="18">
        <f t="shared" si="14"/>
        <v>303</v>
      </c>
      <c r="BX30" s="18">
        <f t="shared" si="14"/>
        <v>11512.6</v>
      </c>
      <c r="BY30" s="18">
        <f t="shared" si="14"/>
        <v>4520.0000000000036</v>
      </c>
      <c r="BZ30" s="18">
        <f t="shared" si="14"/>
        <v>5900</v>
      </c>
      <c r="CA30" s="18">
        <f t="shared" si="14"/>
        <v>297</v>
      </c>
      <c r="CB30" s="18">
        <f t="shared" si="14"/>
        <v>10192.43</v>
      </c>
      <c r="CC30" s="18">
        <f t="shared" si="14"/>
        <v>7109.18</v>
      </c>
      <c r="CD30" s="18">
        <f t="shared" si="14"/>
        <v>2200</v>
      </c>
      <c r="CE30" s="18">
        <f t="shared" si="14"/>
        <v>21995</v>
      </c>
      <c r="CF30" s="18">
        <f t="shared" si="14"/>
        <v>0</v>
      </c>
      <c r="CG30" s="18">
        <f t="shared" si="14"/>
        <v>434.32</v>
      </c>
      <c r="CH30" s="18">
        <f t="shared" si="14"/>
        <v>495</v>
      </c>
      <c r="CI30" s="18">
        <f t="shared" si="14"/>
        <v>29590.2</v>
      </c>
      <c r="CJ30" s="18">
        <f t="shared" si="14"/>
        <v>0</v>
      </c>
      <c r="CK30" s="18">
        <f t="shared" si="14"/>
        <v>0</v>
      </c>
      <c r="CL30" s="18">
        <f t="shared" si="14"/>
        <v>60</v>
      </c>
      <c r="CM30" s="18">
        <f t="shared" si="14"/>
        <v>1748.25</v>
      </c>
      <c r="CN30" s="18">
        <f t="shared" si="14"/>
        <v>8902.25</v>
      </c>
      <c r="CO30" s="18">
        <f t="shared" si="14"/>
        <v>0</v>
      </c>
      <c r="CP30" s="18">
        <f t="shared" si="14"/>
        <v>0</v>
      </c>
      <c r="CQ30" s="16">
        <f t="shared" si="15"/>
        <v>484154.61</v>
      </c>
      <c r="CR30" s="12">
        <f t="shared" ref="CR30:CR33" si="17">SUM(H30:CP30)</f>
        <v>375004.83999999997</v>
      </c>
      <c r="CS30" s="12">
        <f t="shared" ref="CS30:CS33" si="18">+B30+E30+D30+F30</f>
        <v>43887.56</v>
      </c>
      <c r="CT30" s="12">
        <f t="shared" ref="CT30:CT33" si="19">+G30</f>
        <v>30631.03</v>
      </c>
      <c r="CU30" s="12">
        <f t="shared" ref="CU30:CU33" si="20">+C30</f>
        <v>34631.18</v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</row>
    <row r="31" spans="1:124" s="12" customFormat="1" outlineLevel="1" x14ac:dyDescent="0.2">
      <c r="A31" s="14" t="s">
        <v>61</v>
      </c>
      <c r="B31" s="18">
        <f t="shared" si="16"/>
        <v>34130.32</v>
      </c>
      <c r="C31" s="18">
        <f t="shared" ref="C31:BN33" si="21">+C9-C21</f>
        <v>0</v>
      </c>
      <c r="D31" s="18">
        <f t="shared" si="21"/>
        <v>0</v>
      </c>
      <c r="E31" s="18">
        <f t="shared" si="21"/>
        <v>0</v>
      </c>
      <c r="F31" s="18">
        <f t="shared" si="21"/>
        <v>0</v>
      </c>
      <c r="G31" s="18">
        <f t="shared" si="21"/>
        <v>41334.11</v>
      </c>
      <c r="H31" s="18">
        <f t="shared" si="21"/>
        <v>-5341.1764705882351</v>
      </c>
      <c r="I31" s="18">
        <f t="shared" si="21"/>
        <v>-5341.1764705882351</v>
      </c>
      <c r="J31" s="18">
        <f t="shared" si="21"/>
        <v>-5341.1764705882351</v>
      </c>
      <c r="K31" s="18">
        <f t="shared" si="21"/>
        <v>-5341.1764705882351</v>
      </c>
      <c r="L31" s="18">
        <f t="shared" si="21"/>
        <v>-5341.1764705882351</v>
      </c>
      <c r="M31" s="18">
        <f t="shared" si="21"/>
        <v>-5341.1764705882351</v>
      </c>
      <c r="N31" s="18">
        <f t="shared" si="21"/>
        <v>-5341.1764705882351</v>
      </c>
      <c r="O31" s="18">
        <f t="shared" si="21"/>
        <v>-5341.1764705882351</v>
      </c>
      <c r="P31" s="18">
        <f t="shared" si="21"/>
        <v>-5341.1764705882351</v>
      </c>
      <c r="Q31" s="18">
        <f t="shared" si="21"/>
        <v>-5341.1764705882351</v>
      </c>
      <c r="R31" s="18">
        <f t="shared" si="21"/>
        <v>-5341.1764705882351</v>
      </c>
      <c r="S31" s="18">
        <f t="shared" si="21"/>
        <v>-5341.1764705882351</v>
      </c>
      <c r="T31" s="18">
        <f t="shared" si="21"/>
        <v>-5341.1764705882351</v>
      </c>
      <c r="U31" s="18">
        <f t="shared" si="21"/>
        <v>-5341.1764705882351</v>
      </c>
      <c r="V31" s="18">
        <f t="shared" si="21"/>
        <v>-5341.1764705882351</v>
      </c>
      <c r="W31" s="18">
        <f t="shared" si="21"/>
        <v>-5341.1764705882351</v>
      </c>
      <c r="X31" s="18">
        <f t="shared" si="21"/>
        <v>-5341.1764705882351</v>
      </c>
      <c r="Y31" s="18">
        <f t="shared" si="21"/>
        <v>-5341.1764705882351</v>
      </c>
      <c r="Z31" s="18">
        <f t="shared" si="21"/>
        <v>-5341.1764705882351</v>
      </c>
      <c r="AA31" s="18">
        <f t="shared" si="21"/>
        <v>-5341.1764705882351</v>
      </c>
      <c r="AB31" s="18">
        <f t="shared" si="21"/>
        <v>-5341.1764705882351</v>
      </c>
      <c r="AC31" s="18">
        <f t="shared" si="21"/>
        <v>-5341.1764705882351</v>
      </c>
      <c r="AD31" s="18">
        <f t="shared" si="21"/>
        <v>-5341.1764705882351</v>
      </c>
      <c r="AE31" s="18">
        <f t="shared" si="21"/>
        <v>-5341.1764705882351</v>
      </c>
      <c r="AF31" s="18">
        <f t="shared" si="21"/>
        <v>-3541.1764705882351</v>
      </c>
      <c r="AG31" s="18">
        <f t="shared" si="21"/>
        <v>-5341.1764705882351</v>
      </c>
      <c r="AH31" s="18">
        <f t="shared" si="21"/>
        <v>-5341.1764705882351</v>
      </c>
      <c r="AI31" s="18">
        <f t="shared" si="21"/>
        <v>-5341.1764705882351</v>
      </c>
      <c r="AJ31" s="18">
        <f t="shared" si="21"/>
        <v>-5341.1764705882351</v>
      </c>
      <c r="AK31" s="18">
        <f t="shared" si="21"/>
        <v>-5341.1764705882351</v>
      </c>
      <c r="AL31" s="18">
        <f t="shared" si="21"/>
        <v>-5341.1764705882351</v>
      </c>
      <c r="AM31" s="18">
        <f t="shared" si="21"/>
        <v>-5341.1764705882351</v>
      </c>
      <c r="AN31" s="18">
        <f t="shared" si="21"/>
        <v>-5341.1764705882351</v>
      </c>
      <c r="AO31" s="18">
        <f t="shared" si="21"/>
        <v>-5341.1764705882351</v>
      </c>
      <c r="AP31" s="18">
        <f t="shared" si="21"/>
        <v>-5341.1764705882351</v>
      </c>
      <c r="AQ31" s="18">
        <f t="shared" si="21"/>
        <v>-5341.1764705882351</v>
      </c>
      <c r="AR31" s="18">
        <f t="shared" si="21"/>
        <v>-5341.1764705882351</v>
      </c>
      <c r="AS31" s="18">
        <f t="shared" si="21"/>
        <v>-5341.1764705882351</v>
      </c>
      <c r="AT31" s="18">
        <f t="shared" si="21"/>
        <v>-5341.1764705882351</v>
      </c>
      <c r="AU31" s="18">
        <f t="shared" si="21"/>
        <v>-5341.1764705882351</v>
      </c>
      <c r="AV31" s="18">
        <f t="shared" si="21"/>
        <v>-5341.1764705882351</v>
      </c>
      <c r="AW31" s="18">
        <f t="shared" si="21"/>
        <v>2658.8235294117649</v>
      </c>
      <c r="AX31" s="18">
        <f t="shared" si="21"/>
        <v>-5341.1764705882351</v>
      </c>
      <c r="AY31" s="18">
        <f t="shared" si="21"/>
        <v>-5341.1764705882351</v>
      </c>
      <c r="AZ31" s="18">
        <f t="shared" si="21"/>
        <v>-5341.1764705882351</v>
      </c>
      <c r="BA31" s="18">
        <f t="shared" si="21"/>
        <v>-5341.1764705882351</v>
      </c>
      <c r="BB31" s="18">
        <f t="shared" si="21"/>
        <v>3078.8235294117649</v>
      </c>
      <c r="BC31" s="18">
        <f t="shared" si="21"/>
        <v>-5341.1764705882351</v>
      </c>
      <c r="BD31" s="18">
        <f t="shared" si="21"/>
        <v>-5341.1764705882351</v>
      </c>
      <c r="BE31" s="18">
        <f t="shared" si="21"/>
        <v>-5341.1764705882351</v>
      </c>
      <c r="BF31" s="18">
        <f t="shared" si="21"/>
        <v>-5341.1764705882351</v>
      </c>
      <c r="BG31" s="18">
        <f t="shared" si="21"/>
        <v>-5341.1764705882351</v>
      </c>
      <c r="BH31" s="18">
        <f t="shared" si="21"/>
        <v>-5341.1764705882351</v>
      </c>
      <c r="BI31" s="18">
        <f t="shared" si="21"/>
        <v>-5341.1764705882351</v>
      </c>
      <c r="BJ31" s="18">
        <f t="shared" si="21"/>
        <v>3518.8235294117649</v>
      </c>
      <c r="BK31" s="18">
        <f t="shared" si="21"/>
        <v>-5341.1764705882351</v>
      </c>
      <c r="BL31" s="18">
        <f t="shared" si="21"/>
        <v>-5341.1764705882351</v>
      </c>
      <c r="BM31" s="18">
        <f t="shared" si="21"/>
        <v>-5341.1764705882351</v>
      </c>
      <c r="BN31" s="18">
        <f t="shared" si="21"/>
        <v>-5341.1764705882351</v>
      </c>
      <c r="BO31" s="18">
        <f t="shared" si="14"/>
        <v>-5341.1764705882351</v>
      </c>
      <c r="BP31" s="18">
        <f t="shared" si="14"/>
        <v>40658.823529411762</v>
      </c>
      <c r="BQ31" s="18">
        <f t="shared" si="14"/>
        <v>-5341.1764705882351</v>
      </c>
      <c r="BR31" s="18">
        <f t="shared" si="14"/>
        <v>-5341.1764705882351</v>
      </c>
      <c r="BS31" s="18">
        <f t="shared" si="14"/>
        <v>-5341.1764705882351</v>
      </c>
      <c r="BT31" s="18">
        <f t="shared" si="14"/>
        <v>-5341.1764705882351</v>
      </c>
      <c r="BU31" s="18">
        <f t="shared" si="14"/>
        <v>-5341.1764705882351</v>
      </c>
      <c r="BV31" s="18">
        <f t="shared" si="14"/>
        <v>-5341.1764705882351</v>
      </c>
      <c r="BW31" s="18">
        <f t="shared" si="14"/>
        <v>-5341.1764705882351</v>
      </c>
      <c r="BX31" s="18">
        <f t="shared" si="14"/>
        <v>-5341.1764705882351</v>
      </c>
      <c r="BY31" s="18">
        <f t="shared" si="14"/>
        <v>-5341.1764705882351</v>
      </c>
      <c r="BZ31" s="18">
        <f t="shared" si="14"/>
        <v>758.82352941176487</v>
      </c>
      <c r="CA31" s="18">
        <f t="shared" si="14"/>
        <v>-5341.1764705882351</v>
      </c>
      <c r="CB31" s="18">
        <f t="shared" si="14"/>
        <v>-5341.1764705882351</v>
      </c>
      <c r="CC31" s="18">
        <f t="shared" si="14"/>
        <v>-5341.1764705882351</v>
      </c>
      <c r="CD31" s="18">
        <f t="shared" si="14"/>
        <v>-5341.1764705882351</v>
      </c>
      <c r="CE31" s="18">
        <f t="shared" si="14"/>
        <v>-5341.1764705882351</v>
      </c>
      <c r="CF31" s="18">
        <f t="shared" si="14"/>
        <v>-5341.1764705882351</v>
      </c>
      <c r="CG31" s="18">
        <f t="shared" si="14"/>
        <v>-5341.1764705882351</v>
      </c>
      <c r="CH31" s="18">
        <f t="shared" si="14"/>
        <v>-5341.1764705882351</v>
      </c>
      <c r="CI31" s="18">
        <f t="shared" si="14"/>
        <v>-5341.1764705882351</v>
      </c>
      <c r="CJ31" s="18">
        <f t="shared" si="14"/>
        <v>-5341.1764705882351</v>
      </c>
      <c r="CK31" s="18">
        <f t="shared" si="14"/>
        <v>-5341.1764705882351</v>
      </c>
      <c r="CL31" s="18">
        <f t="shared" si="14"/>
        <v>-5341.1764705882351</v>
      </c>
      <c r="CM31" s="18">
        <f t="shared" si="14"/>
        <v>-5341.1764705882351</v>
      </c>
      <c r="CN31" s="18">
        <f t="shared" si="14"/>
        <v>-5341.1764705882351</v>
      </c>
      <c r="CO31" s="18">
        <f t="shared" si="14"/>
        <v>0</v>
      </c>
      <c r="CP31" s="18">
        <f t="shared" si="14"/>
        <v>0</v>
      </c>
      <c r="CQ31" s="16">
        <f t="shared" si="15"/>
        <v>-299355.56999999972</v>
      </c>
      <c r="CR31" s="12">
        <f t="shared" si="17"/>
        <v>-374820.00000000017</v>
      </c>
      <c r="CS31" s="12">
        <f t="shared" si="18"/>
        <v>34130.32</v>
      </c>
      <c r="CT31" s="12">
        <f t="shared" si="19"/>
        <v>41334.11</v>
      </c>
      <c r="CU31" s="12">
        <f t="shared" si="20"/>
        <v>0</v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</row>
    <row r="32" spans="1:124" s="12" customFormat="1" outlineLevel="1" x14ac:dyDescent="0.2">
      <c r="A32" s="17" t="s">
        <v>12</v>
      </c>
      <c r="B32" s="18">
        <f t="shared" si="16"/>
        <v>-22653.05</v>
      </c>
      <c r="C32" s="18">
        <f t="shared" si="21"/>
        <v>95000</v>
      </c>
      <c r="D32" s="18">
        <f t="shared" si="21"/>
        <v>-1365</v>
      </c>
      <c r="E32" s="18">
        <f t="shared" si="21"/>
        <v>-1995</v>
      </c>
      <c r="F32" s="18">
        <f t="shared" si="21"/>
        <v>4485</v>
      </c>
      <c r="G32" s="18">
        <f t="shared" si="21"/>
        <v>-36698.770000000004</v>
      </c>
      <c r="H32" s="18">
        <f t="shared" si="21"/>
        <v>-7536.9</v>
      </c>
      <c r="I32" s="18">
        <f t="shared" si="21"/>
        <v>-5871.9</v>
      </c>
      <c r="J32" s="18">
        <f t="shared" si="21"/>
        <v>-3486.6299999999992</v>
      </c>
      <c r="K32" s="18">
        <f t="shared" si="21"/>
        <v>-6438.17</v>
      </c>
      <c r="L32" s="18">
        <f t="shared" si="21"/>
        <v>-7536.9</v>
      </c>
      <c r="M32" s="18">
        <f t="shared" si="21"/>
        <v>-3604.41</v>
      </c>
      <c r="N32" s="18">
        <f t="shared" si="21"/>
        <v>-5573.25</v>
      </c>
      <c r="O32" s="18">
        <f t="shared" si="21"/>
        <v>-4973.2</v>
      </c>
      <c r="P32" s="18">
        <f t="shared" si="21"/>
        <v>26530.329999999994</v>
      </c>
      <c r="Q32" s="18">
        <f t="shared" si="21"/>
        <v>-986.6299999999992</v>
      </c>
      <c r="R32" s="18">
        <f t="shared" si="21"/>
        <v>-1191.7299999999996</v>
      </c>
      <c r="S32" s="18">
        <f t="shared" si="21"/>
        <v>-9426.9</v>
      </c>
      <c r="T32" s="18">
        <f t="shared" si="21"/>
        <v>-13566.9</v>
      </c>
      <c r="U32" s="18">
        <f t="shared" si="21"/>
        <v>9098.06</v>
      </c>
      <c r="V32" s="18">
        <f t="shared" si="21"/>
        <v>-13636.9</v>
      </c>
      <c r="W32" s="18">
        <f t="shared" si="21"/>
        <v>-6203.46</v>
      </c>
      <c r="X32" s="18">
        <f t="shared" si="21"/>
        <v>-12047.170000000002</v>
      </c>
      <c r="Y32" s="18">
        <f t="shared" si="21"/>
        <v>-11840</v>
      </c>
      <c r="Z32" s="18">
        <f t="shared" si="21"/>
        <v>-14836.900000000001</v>
      </c>
      <c r="AA32" s="18">
        <f t="shared" si="21"/>
        <v>-17775.72</v>
      </c>
      <c r="AB32" s="18">
        <f t="shared" si="21"/>
        <v>7299.9700000000012</v>
      </c>
      <c r="AC32" s="18">
        <f t="shared" si="21"/>
        <v>-15000</v>
      </c>
      <c r="AD32" s="18">
        <f t="shared" si="21"/>
        <v>-15000</v>
      </c>
      <c r="AE32" s="18">
        <f t="shared" si="21"/>
        <v>-21066.9</v>
      </c>
      <c r="AF32" s="18">
        <f t="shared" si="21"/>
        <v>50433.1</v>
      </c>
      <c r="AG32" s="18">
        <f t="shared" si="21"/>
        <v>-4241.8999999999996</v>
      </c>
      <c r="AH32" s="18">
        <f t="shared" si="21"/>
        <v>14180</v>
      </c>
      <c r="AI32" s="18">
        <f t="shared" si="21"/>
        <v>0</v>
      </c>
      <c r="AJ32" s="18">
        <f t="shared" si="21"/>
        <v>3420</v>
      </c>
      <c r="AK32" s="18">
        <f t="shared" si="21"/>
        <v>9920</v>
      </c>
      <c r="AL32" s="18">
        <f t="shared" si="21"/>
        <v>9233.659999999998</v>
      </c>
      <c r="AM32" s="18">
        <f t="shared" si="21"/>
        <v>2280</v>
      </c>
      <c r="AN32" s="18">
        <f t="shared" si="21"/>
        <v>7640</v>
      </c>
      <c r="AO32" s="18">
        <f t="shared" si="21"/>
        <v>4304.41</v>
      </c>
      <c r="AP32" s="18">
        <f t="shared" si="21"/>
        <v>10243.4</v>
      </c>
      <c r="AQ32" s="18">
        <f t="shared" si="21"/>
        <v>163.10000000000036</v>
      </c>
      <c r="AR32" s="18">
        <f t="shared" si="21"/>
        <v>2753.1000000000004</v>
      </c>
      <c r="AS32" s="18">
        <f t="shared" si="21"/>
        <v>1860</v>
      </c>
      <c r="AT32" s="18">
        <f t="shared" si="21"/>
        <v>-7536.9</v>
      </c>
      <c r="AU32" s="18">
        <f t="shared" si="21"/>
        <v>9800</v>
      </c>
      <c r="AV32" s="18">
        <f t="shared" si="21"/>
        <v>4263.1000000000004</v>
      </c>
      <c r="AW32" s="18">
        <f t="shared" si="21"/>
        <v>9140</v>
      </c>
      <c r="AX32" s="18">
        <f t="shared" si="21"/>
        <v>-1536.8999999999996</v>
      </c>
      <c r="AY32" s="18">
        <f t="shared" si="21"/>
        <v>8500</v>
      </c>
      <c r="AZ32" s="18">
        <f t="shared" si="21"/>
        <v>-9426.9</v>
      </c>
      <c r="BA32" s="18">
        <f t="shared" si="21"/>
        <v>0</v>
      </c>
      <c r="BB32" s="18">
        <f t="shared" si="21"/>
        <v>-1980</v>
      </c>
      <c r="BC32" s="18">
        <f t="shared" si="21"/>
        <v>-8636.9</v>
      </c>
      <c r="BD32" s="18">
        <f t="shared" si="21"/>
        <v>-4300</v>
      </c>
      <c r="BE32" s="18">
        <f t="shared" si="21"/>
        <v>-12000</v>
      </c>
      <c r="BF32" s="18">
        <f t="shared" si="21"/>
        <v>-9890</v>
      </c>
      <c r="BG32" s="18">
        <f t="shared" si="21"/>
        <v>-10200</v>
      </c>
      <c r="BH32" s="18">
        <f t="shared" si="21"/>
        <v>-12000</v>
      </c>
      <c r="BI32" s="18">
        <f t="shared" si="21"/>
        <v>1360</v>
      </c>
      <c r="BJ32" s="18">
        <f t="shared" si="21"/>
        <v>-6605.08</v>
      </c>
      <c r="BK32" s="18">
        <f t="shared" si="21"/>
        <v>-1036.8999999999996</v>
      </c>
      <c r="BL32" s="18">
        <f t="shared" si="21"/>
        <v>-5806.9000000000015</v>
      </c>
      <c r="BM32" s="18">
        <f t="shared" si="21"/>
        <v>34020</v>
      </c>
      <c r="BN32" s="18">
        <f t="shared" si="21"/>
        <v>3803.1000000000004</v>
      </c>
      <c r="BO32" s="18">
        <f t="shared" si="14"/>
        <v>0</v>
      </c>
      <c r="BP32" s="18">
        <f t="shared" si="14"/>
        <v>-3536.8999999999996</v>
      </c>
      <c r="BQ32" s="18">
        <f t="shared" si="14"/>
        <v>8000</v>
      </c>
      <c r="BR32" s="18">
        <f t="shared" si="14"/>
        <v>3093.1000000000004</v>
      </c>
      <c r="BS32" s="18">
        <f t="shared" si="14"/>
        <v>11260</v>
      </c>
      <c r="BT32" s="18">
        <f t="shared" si="14"/>
        <v>2277.5399999999991</v>
      </c>
      <c r="BU32" s="18">
        <f t="shared" si="14"/>
        <v>8660</v>
      </c>
      <c r="BV32" s="18">
        <f t="shared" si="14"/>
        <v>0</v>
      </c>
      <c r="BW32" s="18">
        <f t="shared" si="14"/>
        <v>0</v>
      </c>
      <c r="BX32" s="18">
        <f t="shared" si="14"/>
        <v>-3642.62</v>
      </c>
      <c r="BY32" s="18">
        <f t="shared" si="14"/>
        <v>7400</v>
      </c>
      <c r="BZ32" s="18">
        <f t="shared" si="14"/>
        <v>-846.89999999999964</v>
      </c>
      <c r="CA32" s="18">
        <f t="shared" si="14"/>
        <v>17760</v>
      </c>
      <c r="CB32" s="18">
        <f t="shared" si="14"/>
        <v>0</v>
      </c>
      <c r="CC32" s="18">
        <f t="shared" si="14"/>
        <v>-9686.9</v>
      </c>
      <c r="CD32" s="18">
        <f t="shared" si="14"/>
        <v>9480.11</v>
      </c>
      <c r="CE32" s="18">
        <f t="shared" si="14"/>
        <v>34509.589999999997</v>
      </c>
      <c r="CF32" s="18">
        <f t="shared" si="14"/>
        <v>4490.1000000000004</v>
      </c>
      <c r="CG32" s="18">
        <f t="shared" si="14"/>
        <v>0</v>
      </c>
      <c r="CH32" s="18">
        <f t="shared" si="14"/>
        <v>-8586.9</v>
      </c>
      <c r="CI32" s="18">
        <f t="shared" si="14"/>
        <v>-2236.8999999999996</v>
      </c>
      <c r="CJ32" s="18">
        <f t="shared" si="14"/>
        <v>-9426.9</v>
      </c>
      <c r="CK32" s="18">
        <f t="shared" si="14"/>
        <v>-6023.2</v>
      </c>
      <c r="CL32" s="18">
        <f t="shared" si="14"/>
        <v>11480</v>
      </c>
      <c r="CM32" s="18">
        <f t="shared" si="14"/>
        <v>-9686.9</v>
      </c>
      <c r="CN32" s="18">
        <f t="shared" si="14"/>
        <v>-1646.8999999999996</v>
      </c>
      <c r="CO32" s="18">
        <f t="shared" si="14"/>
        <v>0</v>
      </c>
      <c r="CP32" s="18">
        <f t="shared" si="14"/>
        <v>0</v>
      </c>
      <c r="CQ32" s="16">
        <f t="shared" si="15"/>
        <v>37308.979999999996</v>
      </c>
      <c r="CR32" s="12">
        <f t="shared" si="17"/>
        <v>535.80000000001382</v>
      </c>
      <c r="CS32" s="12">
        <f t="shared" si="18"/>
        <v>-21528.05</v>
      </c>
      <c r="CT32" s="12">
        <f t="shared" si="19"/>
        <v>-36698.770000000004</v>
      </c>
      <c r="CU32" s="12">
        <f t="shared" si="20"/>
        <v>95000</v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</row>
    <row r="33" spans="1:124" s="12" customFormat="1" ht="13.5" outlineLevel="1" thickBot="1" x14ac:dyDescent="0.25">
      <c r="A33" s="17" t="s">
        <v>25</v>
      </c>
      <c r="B33" s="18">
        <f t="shared" si="16"/>
        <v>6484.08</v>
      </c>
      <c r="C33" s="18">
        <f t="shared" si="21"/>
        <v>0</v>
      </c>
      <c r="D33" s="18">
        <f t="shared" si="21"/>
        <v>2300</v>
      </c>
      <c r="E33" s="18">
        <f t="shared" si="21"/>
        <v>6580</v>
      </c>
      <c r="F33" s="18">
        <f t="shared" si="21"/>
        <v>21293.899999999998</v>
      </c>
      <c r="G33" s="18">
        <f t="shared" si="21"/>
        <v>9885</v>
      </c>
      <c r="H33" s="18">
        <f t="shared" si="21"/>
        <v>-1797.375223985294</v>
      </c>
      <c r="I33" s="18">
        <f t="shared" si="21"/>
        <v>-1097.375223985294</v>
      </c>
      <c r="J33" s="18">
        <f t="shared" si="21"/>
        <v>-1097.375223985294</v>
      </c>
      <c r="K33" s="18">
        <f t="shared" si="21"/>
        <v>-1097.375223985294</v>
      </c>
      <c r="L33" s="18">
        <f t="shared" si="21"/>
        <v>5469.7247760147065</v>
      </c>
      <c r="M33" s="18">
        <f t="shared" si="21"/>
        <v>-1797.375223985294</v>
      </c>
      <c r="N33" s="18">
        <f t="shared" si="21"/>
        <v>-1797.375223985294</v>
      </c>
      <c r="O33" s="18">
        <f t="shared" si="21"/>
        <v>-1797.375223985294</v>
      </c>
      <c r="P33" s="18">
        <f t="shared" si="21"/>
        <v>-1797.375223985294</v>
      </c>
      <c r="Q33" s="18">
        <f t="shared" si="21"/>
        <v>-1797.375223985294</v>
      </c>
      <c r="R33" s="18">
        <f t="shared" si="21"/>
        <v>-870.62522398529404</v>
      </c>
      <c r="S33" s="18">
        <f t="shared" si="21"/>
        <v>559.66477601470137</v>
      </c>
      <c r="T33" s="18">
        <f t="shared" si="21"/>
        <v>-1797.375223985294</v>
      </c>
      <c r="U33" s="18">
        <f t="shared" si="21"/>
        <v>-1097.375223985294</v>
      </c>
      <c r="V33" s="18">
        <f t="shared" si="21"/>
        <v>-1797.375223985294</v>
      </c>
      <c r="W33" s="18">
        <f t="shared" si="21"/>
        <v>52.624776014705958</v>
      </c>
      <c r="X33" s="18">
        <f t="shared" si="21"/>
        <v>-1797.375223985294</v>
      </c>
      <c r="Y33" s="18">
        <f t="shared" si="21"/>
        <v>-1797.375223985294</v>
      </c>
      <c r="Z33" s="18">
        <f t="shared" si="21"/>
        <v>1802.624776014706</v>
      </c>
      <c r="AA33" s="18">
        <f t="shared" si="21"/>
        <v>-397.37522398529404</v>
      </c>
      <c r="AB33" s="18">
        <f t="shared" si="21"/>
        <v>836.22477601470587</v>
      </c>
      <c r="AC33" s="18">
        <f t="shared" si="21"/>
        <v>-1797.375223985294</v>
      </c>
      <c r="AD33" s="18">
        <f t="shared" si="21"/>
        <v>-1797.375223985294</v>
      </c>
      <c r="AE33" s="18">
        <f t="shared" si="21"/>
        <v>-1797.375223985294</v>
      </c>
      <c r="AF33" s="18">
        <f t="shared" si="21"/>
        <v>978.32477601470578</v>
      </c>
      <c r="AG33" s="18">
        <f t="shared" si="21"/>
        <v>-1797.375223985294</v>
      </c>
      <c r="AH33" s="18">
        <f t="shared" si="21"/>
        <v>-1797.375223985294</v>
      </c>
      <c r="AI33" s="18">
        <f t="shared" si="21"/>
        <v>-1797.375223985294</v>
      </c>
      <c r="AJ33" s="18">
        <f t="shared" si="21"/>
        <v>-1797.375223985294</v>
      </c>
      <c r="AK33" s="18">
        <f t="shared" si="21"/>
        <v>-1797.375223985294</v>
      </c>
      <c r="AL33" s="18">
        <f t="shared" si="21"/>
        <v>-1797.375223985294</v>
      </c>
      <c r="AM33" s="18">
        <f t="shared" si="21"/>
        <v>-1797.375223985294</v>
      </c>
      <c r="AN33" s="18">
        <f t="shared" si="21"/>
        <v>-1797.375223985294</v>
      </c>
      <c r="AO33" s="18">
        <f t="shared" si="21"/>
        <v>-1797.375223985294</v>
      </c>
      <c r="AP33" s="18">
        <f t="shared" si="21"/>
        <v>52.624776014705958</v>
      </c>
      <c r="AQ33" s="18">
        <f t="shared" si="21"/>
        <v>-1797.375223985294</v>
      </c>
      <c r="AR33" s="18">
        <f t="shared" si="21"/>
        <v>-1797.375223985294</v>
      </c>
      <c r="AS33" s="18">
        <f t="shared" si="21"/>
        <v>-1797.375223985294</v>
      </c>
      <c r="AT33" s="18">
        <f t="shared" si="21"/>
        <v>-1297.375223985294</v>
      </c>
      <c r="AU33" s="18">
        <f t="shared" si="21"/>
        <v>-1797.375223985294</v>
      </c>
      <c r="AV33" s="18">
        <f t="shared" si="21"/>
        <v>-747.37522398529404</v>
      </c>
      <c r="AW33" s="18">
        <f t="shared" si="21"/>
        <v>-1797.375223985294</v>
      </c>
      <c r="AX33" s="18">
        <f t="shared" si="21"/>
        <v>-1797.375223985294</v>
      </c>
      <c r="AY33" s="18">
        <f t="shared" si="21"/>
        <v>-1797.375223985294</v>
      </c>
      <c r="AZ33" s="18">
        <f t="shared" si="21"/>
        <v>-1797.375223985294</v>
      </c>
      <c r="BA33" s="18">
        <f t="shared" si="21"/>
        <v>-1797.375223985294</v>
      </c>
      <c r="BB33" s="18">
        <f t="shared" si="21"/>
        <v>-1797.375223985294</v>
      </c>
      <c r="BC33" s="18">
        <f t="shared" si="21"/>
        <v>-1797.375223985294</v>
      </c>
      <c r="BD33" s="18">
        <f t="shared" si="21"/>
        <v>-1797.375223985294</v>
      </c>
      <c r="BE33" s="18">
        <f t="shared" si="21"/>
        <v>-1797.375223985294</v>
      </c>
      <c r="BF33" s="18">
        <f t="shared" si="21"/>
        <v>1286.1947760147057</v>
      </c>
      <c r="BG33" s="18">
        <f t="shared" si="21"/>
        <v>-502.37522398529404</v>
      </c>
      <c r="BH33" s="18">
        <f t="shared" si="21"/>
        <v>-1797.375223985294</v>
      </c>
      <c r="BI33" s="18">
        <f t="shared" si="21"/>
        <v>-1797.375223985294</v>
      </c>
      <c r="BJ33" s="18">
        <f t="shared" si="21"/>
        <v>-1797.375223985294</v>
      </c>
      <c r="BK33" s="18">
        <f t="shared" si="21"/>
        <v>-1012.8252239852941</v>
      </c>
      <c r="BL33" s="18">
        <f t="shared" si="21"/>
        <v>-1597.375223985294</v>
      </c>
      <c r="BM33" s="18">
        <f t="shared" si="21"/>
        <v>-1797.375223985294</v>
      </c>
      <c r="BN33" s="18">
        <f t="shared" si="21"/>
        <v>-1797.375223985294</v>
      </c>
      <c r="BO33" s="18">
        <f t="shared" si="14"/>
        <v>-1797.375223985294</v>
      </c>
      <c r="BP33" s="18">
        <f t="shared" si="14"/>
        <v>-502.37522398529404</v>
      </c>
      <c r="BQ33" s="18">
        <f t="shared" si="14"/>
        <v>547.98477601470563</v>
      </c>
      <c r="BR33" s="18">
        <f t="shared" si="14"/>
        <v>-1797.375223985294</v>
      </c>
      <c r="BS33" s="18">
        <f t="shared" si="14"/>
        <v>-1797.375223985294</v>
      </c>
      <c r="BT33" s="18">
        <f t="shared" si="14"/>
        <v>-1797.375223985294</v>
      </c>
      <c r="BU33" s="18">
        <f t="shared" si="14"/>
        <v>6738.8347760147053</v>
      </c>
      <c r="BV33" s="18">
        <f t="shared" si="14"/>
        <v>-1686.165223985294</v>
      </c>
      <c r="BW33" s="18">
        <f t="shared" si="14"/>
        <v>-1797.375223985294</v>
      </c>
      <c r="BX33" s="18">
        <f t="shared" si="14"/>
        <v>-1797.375223985294</v>
      </c>
      <c r="BY33" s="18">
        <f t="shared" si="14"/>
        <v>-1797.375223985294</v>
      </c>
      <c r="BZ33" s="18">
        <f t="shared" si="14"/>
        <v>-1797.375223985294</v>
      </c>
      <c r="CA33" s="18">
        <f t="shared" si="14"/>
        <v>-1797.375223985294</v>
      </c>
      <c r="CB33" s="18">
        <f t="shared" si="14"/>
        <v>-58.375223985294042</v>
      </c>
      <c r="CC33" s="18">
        <f t="shared" si="14"/>
        <v>502.62477601470596</v>
      </c>
      <c r="CD33" s="18">
        <f t="shared" si="14"/>
        <v>-1797.375223985294</v>
      </c>
      <c r="CE33" s="18">
        <f t="shared" si="14"/>
        <v>-1797.375223985294</v>
      </c>
      <c r="CF33" s="18">
        <f t="shared" si="14"/>
        <v>-1797.375223985294</v>
      </c>
      <c r="CG33" s="18">
        <f t="shared" si="14"/>
        <v>-1797.375223985294</v>
      </c>
      <c r="CH33" s="18">
        <f t="shared" si="14"/>
        <v>-1412.8252239852941</v>
      </c>
      <c r="CI33" s="18">
        <f t="shared" si="14"/>
        <v>-1797.375223985294</v>
      </c>
      <c r="CJ33" s="18">
        <f t="shared" si="14"/>
        <v>-712.82522398529409</v>
      </c>
      <c r="CK33" s="18">
        <f t="shared" si="14"/>
        <v>-1797.375223985294</v>
      </c>
      <c r="CL33" s="18">
        <f t="shared" si="14"/>
        <v>-1797.375223985294</v>
      </c>
      <c r="CM33" s="18">
        <f t="shared" si="14"/>
        <v>-1797.375223985294</v>
      </c>
      <c r="CN33" s="18">
        <f t="shared" si="14"/>
        <v>-1797.375223985294</v>
      </c>
      <c r="CO33" s="18">
        <f t="shared" si="14"/>
        <v>9140.66</v>
      </c>
      <c r="CP33" s="18">
        <f t="shared" si="14"/>
        <v>31428.020000000004</v>
      </c>
      <c r="CQ33" s="16">
        <f t="shared" si="15"/>
        <v>-13496.04403874994</v>
      </c>
      <c r="CR33" s="12">
        <f t="shared" si="17"/>
        <v>-60039.024038749863</v>
      </c>
      <c r="CS33" s="12">
        <f t="shared" si="18"/>
        <v>36657.979999999996</v>
      </c>
      <c r="CT33" s="12">
        <f t="shared" si="19"/>
        <v>9885</v>
      </c>
      <c r="CU33" s="12">
        <f t="shared" si="20"/>
        <v>0</v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</row>
    <row r="34" spans="1:124" s="12" customFormat="1" ht="13.5" thickTop="1" x14ac:dyDescent="0.2">
      <c r="A34" s="13" t="s">
        <v>11</v>
      </c>
      <c r="B34" s="13">
        <f t="shared" ref="B34" si="22">SUM(B29:B33)</f>
        <v>28821.649999999994</v>
      </c>
      <c r="C34" s="13">
        <f t="shared" ref="C34:BN34" si="23">SUM(C29:C33)</f>
        <v>129631.18</v>
      </c>
      <c r="D34" s="13">
        <f t="shared" si="23"/>
        <v>935</v>
      </c>
      <c r="E34" s="13">
        <f t="shared" si="23"/>
        <v>26085</v>
      </c>
      <c r="F34" s="13">
        <f t="shared" si="23"/>
        <v>37306.159999999996</v>
      </c>
      <c r="G34" s="13">
        <f t="shared" si="23"/>
        <v>45151.369999999995</v>
      </c>
      <c r="H34" s="13">
        <f t="shared" si="23"/>
        <v>-14675.45169457353</v>
      </c>
      <c r="I34" s="13">
        <f t="shared" si="23"/>
        <v>-10645.45169457353</v>
      </c>
      <c r="J34" s="13">
        <f t="shared" si="23"/>
        <v>-9215.2116945735288</v>
      </c>
      <c r="K34" s="13">
        <f t="shared" si="23"/>
        <v>4454.2783054264719</v>
      </c>
      <c r="L34" s="13">
        <f t="shared" si="23"/>
        <v>22591.40830542647</v>
      </c>
      <c r="M34" s="13">
        <f t="shared" si="23"/>
        <v>57226.028305426473</v>
      </c>
      <c r="N34" s="13">
        <f t="shared" si="23"/>
        <v>-12711.801694573529</v>
      </c>
      <c r="O34" s="13">
        <f t="shared" si="23"/>
        <v>8746.8683054264729</v>
      </c>
      <c r="P34" s="13">
        <f t="shared" si="23"/>
        <v>25654.128305426464</v>
      </c>
      <c r="Q34" s="13">
        <f t="shared" si="23"/>
        <v>-26125.18169457353</v>
      </c>
      <c r="R34" s="13">
        <f t="shared" si="23"/>
        <v>-38449.611694573527</v>
      </c>
      <c r="S34" s="13">
        <f t="shared" si="23"/>
        <v>-26379.101694573532</v>
      </c>
      <c r="T34" s="13">
        <f t="shared" si="23"/>
        <v>-38396.851694573525</v>
      </c>
      <c r="U34" s="13">
        <f t="shared" si="23"/>
        <v>-15340.491694573529</v>
      </c>
      <c r="V34" s="13">
        <f t="shared" si="23"/>
        <v>-7831.2316945735274</v>
      </c>
      <c r="W34" s="13">
        <f t="shared" si="23"/>
        <v>-2997.3216945735285</v>
      </c>
      <c r="X34" s="13">
        <f t="shared" si="23"/>
        <v>-15335.721694573531</v>
      </c>
      <c r="Y34" s="13">
        <f t="shared" si="23"/>
        <v>1337.3583054264716</v>
      </c>
      <c r="Z34" s="13">
        <f t="shared" si="23"/>
        <v>-11011.741694573528</v>
      </c>
      <c r="AA34" s="13">
        <f t="shared" si="23"/>
        <v>-32825.681694573526</v>
      </c>
      <c r="AB34" s="13">
        <f t="shared" si="23"/>
        <v>-56.681694573527921</v>
      </c>
      <c r="AC34" s="13">
        <f t="shared" si="23"/>
        <v>-127180.97169457351</v>
      </c>
      <c r="AD34" s="13">
        <f t="shared" si="23"/>
        <v>-5471.6516945735266</v>
      </c>
      <c r="AE34" s="13">
        <f t="shared" si="23"/>
        <v>-14051.471694573531</v>
      </c>
      <c r="AF34" s="13">
        <f t="shared" si="23"/>
        <v>-112668.4916945735</v>
      </c>
      <c r="AG34" s="13">
        <f t="shared" si="23"/>
        <v>-47082.45169457353</v>
      </c>
      <c r="AH34" s="13">
        <f t="shared" si="23"/>
        <v>-24767.851694573528</v>
      </c>
      <c r="AI34" s="13">
        <f t="shared" si="23"/>
        <v>-1789.9216945735318</v>
      </c>
      <c r="AJ34" s="13">
        <f t="shared" si="23"/>
        <v>-30322.551694573529</v>
      </c>
      <c r="AK34" s="13">
        <f t="shared" si="23"/>
        <v>25541.448305426471</v>
      </c>
      <c r="AL34" s="13">
        <f t="shared" si="23"/>
        <v>4195.1083054264691</v>
      </c>
      <c r="AM34" s="13">
        <f t="shared" si="23"/>
        <v>-4708.5516945735289</v>
      </c>
      <c r="AN34" s="13">
        <f t="shared" si="23"/>
        <v>4801.4483054264711</v>
      </c>
      <c r="AO34" s="13">
        <f t="shared" si="23"/>
        <v>-2467.6216945735296</v>
      </c>
      <c r="AP34" s="13">
        <f t="shared" si="23"/>
        <v>10265.578305426468</v>
      </c>
      <c r="AQ34" s="13">
        <f t="shared" si="23"/>
        <v>-1380.541694573529</v>
      </c>
      <c r="AR34" s="13">
        <f t="shared" si="23"/>
        <v>2690.3383054264714</v>
      </c>
      <c r="AS34" s="13">
        <f t="shared" si="23"/>
        <v>-4948.5516945735289</v>
      </c>
      <c r="AT34" s="13">
        <f t="shared" si="23"/>
        <v>-14175.45169457353</v>
      </c>
      <c r="AU34" s="13">
        <f t="shared" si="23"/>
        <v>5628.4483054264711</v>
      </c>
      <c r="AV34" s="13">
        <f t="shared" si="23"/>
        <v>-1825.4516945735288</v>
      </c>
      <c r="AW34" s="13">
        <f t="shared" si="23"/>
        <v>21361.448305426471</v>
      </c>
      <c r="AX34" s="13">
        <f t="shared" si="23"/>
        <v>-8376.4516945735286</v>
      </c>
      <c r="AY34" s="13">
        <f t="shared" si="23"/>
        <v>1361.4483054264708</v>
      </c>
      <c r="AZ34" s="13">
        <f t="shared" si="23"/>
        <v>-14200.08169457353</v>
      </c>
      <c r="BA34" s="13">
        <f t="shared" si="23"/>
        <v>-3593.5516945735289</v>
      </c>
      <c r="BB34" s="13">
        <f t="shared" si="23"/>
        <v>-528.55169457352918</v>
      </c>
      <c r="BC34" s="13">
        <f t="shared" si="23"/>
        <v>65648.288305426482</v>
      </c>
      <c r="BD34" s="13">
        <f t="shared" si="23"/>
        <v>1126.4483054264708</v>
      </c>
      <c r="BE34" s="13">
        <f t="shared" si="23"/>
        <v>-19001.551694573529</v>
      </c>
      <c r="BF34" s="13">
        <f t="shared" si="23"/>
        <v>6055.0183054264717</v>
      </c>
      <c r="BG34" s="13">
        <f t="shared" si="23"/>
        <v>-16043.551694573529</v>
      </c>
      <c r="BH34" s="13">
        <f t="shared" si="23"/>
        <v>-5717.4816945735292</v>
      </c>
      <c r="BI34" s="13">
        <f t="shared" si="23"/>
        <v>-4833.5516945735289</v>
      </c>
      <c r="BJ34" s="13">
        <f t="shared" si="23"/>
        <v>-4883.6316945735289</v>
      </c>
      <c r="BK34" s="13">
        <f t="shared" si="23"/>
        <v>4774.0083054264705</v>
      </c>
      <c r="BL34" s="13">
        <f t="shared" si="23"/>
        <v>-2580.4516945735304</v>
      </c>
      <c r="BM34" s="13">
        <f t="shared" si="23"/>
        <v>27164.448305426471</v>
      </c>
      <c r="BN34" s="13">
        <f t="shared" si="23"/>
        <v>17438.548305426473</v>
      </c>
      <c r="BO34" s="13">
        <f t="shared" ref="BO34:CQ34" si="24">SUM(BO29:BO33)</f>
        <v>-7138.5516945735289</v>
      </c>
      <c r="BP34" s="13">
        <f t="shared" si="24"/>
        <v>61005.558305426464</v>
      </c>
      <c r="BQ34" s="13">
        <f t="shared" si="24"/>
        <v>3401.8083054264707</v>
      </c>
      <c r="BR34" s="13">
        <f t="shared" si="24"/>
        <v>32353.548305426473</v>
      </c>
      <c r="BS34" s="13">
        <f t="shared" si="24"/>
        <v>9121.4483054264711</v>
      </c>
      <c r="BT34" s="13">
        <f t="shared" si="24"/>
        <v>-2812.7816945735303</v>
      </c>
      <c r="BU34" s="13">
        <f t="shared" si="24"/>
        <v>49187.65830542647</v>
      </c>
      <c r="BV34" s="13">
        <f t="shared" si="24"/>
        <v>-6720.3616945735284</v>
      </c>
      <c r="BW34" s="13">
        <f t="shared" si="24"/>
        <v>-6835.5516945735289</v>
      </c>
      <c r="BX34" s="13">
        <f t="shared" si="24"/>
        <v>731.4283054264713</v>
      </c>
      <c r="BY34" s="13">
        <f t="shared" si="24"/>
        <v>4781.4483054264747</v>
      </c>
      <c r="BZ34" s="13">
        <f t="shared" si="24"/>
        <v>4014.5483054264714</v>
      </c>
      <c r="CA34" s="13">
        <f t="shared" si="24"/>
        <v>10918.448305426471</v>
      </c>
      <c r="CB34" s="13">
        <f t="shared" si="24"/>
        <v>4792.8783054264713</v>
      </c>
      <c r="CC34" s="13">
        <f t="shared" si="24"/>
        <v>-7416.2716945735283</v>
      </c>
      <c r="CD34" s="13">
        <f t="shared" si="24"/>
        <v>13331.38830542647</v>
      </c>
      <c r="CE34" s="13">
        <f t="shared" si="24"/>
        <v>49366.038305426468</v>
      </c>
      <c r="CF34" s="13">
        <f t="shared" si="24"/>
        <v>-2648.4516945735286</v>
      </c>
      <c r="CG34" s="13">
        <f t="shared" si="24"/>
        <v>-6704.2316945735292</v>
      </c>
      <c r="CH34" s="13">
        <f t="shared" si="24"/>
        <v>-14845.901694573529</v>
      </c>
      <c r="CI34" s="13">
        <f t="shared" si="24"/>
        <v>20214.74830542647</v>
      </c>
      <c r="CJ34" s="13">
        <f t="shared" si="24"/>
        <v>-15480.901694573529</v>
      </c>
      <c r="CK34" s="13">
        <f t="shared" si="24"/>
        <v>-13161.75169457353</v>
      </c>
      <c r="CL34" s="13">
        <f t="shared" si="24"/>
        <v>4401.4483054264711</v>
      </c>
      <c r="CM34" s="13">
        <f t="shared" si="24"/>
        <v>-15077.20169457353</v>
      </c>
      <c r="CN34" s="13">
        <f t="shared" si="24"/>
        <v>116.79830542647119</v>
      </c>
      <c r="CO34" s="13">
        <f t="shared" si="24"/>
        <v>9140.66</v>
      </c>
      <c r="CP34" s="13">
        <f t="shared" si="24"/>
        <v>31428.020000000004</v>
      </c>
      <c r="CQ34" s="13">
        <f t="shared" si="24"/>
        <v>60860.445961250298</v>
      </c>
      <c r="CR34" s="52">
        <f>SUM(CR29:CR33)</f>
        <v>-207069.91403875005</v>
      </c>
      <c r="CS34" s="52">
        <f>SUM(CS29:CS33)</f>
        <v>93147.81</v>
      </c>
      <c r="CT34" s="52">
        <f>SUM(CT29:CT33)</f>
        <v>45151.369999999995</v>
      </c>
      <c r="CU34" s="52">
        <f>SUM(CU29:CU33)</f>
        <v>129631.18</v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</row>
    <row r="35" spans="1:124" x14ac:dyDescent="0.2">
      <c r="CQ35" s="13"/>
      <c r="CT35" s="16"/>
      <c r="CU35" s="16"/>
    </row>
    <row r="36" spans="1:124" x14ac:dyDescent="0.2">
      <c r="CS36" s="16">
        <f>SUM(CR34:CU34)</f>
        <v>60860.445961249934</v>
      </c>
    </row>
  </sheetData>
  <phoneticPr fontId="3" type="noConversion"/>
  <conditionalFormatting sqref="B29:CP33">
    <cfRule type="cellIs" dxfId="15" priority="2" operator="greaterThan">
      <formula>1500</formula>
    </cfRule>
  </conditionalFormatting>
  <conditionalFormatting sqref="CM29:CN33">
    <cfRule type="cellIs" dxfId="12" priority="1" operator="greaterThan">
      <formula>1500</formula>
    </cfRule>
  </conditionalFormatting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2111-CC31-4936-A99D-829259C4AB53}">
  <dimension ref="A1:S468"/>
  <sheetViews>
    <sheetView workbookViewId="0">
      <selection activeCell="D4" sqref="D4"/>
    </sheetView>
  </sheetViews>
  <sheetFormatPr baseColWidth="10" defaultRowHeight="12.75" x14ac:dyDescent="0.2"/>
  <cols>
    <col min="5" max="7" width="11.5703125" style="45"/>
  </cols>
  <sheetData>
    <row r="1" spans="1:19" x14ac:dyDescent="0.2">
      <c r="A1" t="s">
        <v>114</v>
      </c>
      <c r="B1" t="s">
        <v>23</v>
      </c>
      <c r="C1" t="s">
        <v>78</v>
      </c>
      <c r="D1" t="s">
        <v>76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</row>
    <row r="2" spans="1:19" x14ac:dyDescent="0.2">
      <c r="A2">
        <v>3041883</v>
      </c>
      <c r="B2" s="49">
        <v>46083</v>
      </c>
      <c r="C2" t="s">
        <v>259</v>
      </c>
      <c r="D2" t="s">
        <v>96</v>
      </c>
      <c r="E2">
        <v>11902.9</v>
      </c>
      <c r="F2">
        <v>0</v>
      </c>
      <c r="G2">
        <v>11902.9</v>
      </c>
      <c r="H2">
        <v>10000</v>
      </c>
      <c r="I2">
        <v>100</v>
      </c>
      <c r="J2" t="s">
        <v>260</v>
      </c>
      <c r="K2" t="s">
        <v>9</v>
      </c>
      <c r="L2" t="s">
        <v>261</v>
      </c>
      <c r="M2" t="s">
        <v>262</v>
      </c>
      <c r="N2" t="s">
        <v>109</v>
      </c>
      <c r="O2" t="s">
        <v>263</v>
      </c>
      <c r="P2">
        <v>4937727</v>
      </c>
      <c r="Q2">
        <v>1</v>
      </c>
      <c r="R2">
        <v>34</v>
      </c>
      <c r="S2" t="s">
        <v>95</v>
      </c>
    </row>
    <row r="3" spans="1:19" x14ac:dyDescent="0.2">
      <c r="B3" s="49"/>
      <c r="D3" t="s">
        <v>14</v>
      </c>
      <c r="E3"/>
      <c r="F3"/>
      <c r="G3"/>
      <c r="J3" t="s">
        <v>935</v>
      </c>
      <c r="K3" t="s">
        <v>28</v>
      </c>
    </row>
    <row r="4" spans="1:19" x14ac:dyDescent="0.2">
      <c r="B4" s="49"/>
      <c r="D4" t="s">
        <v>14</v>
      </c>
      <c r="E4"/>
      <c r="F4"/>
      <c r="G4"/>
      <c r="J4" t="s">
        <v>936</v>
      </c>
      <c r="K4" t="s">
        <v>122</v>
      </c>
    </row>
    <row r="5" spans="1:19" x14ac:dyDescent="0.2">
      <c r="A5">
        <v>3041868</v>
      </c>
      <c r="B5" s="49">
        <v>46083</v>
      </c>
      <c r="C5" t="s">
        <v>259</v>
      </c>
      <c r="D5" t="s">
        <v>96</v>
      </c>
      <c r="E5">
        <v>65923.740000000005</v>
      </c>
      <c r="F5">
        <v>0</v>
      </c>
      <c r="G5">
        <v>65923.740000000005</v>
      </c>
      <c r="H5">
        <v>10000</v>
      </c>
      <c r="I5">
        <v>100</v>
      </c>
      <c r="J5" t="s">
        <v>105</v>
      </c>
      <c r="K5" t="s">
        <v>67</v>
      </c>
      <c r="L5" t="s">
        <v>264</v>
      </c>
      <c r="M5" t="s">
        <v>265</v>
      </c>
      <c r="N5" t="s">
        <v>109</v>
      </c>
      <c r="O5" t="s">
        <v>263</v>
      </c>
      <c r="P5">
        <v>4937720</v>
      </c>
      <c r="Q5">
        <v>1</v>
      </c>
      <c r="R5">
        <v>66</v>
      </c>
      <c r="S5" t="s">
        <v>95</v>
      </c>
    </row>
    <row r="6" spans="1:19" x14ac:dyDescent="0.2">
      <c r="A6">
        <v>3041876</v>
      </c>
      <c r="B6" s="49">
        <v>46083</v>
      </c>
      <c r="C6" t="s">
        <v>259</v>
      </c>
      <c r="D6" t="s">
        <v>96</v>
      </c>
      <c r="E6">
        <v>8789.83</v>
      </c>
      <c r="F6">
        <v>0</v>
      </c>
      <c r="G6">
        <v>8789.83</v>
      </c>
      <c r="H6">
        <v>10000</v>
      </c>
      <c r="I6">
        <v>100</v>
      </c>
      <c r="J6" t="s">
        <v>266</v>
      </c>
      <c r="K6" t="s">
        <v>175</v>
      </c>
      <c r="L6" t="s">
        <v>267</v>
      </c>
      <c r="M6" t="s">
        <v>268</v>
      </c>
      <c r="N6" t="s">
        <v>109</v>
      </c>
      <c r="O6" t="s">
        <v>263</v>
      </c>
      <c r="P6">
        <v>4937721</v>
      </c>
      <c r="Q6">
        <v>1</v>
      </c>
      <c r="R6">
        <v>95</v>
      </c>
      <c r="S6" t="s">
        <v>95</v>
      </c>
    </row>
    <row r="7" spans="1:19" x14ac:dyDescent="0.2">
      <c r="A7">
        <v>3094563</v>
      </c>
      <c r="B7" s="49">
        <v>46112</v>
      </c>
      <c r="C7" t="s">
        <v>97</v>
      </c>
      <c r="D7" t="s">
        <v>14</v>
      </c>
      <c r="E7">
        <v>3200</v>
      </c>
      <c r="F7">
        <v>0</v>
      </c>
      <c r="G7">
        <v>3200</v>
      </c>
      <c r="H7">
        <v>10000</v>
      </c>
      <c r="I7">
        <v>100</v>
      </c>
      <c r="J7" t="s">
        <v>192</v>
      </c>
      <c r="K7" t="s">
        <v>3</v>
      </c>
      <c r="L7" t="s">
        <v>816</v>
      </c>
      <c r="M7" t="s">
        <v>517</v>
      </c>
      <c r="N7" t="s">
        <v>109</v>
      </c>
      <c r="O7" t="s">
        <v>817</v>
      </c>
      <c r="P7">
        <v>4977633</v>
      </c>
      <c r="Q7">
        <v>1</v>
      </c>
      <c r="R7">
        <v>27</v>
      </c>
      <c r="S7" t="s">
        <v>95</v>
      </c>
    </row>
    <row r="8" spans="1:19" x14ac:dyDescent="0.2">
      <c r="A8">
        <v>3041740</v>
      </c>
      <c r="B8" s="49">
        <v>46093</v>
      </c>
      <c r="C8" t="s">
        <v>97</v>
      </c>
      <c r="D8" t="s">
        <v>14</v>
      </c>
      <c r="E8">
        <v>5209.87</v>
      </c>
      <c r="F8">
        <v>0</v>
      </c>
      <c r="G8">
        <v>5209.87</v>
      </c>
      <c r="H8">
        <v>10000</v>
      </c>
      <c r="I8">
        <v>100</v>
      </c>
      <c r="J8" t="s">
        <v>192</v>
      </c>
      <c r="K8" t="s">
        <v>3</v>
      </c>
      <c r="L8" t="s">
        <v>269</v>
      </c>
      <c r="M8" t="s">
        <v>270</v>
      </c>
      <c r="N8" t="s">
        <v>109</v>
      </c>
      <c r="O8" t="s">
        <v>271</v>
      </c>
      <c r="P8">
        <v>4937613</v>
      </c>
      <c r="Q8">
        <v>1</v>
      </c>
      <c r="R8">
        <v>27</v>
      </c>
      <c r="S8" t="s">
        <v>95</v>
      </c>
    </row>
    <row r="9" spans="1:19" x14ac:dyDescent="0.2">
      <c r="A9">
        <v>3040736</v>
      </c>
      <c r="B9" s="49">
        <v>46087</v>
      </c>
      <c r="C9" t="s">
        <v>97</v>
      </c>
      <c r="D9" t="s">
        <v>14</v>
      </c>
      <c r="E9">
        <v>2450.4299999999998</v>
      </c>
      <c r="F9">
        <v>0</v>
      </c>
      <c r="G9">
        <v>2450.4299999999998</v>
      </c>
      <c r="H9">
        <v>10000</v>
      </c>
      <c r="I9">
        <v>100</v>
      </c>
      <c r="J9" t="s">
        <v>192</v>
      </c>
      <c r="K9" t="s">
        <v>3</v>
      </c>
      <c r="L9" t="s">
        <v>272</v>
      </c>
      <c r="M9" t="s">
        <v>273</v>
      </c>
      <c r="N9" t="s">
        <v>109</v>
      </c>
      <c r="O9" t="s">
        <v>274</v>
      </c>
      <c r="P9">
        <v>4936012</v>
      </c>
      <c r="Q9">
        <v>1</v>
      </c>
      <c r="R9">
        <v>27</v>
      </c>
      <c r="S9" t="s">
        <v>95</v>
      </c>
    </row>
    <row r="10" spans="1:19" x14ac:dyDescent="0.2">
      <c r="A10">
        <v>3097667</v>
      </c>
      <c r="B10" s="49">
        <v>46105</v>
      </c>
      <c r="C10" t="s">
        <v>97</v>
      </c>
      <c r="D10" t="s">
        <v>14</v>
      </c>
      <c r="E10">
        <v>25829.599999999999</v>
      </c>
      <c r="F10">
        <v>0</v>
      </c>
      <c r="G10">
        <v>25829.599999999999</v>
      </c>
      <c r="H10">
        <v>10000</v>
      </c>
      <c r="I10">
        <v>100</v>
      </c>
      <c r="J10" t="s">
        <v>275</v>
      </c>
      <c r="K10" t="s">
        <v>42</v>
      </c>
      <c r="L10" t="s">
        <v>818</v>
      </c>
      <c r="M10" t="s">
        <v>818</v>
      </c>
      <c r="N10" t="s">
        <v>109</v>
      </c>
      <c r="O10" t="s">
        <v>819</v>
      </c>
      <c r="P10">
        <v>4977770</v>
      </c>
      <c r="Q10">
        <v>1</v>
      </c>
      <c r="R10">
        <v>33</v>
      </c>
      <c r="S10" t="s">
        <v>95</v>
      </c>
    </row>
    <row r="11" spans="1:19" x14ac:dyDescent="0.2">
      <c r="A11">
        <v>3088413</v>
      </c>
      <c r="B11" s="49">
        <v>46100</v>
      </c>
      <c r="C11" t="s">
        <v>97</v>
      </c>
      <c r="D11" t="s">
        <v>14</v>
      </c>
      <c r="E11">
        <v>1244.19</v>
      </c>
      <c r="F11">
        <v>0</v>
      </c>
      <c r="G11">
        <v>1244.19</v>
      </c>
      <c r="H11">
        <v>10000</v>
      </c>
      <c r="I11">
        <v>100</v>
      </c>
      <c r="J11" t="s">
        <v>275</v>
      </c>
      <c r="K11" t="s">
        <v>42</v>
      </c>
      <c r="L11" t="s">
        <v>640</v>
      </c>
      <c r="M11" t="s">
        <v>641</v>
      </c>
      <c r="N11" t="s">
        <v>183</v>
      </c>
      <c r="O11" t="s">
        <v>642</v>
      </c>
      <c r="P11">
        <v>4975475</v>
      </c>
      <c r="Q11">
        <v>1</v>
      </c>
      <c r="R11">
        <v>33</v>
      </c>
      <c r="S11" t="s">
        <v>95</v>
      </c>
    </row>
    <row r="12" spans="1:19" x14ac:dyDescent="0.2">
      <c r="A12">
        <v>3088389</v>
      </c>
      <c r="B12" s="49">
        <v>46099</v>
      </c>
      <c r="C12" t="s">
        <v>97</v>
      </c>
      <c r="D12" t="s">
        <v>14</v>
      </c>
      <c r="E12">
        <v>4956.5200000000004</v>
      </c>
      <c r="F12">
        <v>0</v>
      </c>
      <c r="G12">
        <v>4956.5200000000004</v>
      </c>
      <c r="H12">
        <v>10000</v>
      </c>
      <c r="I12">
        <v>100</v>
      </c>
      <c r="J12" t="s">
        <v>275</v>
      </c>
      <c r="K12" t="s">
        <v>42</v>
      </c>
      <c r="L12" t="s">
        <v>643</v>
      </c>
      <c r="M12" t="s">
        <v>644</v>
      </c>
      <c r="N12" t="s">
        <v>183</v>
      </c>
      <c r="O12" t="s">
        <v>642</v>
      </c>
      <c r="P12">
        <v>4975454</v>
      </c>
      <c r="Q12">
        <v>1</v>
      </c>
      <c r="R12">
        <v>33</v>
      </c>
      <c r="S12" t="s">
        <v>95</v>
      </c>
    </row>
    <row r="13" spans="1:19" x14ac:dyDescent="0.2">
      <c r="A13">
        <v>3087867</v>
      </c>
      <c r="B13" s="49">
        <v>46100</v>
      </c>
      <c r="C13" t="s">
        <v>97</v>
      </c>
      <c r="D13" t="s">
        <v>14</v>
      </c>
      <c r="E13">
        <v>480</v>
      </c>
      <c r="F13">
        <v>0</v>
      </c>
      <c r="G13">
        <v>480</v>
      </c>
      <c r="H13">
        <v>10000</v>
      </c>
      <c r="I13">
        <v>100</v>
      </c>
      <c r="J13" t="s">
        <v>275</v>
      </c>
      <c r="K13" t="s">
        <v>42</v>
      </c>
      <c r="L13" t="s">
        <v>645</v>
      </c>
      <c r="M13" t="s">
        <v>646</v>
      </c>
      <c r="N13" t="s">
        <v>183</v>
      </c>
      <c r="O13" t="s">
        <v>642</v>
      </c>
      <c r="P13">
        <v>4975033</v>
      </c>
      <c r="Q13">
        <v>1</v>
      </c>
      <c r="R13">
        <v>33</v>
      </c>
      <c r="S13" t="s">
        <v>95</v>
      </c>
    </row>
    <row r="14" spans="1:19" x14ac:dyDescent="0.2">
      <c r="A14">
        <v>3040736</v>
      </c>
      <c r="B14" s="49">
        <v>46087</v>
      </c>
      <c r="C14" t="s">
        <v>97</v>
      </c>
      <c r="D14" t="s">
        <v>14</v>
      </c>
      <c r="E14">
        <v>2120.87</v>
      </c>
      <c r="F14">
        <v>0</v>
      </c>
      <c r="G14">
        <v>2120.87</v>
      </c>
      <c r="H14">
        <v>10000</v>
      </c>
      <c r="I14">
        <v>100</v>
      </c>
      <c r="J14" t="s">
        <v>275</v>
      </c>
      <c r="K14" t="s">
        <v>42</v>
      </c>
      <c r="L14" t="s">
        <v>272</v>
      </c>
      <c r="M14" t="s">
        <v>276</v>
      </c>
      <c r="N14" t="s">
        <v>109</v>
      </c>
      <c r="O14" t="s">
        <v>274</v>
      </c>
      <c r="P14">
        <v>4936012</v>
      </c>
      <c r="Q14">
        <v>1</v>
      </c>
      <c r="R14">
        <v>33</v>
      </c>
      <c r="S14" t="s">
        <v>95</v>
      </c>
    </row>
    <row r="15" spans="1:19" x14ac:dyDescent="0.2">
      <c r="A15">
        <v>3043244</v>
      </c>
      <c r="B15" s="49">
        <v>46092</v>
      </c>
      <c r="C15" t="s">
        <v>97</v>
      </c>
      <c r="D15" t="s">
        <v>14</v>
      </c>
      <c r="E15">
        <v>21500</v>
      </c>
      <c r="F15">
        <v>0</v>
      </c>
      <c r="G15">
        <v>21500</v>
      </c>
      <c r="H15">
        <v>10000</v>
      </c>
      <c r="I15">
        <v>100</v>
      </c>
      <c r="J15" t="s">
        <v>116</v>
      </c>
      <c r="K15" t="s">
        <v>116</v>
      </c>
      <c r="L15" t="s">
        <v>277</v>
      </c>
      <c r="M15" t="s">
        <v>278</v>
      </c>
      <c r="N15" t="s">
        <v>109</v>
      </c>
      <c r="O15" t="s">
        <v>279</v>
      </c>
      <c r="P15">
        <v>4938480</v>
      </c>
      <c r="Q15">
        <v>1</v>
      </c>
      <c r="R15">
        <v>30</v>
      </c>
      <c r="S15" t="s">
        <v>95</v>
      </c>
    </row>
    <row r="16" spans="1:19" x14ac:dyDescent="0.2">
      <c r="A16">
        <v>3087549</v>
      </c>
      <c r="B16" s="49">
        <v>46093</v>
      </c>
      <c r="C16" t="s">
        <v>97</v>
      </c>
      <c r="D16" t="s">
        <v>14</v>
      </c>
      <c r="E16">
        <v>5599.41</v>
      </c>
      <c r="F16">
        <v>0</v>
      </c>
      <c r="G16">
        <v>5599.41</v>
      </c>
      <c r="H16">
        <v>10000</v>
      </c>
      <c r="I16">
        <v>100</v>
      </c>
      <c r="J16" t="s">
        <v>4</v>
      </c>
      <c r="K16" t="s">
        <v>4</v>
      </c>
      <c r="L16" t="s">
        <v>647</v>
      </c>
      <c r="M16" t="s">
        <v>648</v>
      </c>
      <c r="N16" t="s">
        <v>183</v>
      </c>
      <c r="O16" t="s">
        <v>642</v>
      </c>
      <c r="P16">
        <v>4974747</v>
      </c>
      <c r="Q16">
        <v>1</v>
      </c>
      <c r="R16">
        <v>31</v>
      </c>
      <c r="S16" t="s">
        <v>95</v>
      </c>
    </row>
    <row r="17" spans="1:19" x14ac:dyDescent="0.2">
      <c r="A17">
        <v>3084900</v>
      </c>
      <c r="B17" s="49">
        <v>46090</v>
      </c>
      <c r="C17" t="s">
        <v>97</v>
      </c>
      <c r="D17" t="s">
        <v>14</v>
      </c>
      <c r="E17">
        <v>2500</v>
      </c>
      <c r="F17">
        <v>0</v>
      </c>
      <c r="G17">
        <v>2500</v>
      </c>
      <c r="H17">
        <v>10000</v>
      </c>
      <c r="I17">
        <v>100</v>
      </c>
      <c r="J17" t="s">
        <v>4</v>
      </c>
      <c r="K17" t="s">
        <v>4</v>
      </c>
      <c r="L17" t="s">
        <v>649</v>
      </c>
      <c r="M17" t="s">
        <v>650</v>
      </c>
      <c r="N17" t="s">
        <v>198</v>
      </c>
      <c r="O17" t="s">
        <v>651</v>
      </c>
      <c r="P17">
        <v>4971331</v>
      </c>
      <c r="Q17">
        <v>1</v>
      </c>
      <c r="R17">
        <v>31</v>
      </c>
      <c r="S17" t="s">
        <v>95</v>
      </c>
    </row>
    <row r="18" spans="1:19" x14ac:dyDescent="0.2">
      <c r="A18">
        <v>3040738</v>
      </c>
      <c r="B18" s="49">
        <v>46090</v>
      </c>
      <c r="C18" t="s">
        <v>97</v>
      </c>
      <c r="D18" t="s">
        <v>14</v>
      </c>
      <c r="E18">
        <v>319.85000000000002</v>
      </c>
      <c r="F18">
        <v>0</v>
      </c>
      <c r="G18">
        <v>319.85000000000002</v>
      </c>
      <c r="H18">
        <v>10000</v>
      </c>
      <c r="I18">
        <v>100</v>
      </c>
      <c r="J18" t="s">
        <v>4</v>
      </c>
      <c r="K18" t="s">
        <v>4</v>
      </c>
      <c r="L18" t="s">
        <v>280</v>
      </c>
      <c r="M18" t="s">
        <v>281</v>
      </c>
      <c r="N18" t="s">
        <v>109</v>
      </c>
      <c r="O18" t="s">
        <v>274</v>
      </c>
      <c r="P18">
        <v>4935877</v>
      </c>
      <c r="Q18">
        <v>1</v>
      </c>
      <c r="R18">
        <v>31</v>
      </c>
      <c r="S18" t="s">
        <v>95</v>
      </c>
    </row>
    <row r="19" spans="1:19" x14ac:dyDescent="0.2">
      <c r="A19">
        <v>3009079</v>
      </c>
      <c r="B19" s="49">
        <v>46082</v>
      </c>
      <c r="C19" t="s">
        <v>97</v>
      </c>
      <c r="D19" t="s">
        <v>14</v>
      </c>
      <c r="E19">
        <v>3108</v>
      </c>
      <c r="F19">
        <v>0</v>
      </c>
      <c r="G19">
        <v>3108</v>
      </c>
      <c r="H19">
        <v>10000</v>
      </c>
      <c r="I19">
        <v>100</v>
      </c>
      <c r="J19" t="s">
        <v>4</v>
      </c>
      <c r="K19" t="s">
        <v>4</v>
      </c>
      <c r="L19" t="s">
        <v>207</v>
      </c>
      <c r="M19" t="s">
        <v>208</v>
      </c>
      <c r="N19" t="s">
        <v>183</v>
      </c>
      <c r="O19" t="s">
        <v>209</v>
      </c>
      <c r="P19">
        <v>4410956</v>
      </c>
      <c r="Q19">
        <v>1</v>
      </c>
      <c r="R19">
        <v>31</v>
      </c>
      <c r="S19" t="s">
        <v>95</v>
      </c>
    </row>
    <row r="20" spans="1:19" x14ac:dyDescent="0.2">
      <c r="A20">
        <v>3087974</v>
      </c>
      <c r="B20" s="49">
        <v>46091</v>
      </c>
      <c r="C20" t="s">
        <v>97</v>
      </c>
      <c r="D20" t="s">
        <v>14</v>
      </c>
      <c r="E20">
        <v>115</v>
      </c>
      <c r="F20">
        <v>0</v>
      </c>
      <c r="G20">
        <v>115</v>
      </c>
      <c r="H20">
        <v>10000</v>
      </c>
      <c r="I20">
        <v>100</v>
      </c>
      <c r="J20" t="s">
        <v>189</v>
      </c>
      <c r="K20" t="s">
        <v>43</v>
      </c>
      <c r="L20" t="s">
        <v>652</v>
      </c>
      <c r="M20" t="s">
        <v>653</v>
      </c>
      <c r="N20" t="s">
        <v>183</v>
      </c>
      <c r="O20" t="s">
        <v>642</v>
      </c>
      <c r="P20">
        <v>4975453</v>
      </c>
      <c r="Q20">
        <v>1</v>
      </c>
      <c r="R20">
        <v>32</v>
      </c>
      <c r="S20" t="s">
        <v>95</v>
      </c>
    </row>
    <row r="21" spans="1:19" x14ac:dyDescent="0.2">
      <c r="A21">
        <v>3043243</v>
      </c>
      <c r="B21" s="49">
        <v>46092</v>
      </c>
      <c r="C21" t="s">
        <v>97</v>
      </c>
      <c r="D21" t="s">
        <v>14</v>
      </c>
      <c r="E21">
        <v>11802.23</v>
      </c>
      <c r="F21">
        <v>0</v>
      </c>
      <c r="G21">
        <v>11802.23</v>
      </c>
      <c r="H21">
        <v>10000</v>
      </c>
      <c r="I21">
        <v>100</v>
      </c>
      <c r="J21" t="s">
        <v>189</v>
      </c>
      <c r="K21" t="s">
        <v>43</v>
      </c>
      <c r="L21" t="s">
        <v>282</v>
      </c>
      <c r="M21" t="s">
        <v>282</v>
      </c>
      <c r="N21" t="s">
        <v>109</v>
      </c>
      <c r="O21" t="s">
        <v>279</v>
      </c>
      <c r="P21">
        <v>4938479</v>
      </c>
      <c r="Q21">
        <v>1</v>
      </c>
      <c r="R21">
        <v>32</v>
      </c>
      <c r="S21" t="s">
        <v>95</v>
      </c>
    </row>
    <row r="22" spans="1:19" x14ac:dyDescent="0.2">
      <c r="A22">
        <v>3041354</v>
      </c>
      <c r="B22" s="49">
        <v>46084</v>
      </c>
      <c r="C22" t="s">
        <v>97</v>
      </c>
      <c r="D22" t="s">
        <v>14</v>
      </c>
      <c r="E22">
        <v>7791</v>
      </c>
      <c r="F22">
        <v>0</v>
      </c>
      <c r="G22">
        <v>7791</v>
      </c>
      <c r="H22">
        <v>10000</v>
      </c>
      <c r="I22">
        <v>100</v>
      </c>
      <c r="J22" t="s">
        <v>189</v>
      </c>
      <c r="K22" t="s">
        <v>43</v>
      </c>
      <c r="L22" t="s">
        <v>283</v>
      </c>
      <c r="M22" t="s">
        <v>284</v>
      </c>
      <c r="N22" t="s">
        <v>109</v>
      </c>
      <c r="O22" t="s">
        <v>274</v>
      </c>
      <c r="P22">
        <v>4937359</v>
      </c>
      <c r="Q22">
        <v>1</v>
      </c>
      <c r="R22">
        <v>32</v>
      </c>
      <c r="S22" t="s">
        <v>95</v>
      </c>
    </row>
    <row r="23" spans="1:19" x14ac:dyDescent="0.2">
      <c r="A23">
        <v>3040734</v>
      </c>
      <c r="B23" s="49">
        <v>46084</v>
      </c>
      <c r="C23" t="s">
        <v>97</v>
      </c>
      <c r="D23" t="s">
        <v>14</v>
      </c>
      <c r="E23">
        <v>10922.8</v>
      </c>
      <c r="F23">
        <v>0</v>
      </c>
      <c r="G23">
        <v>10922.8</v>
      </c>
      <c r="H23">
        <v>10000</v>
      </c>
      <c r="I23">
        <v>100</v>
      </c>
      <c r="J23" t="s">
        <v>189</v>
      </c>
      <c r="K23" t="s">
        <v>43</v>
      </c>
      <c r="L23" t="s">
        <v>285</v>
      </c>
      <c r="M23" t="s">
        <v>286</v>
      </c>
      <c r="N23" t="s">
        <v>109</v>
      </c>
      <c r="O23" t="s">
        <v>274</v>
      </c>
      <c r="P23">
        <v>4935876</v>
      </c>
      <c r="Q23">
        <v>1</v>
      </c>
      <c r="R23">
        <v>32</v>
      </c>
      <c r="S23" t="s">
        <v>95</v>
      </c>
    </row>
    <row r="24" spans="1:19" x14ac:dyDescent="0.2">
      <c r="A24">
        <v>3110686</v>
      </c>
      <c r="B24" s="49">
        <v>46112</v>
      </c>
      <c r="C24" t="s">
        <v>97</v>
      </c>
      <c r="D24" t="s">
        <v>14</v>
      </c>
      <c r="E24">
        <v>165</v>
      </c>
      <c r="F24">
        <v>0</v>
      </c>
      <c r="G24">
        <v>165</v>
      </c>
      <c r="H24">
        <v>10000</v>
      </c>
      <c r="I24">
        <v>100</v>
      </c>
      <c r="J24" t="s">
        <v>191</v>
      </c>
      <c r="K24" t="s">
        <v>44</v>
      </c>
      <c r="L24" t="s">
        <v>649</v>
      </c>
      <c r="M24" t="s">
        <v>866</v>
      </c>
      <c r="N24" t="s">
        <v>867</v>
      </c>
      <c r="O24" t="s">
        <v>868</v>
      </c>
      <c r="P24">
        <v>4992786</v>
      </c>
      <c r="Q24">
        <v>1</v>
      </c>
      <c r="R24">
        <v>2</v>
      </c>
      <c r="S24" t="s">
        <v>95</v>
      </c>
    </row>
    <row r="25" spans="1:19" x14ac:dyDescent="0.2">
      <c r="A25">
        <v>3087546</v>
      </c>
      <c r="B25" s="49">
        <v>46102</v>
      </c>
      <c r="C25" t="s">
        <v>97</v>
      </c>
      <c r="D25" t="s">
        <v>14</v>
      </c>
      <c r="E25">
        <v>1500</v>
      </c>
      <c r="F25">
        <v>0</v>
      </c>
      <c r="G25">
        <v>1500</v>
      </c>
      <c r="H25">
        <v>10000</v>
      </c>
      <c r="I25">
        <v>100</v>
      </c>
      <c r="J25" t="s">
        <v>191</v>
      </c>
      <c r="K25" t="s">
        <v>44</v>
      </c>
      <c r="L25" t="s">
        <v>649</v>
      </c>
      <c r="M25" t="s">
        <v>654</v>
      </c>
      <c r="N25" t="s">
        <v>198</v>
      </c>
      <c r="O25" t="s">
        <v>655</v>
      </c>
      <c r="P25">
        <v>4974611</v>
      </c>
      <c r="Q25">
        <v>1</v>
      </c>
      <c r="R25">
        <v>2</v>
      </c>
      <c r="S25" t="s">
        <v>95</v>
      </c>
    </row>
    <row r="26" spans="1:19" x14ac:dyDescent="0.2">
      <c r="A26">
        <v>3081645</v>
      </c>
      <c r="B26" s="49">
        <v>46106</v>
      </c>
      <c r="C26" t="s">
        <v>97</v>
      </c>
      <c r="D26" t="s">
        <v>14</v>
      </c>
      <c r="E26">
        <v>709.97</v>
      </c>
      <c r="F26">
        <v>0</v>
      </c>
      <c r="G26">
        <v>709.97</v>
      </c>
      <c r="H26">
        <v>10000</v>
      </c>
      <c r="I26">
        <v>100</v>
      </c>
      <c r="J26" t="s">
        <v>98</v>
      </c>
      <c r="K26" t="s">
        <v>29</v>
      </c>
      <c r="L26" t="s">
        <v>656</v>
      </c>
      <c r="M26" t="s">
        <v>657</v>
      </c>
      <c r="N26" t="s">
        <v>109</v>
      </c>
      <c r="O26" t="s">
        <v>658</v>
      </c>
      <c r="P26">
        <v>4969885</v>
      </c>
      <c r="Q26">
        <v>1</v>
      </c>
      <c r="R26">
        <v>3</v>
      </c>
      <c r="S26" t="s">
        <v>95</v>
      </c>
    </row>
    <row r="27" spans="1:19" x14ac:dyDescent="0.2">
      <c r="A27">
        <v>3097703</v>
      </c>
      <c r="B27" s="49">
        <v>46107</v>
      </c>
      <c r="C27" t="s">
        <v>97</v>
      </c>
      <c r="D27" t="s">
        <v>14</v>
      </c>
      <c r="E27">
        <v>10531</v>
      </c>
      <c r="F27">
        <v>0</v>
      </c>
      <c r="G27">
        <v>10531</v>
      </c>
      <c r="H27">
        <v>10000</v>
      </c>
      <c r="I27">
        <v>100</v>
      </c>
      <c r="J27" t="s">
        <v>202</v>
      </c>
      <c r="K27" t="s">
        <v>56</v>
      </c>
      <c r="L27" t="s">
        <v>820</v>
      </c>
      <c r="M27" t="s">
        <v>821</v>
      </c>
      <c r="N27" t="s">
        <v>109</v>
      </c>
      <c r="O27" t="s">
        <v>822</v>
      </c>
      <c r="P27">
        <v>4977884</v>
      </c>
      <c r="Q27">
        <v>1</v>
      </c>
      <c r="R27">
        <v>4</v>
      </c>
      <c r="S27" t="s">
        <v>95</v>
      </c>
    </row>
    <row r="28" spans="1:19" x14ac:dyDescent="0.2">
      <c r="A28">
        <v>3096073</v>
      </c>
      <c r="B28" s="49">
        <v>46084</v>
      </c>
      <c r="C28" t="s">
        <v>97</v>
      </c>
      <c r="D28" t="s">
        <v>14</v>
      </c>
      <c r="E28">
        <v>4500</v>
      </c>
      <c r="F28">
        <v>0</v>
      </c>
      <c r="G28">
        <v>4500</v>
      </c>
      <c r="H28">
        <v>10000</v>
      </c>
      <c r="I28">
        <v>100</v>
      </c>
      <c r="J28" t="s">
        <v>202</v>
      </c>
      <c r="K28" t="s">
        <v>56</v>
      </c>
      <c r="L28" t="s">
        <v>823</v>
      </c>
      <c r="M28" t="s">
        <v>823</v>
      </c>
      <c r="N28" t="s">
        <v>109</v>
      </c>
      <c r="O28" t="s">
        <v>824</v>
      </c>
      <c r="P28">
        <v>4977662</v>
      </c>
      <c r="Q28">
        <v>1</v>
      </c>
      <c r="R28">
        <v>4</v>
      </c>
      <c r="S28" t="s">
        <v>95</v>
      </c>
    </row>
    <row r="29" spans="1:19" x14ac:dyDescent="0.2">
      <c r="A29">
        <v>3043201</v>
      </c>
      <c r="B29" s="49">
        <v>46086</v>
      </c>
      <c r="C29" t="s">
        <v>97</v>
      </c>
      <c r="D29" t="s">
        <v>14</v>
      </c>
      <c r="E29">
        <v>2300</v>
      </c>
      <c r="F29">
        <v>0</v>
      </c>
      <c r="G29">
        <v>2300</v>
      </c>
      <c r="H29">
        <v>10000</v>
      </c>
      <c r="I29">
        <v>100</v>
      </c>
      <c r="J29" t="s">
        <v>202</v>
      </c>
      <c r="K29" t="s">
        <v>56</v>
      </c>
      <c r="L29" t="s">
        <v>287</v>
      </c>
      <c r="M29" t="s">
        <v>288</v>
      </c>
      <c r="N29" t="s">
        <v>109</v>
      </c>
      <c r="O29" t="s">
        <v>289</v>
      </c>
      <c r="P29">
        <v>4937751</v>
      </c>
      <c r="Q29">
        <v>1</v>
      </c>
      <c r="R29">
        <v>4</v>
      </c>
      <c r="S29" t="s">
        <v>95</v>
      </c>
    </row>
    <row r="30" spans="1:19" x14ac:dyDescent="0.2">
      <c r="A30">
        <v>3097707</v>
      </c>
      <c r="B30" s="49">
        <v>46101</v>
      </c>
      <c r="C30" t="s">
        <v>97</v>
      </c>
      <c r="D30" t="s">
        <v>14</v>
      </c>
      <c r="E30">
        <v>10531</v>
      </c>
      <c r="F30">
        <v>0</v>
      </c>
      <c r="G30">
        <v>10531</v>
      </c>
      <c r="H30">
        <v>10000</v>
      </c>
      <c r="I30">
        <v>100</v>
      </c>
      <c r="J30" t="s">
        <v>186</v>
      </c>
      <c r="K30" t="s">
        <v>45</v>
      </c>
      <c r="L30" t="s">
        <v>825</v>
      </c>
      <c r="M30" t="s">
        <v>826</v>
      </c>
      <c r="N30" t="s">
        <v>109</v>
      </c>
      <c r="O30" t="s">
        <v>822</v>
      </c>
      <c r="P30">
        <v>4977885</v>
      </c>
      <c r="Q30">
        <v>1</v>
      </c>
      <c r="R30">
        <v>5</v>
      </c>
      <c r="S30" t="s">
        <v>95</v>
      </c>
    </row>
    <row r="31" spans="1:19" x14ac:dyDescent="0.2">
      <c r="A31">
        <v>3096058</v>
      </c>
      <c r="B31" s="49">
        <v>46112</v>
      </c>
      <c r="C31" t="s">
        <v>97</v>
      </c>
      <c r="D31" t="s">
        <v>14</v>
      </c>
      <c r="E31">
        <v>3560</v>
      </c>
      <c r="F31">
        <v>0</v>
      </c>
      <c r="G31">
        <v>3560</v>
      </c>
      <c r="H31">
        <v>10000</v>
      </c>
      <c r="I31">
        <v>100</v>
      </c>
      <c r="J31" t="s">
        <v>186</v>
      </c>
      <c r="K31" t="s">
        <v>45</v>
      </c>
      <c r="L31" t="s">
        <v>827</v>
      </c>
      <c r="M31" t="s">
        <v>517</v>
      </c>
      <c r="N31" t="s">
        <v>109</v>
      </c>
      <c r="O31" t="s">
        <v>828</v>
      </c>
      <c r="P31">
        <v>4977644</v>
      </c>
      <c r="Q31">
        <v>1</v>
      </c>
      <c r="R31">
        <v>5</v>
      </c>
      <c r="S31" t="s">
        <v>95</v>
      </c>
    </row>
    <row r="32" spans="1:19" x14ac:dyDescent="0.2">
      <c r="A32">
        <v>3094557</v>
      </c>
      <c r="B32" s="49">
        <v>46112</v>
      </c>
      <c r="C32" t="s">
        <v>97</v>
      </c>
      <c r="D32" t="s">
        <v>14</v>
      </c>
      <c r="E32">
        <v>1920</v>
      </c>
      <c r="F32">
        <v>0</v>
      </c>
      <c r="G32">
        <v>1920</v>
      </c>
      <c r="H32">
        <v>10000</v>
      </c>
      <c r="I32">
        <v>100</v>
      </c>
      <c r="J32" t="s">
        <v>186</v>
      </c>
      <c r="K32" t="s">
        <v>45</v>
      </c>
      <c r="L32" t="s">
        <v>829</v>
      </c>
      <c r="M32" t="s">
        <v>517</v>
      </c>
      <c r="N32" t="s">
        <v>109</v>
      </c>
      <c r="O32" t="s">
        <v>817</v>
      </c>
      <c r="P32">
        <v>4977627</v>
      </c>
      <c r="Q32">
        <v>1</v>
      </c>
      <c r="R32">
        <v>5</v>
      </c>
      <c r="S32" t="s">
        <v>95</v>
      </c>
    </row>
    <row r="33" spans="1:19" x14ac:dyDescent="0.2">
      <c r="A33">
        <v>3088392</v>
      </c>
      <c r="B33" s="49">
        <v>46100</v>
      </c>
      <c r="C33" t="s">
        <v>97</v>
      </c>
      <c r="D33" t="s">
        <v>14</v>
      </c>
      <c r="E33">
        <v>4394.91</v>
      </c>
      <c r="F33">
        <v>0</v>
      </c>
      <c r="G33">
        <v>4394.91</v>
      </c>
      <c r="H33">
        <v>10000</v>
      </c>
      <c r="I33">
        <v>100</v>
      </c>
      <c r="J33" t="s">
        <v>186</v>
      </c>
      <c r="K33" t="s">
        <v>45</v>
      </c>
      <c r="L33" t="s">
        <v>659</v>
      </c>
      <c r="M33" t="s">
        <v>660</v>
      </c>
      <c r="N33" t="s">
        <v>183</v>
      </c>
      <c r="O33" t="s">
        <v>642</v>
      </c>
      <c r="P33">
        <v>4975459</v>
      </c>
      <c r="Q33">
        <v>1</v>
      </c>
      <c r="R33">
        <v>5</v>
      </c>
      <c r="S33" t="s">
        <v>95</v>
      </c>
    </row>
    <row r="34" spans="1:19" x14ac:dyDescent="0.2">
      <c r="A34">
        <v>3087690</v>
      </c>
      <c r="B34" s="49">
        <v>46097</v>
      </c>
      <c r="C34" t="s">
        <v>97</v>
      </c>
      <c r="D34" t="s">
        <v>14</v>
      </c>
      <c r="E34">
        <v>651.48</v>
      </c>
      <c r="F34">
        <v>0</v>
      </c>
      <c r="G34">
        <v>651.48</v>
      </c>
      <c r="H34">
        <v>10000</v>
      </c>
      <c r="I34">
        <v>100</v>
      </c>
      <c r="J34" t="s">
        <v>186</v>
      </c>
      <c r="K34" t="s">
        <v>45</v>
      </c>
      <c r="L34" t="s">
        <v>640</v>
      </c>
      <c r="M34" t="s">
        <v>661</v>
      </c>
      <c r="N34" t="s">
        <v>183</v>
      </c>
      <c r="O34" t="s">
        <v>642</v>
      </c>
      <c r="P34">
        <v>4974931</v>
      </c>
      <c r="Q34">
        <v>1</v>
      </c>
      <c r="R34">
        <v>5</v>
      </c>
      <c r="S34" t="s">
        <v>95</v>
      </c>
    </row>
    <row r="35" spans="1:19" x14ac:dyDescent="0.2">
      <c r="A35">
        <v>3043201</v>
      </c>
      <c r="B35" s="49">
        <v>46086</v>
      </c>
      <c r="C35" t="s">
        <v>97</v>
      </c>
      <c r="D35" t="s">
        <v>14</v>
      </c>
      <c r="E35">
        <v>2350</v>
      </c>
      <c r="F35">
        <v>0</v>
      </c>
      <c r="G35">
        <v>2350</v>
      </c>
      <c r="H35">
        <v>10000</v>
      </c>
      <c r="I35">
        <v>100</v>
      </c>
      <c r="J35" t="s">
        <v>186</v>
      </c>
      <c r="K35" t="s">
        <v>45</v>
      </c>
      <c r="L35" t="s">
        <v>287</v>
      </c>
      <c r="M35" t="s">
        <v>290</v>
      </c>
      <c r="N35" t="s">
        <v>109</v>
      </c>
      <c r="O35" t="s">
        <v>289</v>
      </c>
      <c r="P35">
        <v>4937751</v>
      </c>
      <c r="Q35">
        <v>1</v>
      </c>
      <c r="R35">
        <v>5</v>
      </c>
      <c r="S35" t="s">
        <v>95</v>
      </c>
    </row>
    <row r="36" spans="1:19" x14ac:dyDescent="0.2">
      <c r="A36">
        <v>3041881</v>
      </c>
      <c r="B36" s="49">
        <v>46083</v>
      </c>
      <c r="C36" t="s">
        <v>97</v>
      </c>
      <c r="D36" t="s">
        <v>14</v>
      </c>
      <c r="E36">
        <v>6592.37</v>
      </c>
      <c r="F36">
        <v>0</v>
      </c>
      <c r="G36">
        <v>6592.37</v>
      </c>
      <c r="H36">
        <v>10000</v>
      </c>
      <c r="I36">
        <v>100</v>
      </c>
      <c r="J36" t="s">
        <v>186</v>
      </c>
      <c r="K36" t="s">
        <v>45</v>
      </c>
      <c r="L36" t="s">
        <v>291</v>
      </c>
      <c r="M36" t="s">
        <v>292</v>
      </c>
      <c r="N36" t="s">
        <v>109</v>
      </c>
      <c r="O36" t="s">
        <v>263</v>
      </c>
      <c r="P36">
        <v>4937725</v>
      </c>
      <c r="Q36">
        <v>1</v>
      </c>
      <c r="R36">
        <v>5</v>
      </c>
      <c r="S36" t="s">
        <v>95</v>
      </c>
    </row>
    <row r="37" spans="1:19" x14ac:dyDescent="0.2">
      <c r="A37">
        <v>3097763</v>
      </c>
      <c r="B37" s="49">
        <v>46099</v>
      </c>
      <c r="C37" t="s">
        <v>97</v>
      </c>
      <c r="D37" t="s">
        <v>14</v>
      </c>
      <c r="E37">
        <v>24640</v>
      </c>
      <c r="F37">
        <v>0</v>
      </c>
      <c r="G37">
        <v>24640</v>
      </c>
      <c r="H37">
        <v>10000</v>
      </c>
      <c r="I37">
        <v>100</v>
      </c>
      <c r="J37" t="s">
        <v>104</v>
      </c>
      <c r="K37" t="s">
        <v>54</v>
      </c>
      <c r="L37" t="s">
        <v>830</v>
      </c>
      <c r="M37" t="s">
        <v>831</v>
      </c>
      <c r="N37" t="s">
        <v>109</v>
      </c>
      <c r="O37" t="s">
        <v>822</v>
      </c>
      <c r="P37">
        <v>4977895</v>
      </c>
      <c r="Q37">
        <v>1</v>
      </c>
      <c r="R37">
        <v>6</v>
      </c>
      <c r="S37" t="s">
        <v>95</v>
      </c>
    </row>
    <row r="38" spans="1:19" x14ac:dyDescent="0.2">
      <c r="A38">
        <v>3094561</v>
      </c>
      <c r="B38" s="49">
        <v>46112</v>
      </c>
      <c r="C38" t="s">
        <v>97</v>
      </c>
      <c r="D38" t="s">
        <v>14</v>
      </c>
      <c r="E38">
        <v>2720</v>
      </c>
      <c r="F38">
        <v>0</v>
      </c>
      <c r="G38">
        <v>2720</v>
      </c>
      <c r="H38">
        <v>10000</v>
      </c>
      <c r="I38">
        <v>100</v>
      </c>
      <c r="J38" t="s">
        <v>104</v>
      </c>
      <c r="K38" t="s">
        <v>54</v>
      </c>
      <c r="L38" t="s">
        <v>832</v>
      </c>
      <c r="M38" t="s">
        <v>517</v>
      </c>
      <c r="N38" t="s">
        <v>109</v>
      </c>
      <c r="O38" t="s">
        <v>817</v>
      </c>
      <c r="P38">
        <v>4977631</v>
      </c>
      <c r="Q38">
        <v>1</v>
      </c>
      <c r="R38">
        <v>6</v>
      </c>
      <c r="S38" t="s">
        <v>95</v>
      </c>
    </row>
    <row r="39" spans="1:19" x14ac:dyDescent="0.2">
      <c r="A39">
        <v>3088392</v>
      </c>
      <c r="B39" s="49">
        <v>46100</v>
      </c>
      <c r="C39" t="s">
        <v>97</v>
      </c>
      <c r="D39" t="s">
        <v>14</v>
      </c>
      <c r="E39">
        <v>4394.91</v>
      </c>
      <c r="F39">
        <v>0</v>
      </c>
      <c r="G39">
        <v>4394.91</v>
      </c>
      <c r="H39">
        <v>10000</v>
      </c>
      <c r="I39">
        <v>100</v>
      </c>
      <c r="J39" t="s">
        <v>104</v>
      </c>
      <c r="K39" t="s">
        <v>54</v>
      </c>
      <c r="L39" t="s">
        <v>659</v>
      </c>
      <c r="M39" t="s">
        <v>662</v>
      </c>
      <c r="N39" t="s">
        <v>183</v>
      </c>
      <c r="O39" t="s">
        <v>642</v>
      </c>
      <c r="P39">
        <v>4975459</v>
      </c>
      <c r="Q39">
        <v>1</v>
      </c>
      <c r="R39">
        <v>6</v>
      </c>
      <c r="S39" t="s">
        <v>95</v>
      </c>
    </row>
    <row r="40" spans="1:19" x14ac:dyDescent="0.2">
      <c r="A40">
        <v>3087690</v>
      </c>
      <c r="B40" s="49">
        <v>46097</v>
      </c>
      <c r="C40" t="s">
        <v>97</v>
      </c>
      <c r="D40" t="s">
        <v>14</v>
      </c>
      <c r="E40">
        <v>182.08</v>
      </c>
      <c r="F40">
        <v>0</v>
      </c>
      <c r="G40">
        <v>182.08</v>
      </c>
      <c r="H40">
        <v>10000</v>
      </c>
      <c r="I40">
        <v>100</v>
      </c>
      <c r="J40" t="s">
        <v>104</v>
      </c>
      <c r="K40" t="s">
        <v>54</v>
      </c>
      <c r="L40" t="s">
        <v>640</v>
      </c>
      <c r="M40" t="s">
        <v>663</v>
      </c>
      <c r="N40" t="s">
        <v>183</v>
      </c>
      <c r="O40" t="s">
        <v>642</v>
      </c>
      <c r="P40">
        <v>4974931</v>
      </c>
      <c r="Q40">
        <v>1</v>
      </c>
      <c r="R40">
        <v>6</v>
      </c>
      <c r="S40" t="s">
        <v>95</v>
      </c>
    </row>
    <row r="41" spans="1:19" x14ac:dyDescent="0.2">
      <c r="A41">
        <v>3084900</v>
      </c>
      <c r="B41" s="49">
        <v>46090</v>
      </c>
      <c r="C41" t="s">
        <v>97</v>
      </c>
      <c r="D41" t="s">
        <v>14</v>
      </c>
      <c r="E41">
        <v>2500</v>
      </c>
      <c r="F41">
        <v>0</v>
      </c>
      <c r="G41">
        <v>2500</v>
      </c>
      <c r="H41">
        <v>10000</v>
      </c>
      <c r="I41">
        <v>100</v>
      </c>
      <c r="J41" t="s">
        <v>104</v>
      </c>
      <c r="K41" t="s">
        <v>54</v>
      </c>
      <c r="L41" t="s">
        <v>649</v>
      </c>
      <c r="M41" t="s">
        <v>664</v>
      </c>
      <c r="N41" t="s">
        <v>198</v>
      </c>
      <c r="O41" t="s">
        <v>651</v>
      </c>
      <c r="P41">
        <v>4971331</v>
      </c>
      <c r="Q41">
        <v>1</v>
      </c>
      <c r="R41">
        <v>6</v>
      </c>
      <c r="S41" t="s">
        <v>95</v>
      </c>
    </row>
    <row r="42" spans="1:19" x14ac:dyDescent="0.2">
      <c r="A42">
        <v>3084900</v>
      </c>
      <c r="B42" s="49">
        <v>46090</v>
      </c>
      <c r="C42" t="s">
        <v>97</v>
      </c>
      <c r="D42" t="s">
        <v>14</v>
      </c>
      <c r="E42">
        <v>1750</v>
      </c>
      <c r="F42">
        <v>0</v>
      </c>
      <c r="G42">
        <v>1750</v>
      </c>
      <c r="H42">
        <v>10000</v>
      </c>
      <c r="I42">
        <v>100</v>
      </c>
      <c r="J42" t="s">
        <v>104</v>
      </c>
      <c r="K42" t="s">
        <v>54</v>
      </c>
      <c r="L42" t="s">
        <v>649</v>
      </c>
      <c r="M42" t="s">
        <v>666</v>
      </c>
      <c r="N42" t="s">
        <v>198</v>
      </c>
      <c r="O42" t="s">
        <v>651</v>
      </c>
      <c r="P42">
        <v>4971331</v>
      </c>
      <c r="Q42">
        <v>1</v>
      </c>
      <c r="R42">
        <v>6</v>
      </c>
      <c r="S42" t="s">
        <v>95</v>
      </c>
    </row>
    <row r="43" spans="1:19" x14ac:dyDescent="0.2">
      <c r="A43">
        <v>3084900</v>
      </c>
      <c r="B43" s="49">
        <v>46090</v>
      </c>
      <c r="C43" t="s">
        <v>97</v>
      </c>
      <c r="D43" t="s">
        <v>14</v>
      </c>
      <c r="E43">
        <v>16800</v>
      </c>
      <c r="F43">
        <v>0</v>
      </c>
      <c r="G43">
        <v>16800</v>
      </c>
      <c r="H43">
        <v>10000</v>
      </c>
      <c r="I43">
        <v>100</v>
      </c>
      <c r="J43" t="s">
        <v>104</v>
      </c>
      <c r="K43" t="s">
        <v>54</v>
      </c>
      <c r="L43" t="s">
        <v>649</v>
      </c>
      <c r="M43" t="s">
        <v>665</v>
      </c>
      <c r="N43" t="s">
        <v>198</v>
      </c>
      <c r="O43" t="s">
        <v>651</v>
      </c>
      <c r="P43">
        <v>4971331</v>
      </c>
      <c r="Q43">
        <v>1</v>
      </c>
      <c r="R43">
        <v>6</v>
      </c>
      <c r="S43" t="s">
        <v>95</v>
      </c>
    </row>
    <row r="44" spans="1:19" x14ac:dyDescent="0.2">
      <c r="A44">
        <v>3081609</v>
      </c>
      <c r="B44" s="49">
        <v>46099</v>
      </c>
      <c r="C44" t="s">
        <v>97</v>
      </c>
      <c r="D44" t="s">
        <v>14</v>
      </c>
      <c r="E44">
        <v>12682</v>
      </c>
      <c r="F44">
        <v>0</v>
      </c>
      <c r="G44">
        <v>12682</v>
      </c>
      <c r="H44">
        <v>10000</v>
      </c>
      <c r="I44">
        <v>100</v>
      </c>
      <c r="J44" t="s">
        <v>104</v>
      </c>
      <c r="K44" t="s">
        <v>54</v>
      </c>
      <c r="L44" t="s">
        <v>667</v>
      </c>
      <c r="M44" t="s">
        <v>668</v>
      </c>
      <c r="N44" t="s">
        <v>109</v>
      </c>
      <c r="O44" t="s">
        <v>669</v>
      </c>
      <c r="P44">
        <v>4969833</v>
      </c>
      <c r="Q44">
        <v>1</v>
      </c>
      <c r="R44">
        <v>6</v>
      </c>
      <c r="S44" t="s">
        <v>95</v>
      </c>
    </row>
    <row r="45" spans="1:19" x14ac:dyDescent="0.2">
      <c r="A45">
        <v>3043201</v>
      </c>
      <c r="B45" s="49">
        <v>46086</v>
      </c>
      <c r="C45" t="s">
        <v>97</v>
      </c>
      <c r="D45" t="s">
        <v>14</v>
      </c>
      <c r="E45">
        <v>2300</v>
      </c>
      <c r="F45">
        <v>0</v>
      </c>
      <c r="G45">
        <v>2300</v>
      </c>
      <c r="H45">
        <v>10000</v>
      </c>
      <c r="I45">
        <v>100</v>
      </c>
      <c r="J45" t="s">
        <v>104</v>
      </c>
      <c r="K45" t="s">
        <v>54</v>
      </c>
      <c r="L45" t="s">
        <v>287</v>
      </c>
      <c r="M45" t="s">
        <v>293</v>
      </c>
      <c r="N45" t="s">
        <v>109</v>
      </c>
      <c r="O45" t="s">
        <v>289</v>
      </c>
      <c r="P45">
        <v>4937751</v>
      </c>
      <c r="Q45">
        <v>1</v>
      </c>
      <c r="R45">
        <v>6</v>
      </c>
      <c r="S45" t="s">
        <v>95</v>
      </c>
    </row>
    <row r="46" spans="1:19" x14ac:dyDescent="0.2">
      <c r="A46">
        <v>3088392</v>
      </c>
      <c r="B46" s="49">
        <v>46100</v>
      </c>
      <c r="C46" t="s">
        <v>97</v>
      </c>
      <c r="D46" t="s">
        <v>14</v>
      </c>
      <c r="E46">
        <v>4394.91</v>
      </c>
      <c r="F46">
        <v>0</v>
      </c>
      <c r="G46">
        <v>4394.91</v>
      </c>
      <c r="H46">
        <v>10000</v>
      </c>
      <c r="I46">
        <v>100</v>
      </c>
      <c r="J46" t="s">
        <v>294</v>
      </c>
      <c r="K46" t="s">
        <v>46</v>
      </c>
      <c r="L46" t="s">
        <v>659</v>
      </c>
      <c r="M46" t="s">
        <v>670</v>
      </c>
      <c r="N46" t="s">
        <v>183</v>
      </c>
      <c r="O46" t="s">
        <v>642</v>
      </c>
      <c r="P46">
        <v>4975459</v>
      </c>
      <c r="Q46">
        <v>1</v>
      </c>
      <c r="R46">
        <v>8</v>
      </c>
      <c r="S46" t="s">
        <v>95</v>
      </c>
    </row>
    <row r="47" spans="1:19" x14ac:dyDescent="0.2">
      <c r="A47">
        <v>3087690</v>
      </c>
      <c r="B47" s="49">
        <v>46097</v>
      </c>
      <c r="C47" t="s">
        <v>97</v>
      </c>
      <c r="D47" t="s">
        <v>14</v>
      </c>
      <c r="E47">
        <v>80.09</v>
      </c>
      <c r="F47">
        <v>0</v>
      </c>
      <c r="G47">
        <v>80.09</v>
      </c>
      <c r="H47">
        <v>10000</v>
      </c>
      <c r="I47">
        <v>100</v>
      </c>
      <c r="J47" t="s">
        <v>294</v>
      </c>
      <c r="K47" t="s">
        <v>46</v>
      </c>
      <c r="L47" t="s">
        <v>640</v>
      </c>
      <c r="M47" t="s">
        <v>671</v>
      </c>
      <c r="N47" t="s">
        <v>183</v>
      </c>
      <c r="O47" t="s">
        <v>642</v>
      </c>
      <c r="P47">
        <v>4974931</v>
      </c>
      <c r="Q47">
        <v>1</v>
      </c>
      <c r="R47">
        <v>8</v>
      </c>
      <c r="S47" t="s">
        <v>95</v>
      </c>
    </row>
    <row r="48" spans="1:19" x14ac:dyDescent="0.2">
      <c r="A48">
        <v>3041739</v>
      </c>
      <c r="B48" s="49">
        <v>46086</v>
      </c>
      <c r="C48" t="s">
        <v>97</v>
      </c>
      <c r="D48" t="s">
        <v>14</v>
      </c>
      <c r="E48">
        <v>10380.94</v>
      </c>
      <c r="F48">
        <v>0</v>
      </c>
      <c r="G48">
        <v>10380.94</v>
      </c>
      <c r="H48">
        <v>10000</v>
      </c>
      <c r="I48">
        <v>100</v>
      </c>
      <c r="J48" t="s">
        <v>294</v>
      </c>
      <c r="K48" t="s">
        <v>46</v>
      </c>
      <c r="L48" t="s">
        <v>295</v>
      </c>
      <c r="M48" t="s">
        <v>296</v>
      </c>
      <c r="N48" t="s">
        <v>109</v>
      </c>
      <c r="O48" t="s">
        <v>271</v>
      </c>
      <c r="P48">
        <v>4937612</v>
      </c>
      <c r="Q48">
        <v>1</v>
      </c>
      <c r="R48">
        <v>8</v>
      </c>
      <c r="S48" t="s">
        <v>95</v>
      </c>
    </row>
    <row r="49" spans="1:19" x14ac:dyDescent="0.2">
      <c r="A49">
        <v>3041737</v>
      </c>
      <c r="B49" s="49">
        <v>46086</v>
      </c>
      <c r="C49" t="s">
        <v>97</v>
      </c>
      <c r="D49" t="s">
        <v>14</v>
      </c>
      <c r="E49">
        <v>30.43</v>
      </c>
      <c r="F49">
        <v>0</v>
      </c>
      <c r="G49">
        <v>30.43</v>
      </c>
      <c r="H49">
        <v>10000</v>
      </c>
      <c r="I49">
        <v>100</v>
      </c>
      <c r="J49" t="s">
        <v>294</v>
      </c>
      <c r="K49" t="s">
        <v>46</v>
      </c>
      <c r="L49" t="s">
        <v>297</v>
      </c>
      <c r="M49" t="s">
        <v>298</v>
      </c>
      <c r="N49" t="s">
        <v>109</v>
      </c>
      <c r="O49" t="s">
        <v>271</v>
      </c>
      <c r="P49">
        <v>4937610</v>
      </c>
      <c r="Q49">
        <v>1</v>
      </c>
      <c r="R49">
        <v>8</v>
      </c>
      <c r="S49" t="s">
        <v>95</v>
      </c>
    </row>
    <row r="50" spans="1:19" x14ac:dyDescent="0.2">
      <c r="A50">
        <v>3041731</v>
      </c>
      <c r="B50" s="49">
        <v>46085</v>
      </c>
      <c r="C50" t="s">
        <v>97</v>
      </c>
      <c r="D50" t="s">
        <v>14</v>
      </c>
      <c r="E50">
        <v>5972.25</v>
      </c>
      <c r="F50">
        <v>0</v>
      </c>
      <c r="G50">
        <v>5972.25</v>
      </c>
      <c r="H50">
        <v>10000</v>
      </c>
      <c r="I50">
        <v>100</v>
      </c>
      <c r="J50" t="s">
        <v>294</v>
      </c>
      <c r="K50" t="s">
        <v>46</v>
      </c>
      <c r="L50" t="s">
        <v>299</v>
      </c>
      <c r="M50" t="s">
        <v>300</v>
      </c>
      <c r="N50" t="s">
        <v>109</v>
      </c>
      <c r="O50" t="s">
        <v>301</v>
      </c>
      <c r="P50">
        <v>4937604</v>
      </c>
      <c r="Q50">
        <v>1</v>
      </c>
      <c r="R50">
        <v>8</v>
      </c>
      <c r="S50" t="s">
        <v>95</v>
      </c>
    </row>
    <row r="51" spans="1:19" x14ac:dyDescent="0.2">
      <c r="A51">
        <v>3088465</v>
      </c>
      <c r="B51" s="49">
        <v>46105</v>
      </c>
      <c r="C51" t="s">
        <v>97</v>
      </c>
      <c r="D51" t="s">
        <v>14</v>
      </c>
      <c r="E51">
        <v>5404.4</v>
      </c>
      <c r="F51">
        <v>0</v>
      </c>
      <c r="G51">
        <v>5404.4</v>
      </c>
      <c r="H51">
        <v>10000</v>
      </c>
      <c r="I51">
        <v>100</v>
      </c>
      <c r="J51" t="s">
        <v>524</v>
      </c>
      <c r="K51" t="s">
        <v>6</v>
      </c>
      <c r="L51" t="s">
        <v>672</v>
      </c>
      <c r="M51" t="s">
        <v>673</v>
      </c>
      <c r="N51" t="s">
        <v>109</v>
      </c>
      <c r="O51" t="s">
        <v>674</v>
      </c>
      <c r="P51">
        <v>4975506</v>
      </c>
      <c r="Q51">
        <v>1</v>
      </c>
      <c r="R51">
        <v>9</v>
      </c>
      <c r="S51" t="s">
        <v>95</v>
      </c>
    </row>
    <row r="52" spans="1:19" x14ac:dyDescent="0.2">
      <c r="A52">
        <v>3087684</v>
      </c>
      <c r="B52" s="49">
        <v>46092</v>
      </c>
      <c r="C52" t="s">
        <v>97</v>
      </c>
      <c r="D52" t="s">
        <v>14</v>
      </c>
      <c r="E52">
        <v>857.95</v>
      </c>
      <c r="F52">
        <v>0</v>
      </c>
      <c r="G52">
        <v>857.95</v>
      </c>
      <c r="H52">
        <v>10000</v>
      </c>
      <c r="I52">
        <v>100</v>
      </c>
      <c r="J52" t="s">
        <v>524</v>
      </c>
      <c r="K52" t="s">
        <v>6</v>
      </c>
      <c r="L52" t="s">
        <v>640</v>
      </c>
      <c r="M52" t="s">
        <v>675</v>
      </c>
      <c r="N52" t="s">
        <v>183</v>
      </c>
      <c r="O52" t="s">
        <v>642</v>
      </c>
      <c r="P52">
        <v>4974750</v>
      </c>
      <c r="Q52">
        <v>1</v>
      </c>
      <c r="R52">
        <v>9</v>
      </c>
      <c r="S52" t="s">
        <v>95</v>
      </c>
    </row>
    <row r="53" spans="1:19" x14ac:dyDescent="0.2">
      <c r="A53">
        <v>3088389</v>
      </c>
      <c r="B53" s="49">
        <v>46099</v>
      </c>
      <c r="C53" t="s">
        <v>97</v>
      </c>
      <c r="D53" t="s">
        <v>14</v>
      </c>
      <c r="E53">
        <v>4953.92</v>
      </c>
      <c r="F53">
        <v>0</v>
      </c>
      <c r="G53">
        <v>4953.92</v>
      </c>
      <c r="H53">
        <v>10000</v>
      </c>
      <c r="I53">
        <v>100</v>
      </c>
      <c r="J53" t="s">
        <v>404</v>
      </c>
      <c r="K53" t="s">
        <v>26</v>
      </c>
      <c r="L53" t="s">
        <v>643</v>
      </c>
      <c r="M53" t="s">
        <v>676</v>
      </c>
      <c r="N53" t="s">
        <v>183</v>
      </c>
      <c r="O53" t="s">
        <v>642</v>
      </c>
      <c r="P53">
        <v>4975454</v>
      </c>
      <c r="Q53">
        <v>1</v>
      </c>
      <c r="R53">
        <v>12</v>
      </c>
      <c r="S53" t="s">
        <v>95</v>
      </c>
    </row>
    <row r="54" spans="1:19" x14ac:dyDescent="0.2">
      <c r="A54">
        <v>3043201</v>
      </c>
      <c r="B54" s="49">
        <v>46086</v>
      </c>
      <c r="C54" t="s">
        <v>97</v>
      </c>
      <c r="D54" t="s">
        <v>14</v>
      </c>
      <c r="E54">
        <v>2350</v>
      </c>
      <c r="F54">
        <v>0</v>
      </c>
      <c r="G54">
        <v>2350</v>
      </c>
      <c r="H54">
        <v>10000</v>
      </c>
      <c r="I54">
        <v>100</v>
      </c>
      <c r="J54" t="s">
        <v>302</v>
      </c>
      <c r="K54" t="s">
        <v>7</v>
      </c>
      <c r="L54" t="s">
        <v>287</v>
      </c>
      <c r="M54" t="s">
        <v>303</v>
      </c>
      <c r="N54" t="s">
        <v>109</v>
      </c>
      <c r="O54" t="s">
        <v>289</v>
      </c>
      <c r="P54">
        <v>4937751</v>
      </c>
      <c r="Q54">
        <v>1</v>
      </c>
      <c r="R54">
        <v>13</v>
      </c>
      <c r="S54" t="s">
        <v>95</v>
      </c>
    </row>
    <row r="55" spans="1:19" x14ac:dyDescent="0.2">
      <c r="A55">
        <v>3041882</v>
      </c>
      <c r="B55" s="49">
        <v>46083</v>
      </c>
      <c r="C55" t="s">
        <v>97</v>
      </c>
      <c r="D55" t="s">
        <v>14</v>
      </c>
      <c r="E55">
        <v>3479.31</v>
      </c>
      <c r="F55">
        <v>0</v>
      </c>
      <c r="G55">
        <v>3479.31</v>
      </c>
      <c r="H55">
        <v>10000</v>
      </c>
      <c r="I55">
        <v>100</v>
      </c>
      <c r="J55" t="s">
        <v>302</v>
      </c>
      <c r="K55" t="s">
        <v>7</v>
      </c>
      <c r="L55" t="s">
        <v>304</v>
      </c>
      <c r="M55" t="s">
        <v>305</v>
      </c>
      <c r="N55" t="s">
        <v>109</v>
      </c>
      <c r="O55" t="s">
        <v>263</v>
      </c>
      <c r="P55">
        <v>4937726</v>
      </c>
      <c r="Q55">
        <v>1</v>
      </c>
      <c r="R55">
        <v>13</v>
      </c>
      <c r="S55" t="s">
        <v>95</v>
      </c>
    </row>
    <row r="56" spans="1:19" x14ac:dyDescent="0.2">
      <c r="A56">
        <v>3040750</v>
      </c>
      <c r="B56" s="49">
        <v>46084</v>
      </c>
      <c r="C56" t="s">
        <v>97</v>
      </c>
      <c r="D56" t="s">
        <v>14</v>
      </c>
      <c r="E56">
        <v>308.60000000000002</v>
      </c>
      <c r="F56">
        <v>0</v>
      </c>
      <c r="G56">
        <v>308.60000000000002</v>
      </c>
      <c r="H56">
        <v>10000</v>
      </c>
      <c r="I56">
        <v>100</v>
      </c>
      <c r="J56" t="s">
        <v>306</v>
      </c>
      <c r="K56" t="s">
        <v>47</v>
      </c>
      <c r="L56" t="s">
        <v>307</v>
      </c>
      <c r="M56" t="s">
        <v>308</v>
      </c>
      <c r="N56" t="s">
        <v>109</v>
      </c>
      <c r="O56" t="s">
        <v>274</v>
      </c>
      <c r="P56">
        <v>4936622</v>
      </c>
      <c r="Q56">
        <v>1</v>
      </c>
      <c r="R56">
        <v>14</v>
      </c>
      <c r="S56" t="s">
        <v>95</v>
      </c>
    </row>
    <row r="57" spans="1:19" x14ac:dyDescent="0.2">
      <c r="A57">
        <v>3094562</v>
      </c>
      <c r="B57" s="49">
        <v>46112</v>
      </c>
      <c r="C57" t="s">
        <v>97</v>
      </c>
      <c r="D57" t="s">
        <v>14</v>
      </c>
      <c r="E57">
        <v>2720</v>
      </c>
      <c r="F57">
        <v>0</v>
      </c>
      <c r="G57">
        <v>2720</v>
      </c>
      <c r="H57">
        <v>10000</v>
      </c>
      <c r="I57">
        <v>100</v>
      </c>
      <c r="J57" t="s">
        <v>99</v>
      </c>
      <c r="K57" t="s">
        <v>31</v>
      </c>
      <c r="L57" t="s">
        <v>833</v>
      </c>
      <c r="M57" t="s">
        <v>517</v>
      </c>
      <c r="N57" t="s">
        <v>109</v>
      </c>
      <c r="O57" t="s">
        <v>817</v>
      </c>
      <c r="P57">
        <v>4977632</v>
      </c>
      <c r="Q57">
        <v>1</v>
      </c>
      <c r="R57">
        <v>16</v>
      </c>
      <c r="S57" t="s">
        <v>95</v>
      </c>
    </row>
    <row r="58" spans="1:19" x14ac:dyDescent="0.2">
      <c r="A58">
        <v>3062390</v>
      </c>
      <c r="B58" s="49">
        <v>46085</v>
      </c>
      <c r="C58" t="s">
        <v>97</v>
      </c>
      <c r="D58" t="s">
        <v>14</v>
      </c>
      <c r="E58">
        <v>7874.22</v>
      </c>
      <c r="F58">
        <v>0</v>
      </c>
      <c r="G58">
        <v>7874.22</v>
      </c>
      <c r="H58">
        <v>10000</v>
      </c>
      <c r="I58">
        <v>100</v>
      </c>
      <c r="J58" t="s">
        <v>99</v>
      </c>
      <c r="K58" t="s">
        <v>31</v>
      </c>
      <c r="L58" t="s">
        <v>501</v>
      </c>
      <c r="M58" t="s">
        <v>502</v>
      </c>
      <c r="N58" t="s">
        <v>109</v>
      </c>
      <c r="O58" t="s">
        <v>503</v>
      </c>
      <c r="P58">
        <v>4947926</v>
      </c>
      <c r="Q58">
        <v>1</v>
      </c>
      <c r="R58">
        <v>16</v>
      </c>
      <c r="S58" t="s">
        <v>95</v>
      </c>
    </row>
    <row r="59" spans="1:19" x14ac:dyDescent="0.2">
      <c r="A59">
        <v>3043201</v>
      </c>
      <c r="B59" s="49">
        <v>46086</v>
      </c>
      <c r="C59" t="s">
        <v>97</v>
      </c>
      <c r="D59" t="s">
        <v>14</v>
      </c>
      <c r="E59">
        <v>2350</v>
      </c>
      <c r="F59">
        <v>0</v>
      </c>
      <c r="G59">
        <v>2350</v>
      </c>
      <c r="H59">
        <v>10000</v>
      </c>
      <c r="I59">
        <v>100</v>
      </c>
      <c r="J59" t="s">
        <v>99</v>
      </c>
      <c r="K59" t="s">
        <v>31</v>
      </c>
      <c r="L59" t="s">
        <v>287</v>
      </c>
      <c r="M59" t="s">
        <v>309</v>
      </c>
      <c r="N59" t="s">
        <v>109</v>
      </c>
      <c r="O59" t="s">
        <v>289</v>
      </c>
      <c r="P59">
        <v>4937751</v>
      </c>
      <c r="Q59">
        <v>1</v>
      </c>
      <c r="R59">
        <v>16</v>
      </c>
      <c r="S59" t="s">
        <v>95</v>
      </c>
    </row>
    <row r="60" spans="1:19" x14ac:dyDescent="0.2">
      <c r="A60">
        <v>3088398</v>
      </c>
      <c r="B60" s="49">
        <v>46090</v>
      </c>
      <c r="C60" t="s">
        <v>97</v>
      </c>
      <c r="D60" t="s">
        <v>14</v>
      </c>
      <c r="E60">
        <v>324</v>
      </c>
      <c r="F60">
        <v>0</v>
      </c>
      <c r="G60">
        <v>324</v>
      </c>
      <c r="H60">
        <v>10000</v>
      </c>
      <c r="I60">
        <v>100</v>
      </c>
      <c r="J60" t="s">
        <v>101</v>
      </c>
      <c r="K60" t="s">
        <v>8</v>
      </c>
      <c r="L60" t="s">
        <v>677</v>
      </c>
      <c r="M60" t="s">
        <v>678</v>
      </c>
      <c r="N60" t="s">
        <v>183</v>
      </c>
      <c r="O60" t="s">
        <v>642</v>
      </c>
      <c r="P60">
        <v>4975461</v>
      </c>
      <c r="Q60">
        <v>1</v>
      </c>
      <c r="R60">
        <v>18</v>
      </c>
      <c r="S60" t="s">
        <v>95</v>
      </c>
    </row>
    <row r="61" spans="1:19" x14ac:dyDescent="0.2">
      <c r="A61">
        <v>3087690</v>
      </c>
      <c r="B61" s="49">
        <v>46097</v>
      </c>
      <c r="C61" t="s">
        <v>97</v>
      </c>
      <c r="D61" t="s">
        <v>14</v>
      </c>
      <c r="E61">
        <v>270.69</v>
      </c>
      <c r="F61">
        <v>0</v>
      </c>
      <c r="G61">
        <v>270.69</v>
      </c>
      <c r="H61">
        <v>10000</v>
      </c>
      <c r="I61">
        <v>100</v>
      </c>
      <c r="J61" t="s">
        <v>101</v>
      </c>
      <c r="K61" t="s">
        <v>8</v>
      </c>
      <c r="L61" t="s">
        <v>640</v>
      </c>
      <c r="M61" t="s">
        <v>679</v>
      </c>
      <c r="N61" t="s">
        <v>183</v>
      </c>
      <c r="O61" t="s">
        <v>642</v>
      </c>
      <c r="P61">
        <v>4974931</v>
      </c>
      <c r="Q61">
        <v>1</v>
      </c>
      <c r="R61">
        <v>18</v>
      </c>
      <c r="S61" t="s">
        <v>95</v>
      </c>
    </row>
    <row r="62" spans="1:19" x14ac:dyDescent="0.2">
      <c r="A62">
        <v>3043201</v>
      </c>
      <c r="B62" s="49">
        <v>46086</v>
      </c>
      <c r="C62" t="s">
        <v>97</v>
      </c>
      <c r="D62" t="s">
        <v>14</v>
      </c>
      <c r="E62">
        <v>2350</v>
      </c>
      <c r="F62">
        <v>0</v>
      </c>
      <c r="G62">
        <v>2350</v>
      </c>
      <c r="H62">
        <v>10000</v>
      </c>
      <c r="I62">
        <v>100</v>
      </c>
      <c r="J62" t="s">
        <v>101</v>
      </c>
      <c r="K62" t="s">
        <v>8</v>
      </c>
      <c r="L62" t="s">
        <v>287</v>
      </c>
      <c r="M62" t="s">
        <v>310</v>
      </c>
      <c r="N62" t="s">
        <v>109</v>
      </c>
      <c r="O62" t="s">
        <v>289</v>
      </c>
      <c r="P62">
        <v>4937751</v>
      </c>
      <c r="Q62">
        <v>1</v>
      </c>
      <c r="R62">
        <v>18</v>
      </c>
      <c r="S62" t="s">
        <v>95</v>
      </c>
    </row>
    <row r="63" spans="1:19" x14ac:dyDescent="0.2">
      <c r="A63">
        <v>3041489</v>
      </c>
      <c r="B63" s="49">
        <v>46087</v>
      </c>
      <c r="C63" t="s">
        <v>97</v>
      </c>
      <c r="D63" t="s">
        <v>14</v>
      </c>
      <c r="E63">
        <v>5550</v>
      </c>
      <c r="F63">
        <v>0</v>
      </c>
      <c r="G63">
        <v>5550</v>
      </c>
      <c r="H63">
        <v>10000</v>
      </c>
      <c r="I63">
        <v>100</v>
      </c>
      <c r="J63" t="s">
        <v>101</v>
      </c>
      <c r="K63" t="s">
        <v>8</v>
      </c>
      <c r="L63" t="s">
        <v>311</v>
      </c>
      <c r="M63" t="s">
        <v>312</v>
      </c>
      <c r="N63" t="s">
        <v>109</v>
      </c>
      <c r="O63" t="s">
        <v>274</v>
      </c>
      <c r="P63">
        <v>4937603</v>
      </c>
      <c r="Q63">
        <v>1</v>
      </c>
      <c r="R63">
        <v>18</v>
      </c>
      <c r="S63" t="s">
        <v>95</v>
      </c>
    </row>
    <row r="64" spans="1:19" x14ac:dyDescent="0.2">
      <c r="A64">
        <v>3043201</v>
      </c>
      <c r="B64" s="49">
        <v>46086</v>
      </c>
      <c r="C64" t="s">
        <v>97</v>
      </c>
      <c r="D64" t="s">
        <v>14</v>
      </c>
      <c r="E64">
        <v>2350</v>
      </c>
      <c r="F64">
        <v>0</v>
      </c>
      <c r="G64">
        <v>2350</v>
      </c>
      <c r="H64">
        <v>10000</v>
      </c>
      <c r="I64">
        <v>100</v>
      </c>
      <c r="J64" t="s">
        <v>190</v>
      </c>
      <c r="K64" t="s">
        <v>48</v>
      </c>
      <c r="L64" t="s">
        <v>287</v>
      </c>
      <c r="M64" t="s">
        <v>313</v>
      </c>
      <c r="N64" t="s">
        <v>109</v>
      </c>
      <c r="O64" t="s">
        <v>289</v>
      </c>
      <c r="P64">
        <v>4937751</v>
      </c>
      <c r="Q64">
        <v>1</v>
      </c>
      <c r="R64">
        <v>19</v>
      </c>
      <c r="S64" t="s">
        <v>95</v>
      </c>
    </row>
    <row r="65" spans="1:19" x14ac:dyDescent="0.2">
      <c r="A65">
        <v>3026938</v>
      </c>
      <c r="B65" s="49">
        <v>46093</v>
      </c>
      <c r="C65" t="s">
        <v>97</v>
      </c>
      <c r="D65" t="s">
        <v>14</v>
      </c>
      <c r="E65">
        <v>1500</v>
      </c>
      <c r="F65">
        <v>0</v>
      </c>
      <c r="G65">
        <v>1500</v>
      </c>
      <c r="H65">
        <v>10000</v>
      </c>
      <c r="I65">
        <v>100</v>
      </c>
      <c r="J65" t="s">
        <v>190</v>
      </c>
      <c r="K65" t="s">
        <v>48</v>
      </c>
      <c r="L65" t="s">
        <v>200</v>
      </c>
      <c r="M65" t="s">
        <v>210</v>
      </c>
      <c r="N65" t="s">
        <v>198</v>
      </c>
      <c r="O65" t="s">
        <v>211</v>
      </c>
      <c r="P65">
        <v>4924490</v>
      </c>
      <c r="Q65">
        <v>1</v>
      </c>
      <c r="R65">
        <v>19</v>
      </c>
      <c r="S65" t="s">
        <v>95</v>
      </c>
    </row>
    <row r="66" spans="1:19" x14ac:dyDescent="0.2">
      <c r="A66">
        <v>3096076</v>
      </c>
      <c r="B66" s="49">
        <v>46084</v>
      </c>
      <c r="C66" t="s">
        <v>97</v>
      </c>
      <c r="D66" t="s">
        <v>14</v>
      </c>
      <c r="E66">
        <v>3500</v>
      </c>
      <c r="F66">
        <v>0</v>
      </c>
      <c r="G66">
        <v>3500</v>
      </c>
      <c r="H66">
        <v>10000</v>
      </c>
      <c r="I66">
        <v>100</v>
      </c>
      <c r="J66" t="s">
        <v>314</v>
      </c>
      <c r="K66" t="s">
        <v>32</v>
      </c>
      <c r="L66" t="s">
        <v>834</v>
      </c>
      <c r="M66" t="s">
        <v>834</v>
      </c>
      <c r="N66" t="s">
        <v>109</v>
      </c>
      <c r="O66" t="s">
        <v>835</v>
      </c>
      <c r="P66">
        <v>4977663</v>
      </c>
      <c r="Q66">
        <v>1</v>
      </c>
      <c r="R66">
        <v>20</v>
      </c>
      <c r="S66" t="s">
        <v>95</v>
      </c>
    </row>
    <row r="67" spans="1:19" x14ac:dyDescent="0.2">
      <c r="A67">
        <v>3087680</v>
      </c>
      <c r="B67" s="49">
        <v>46105</v>
      </c>
      <c r="C67" t="s">
        <v>97</v>
      </c>
      <c r="D67" t="s">
        <v>14</v>
      </c>
      <c r="E67">
        <v>12000</v>
      </c>
      <c r="F67">
        <v>0</v>
      </c>
      <c r="G67">
        <v>12000</v>
      </c>
      <c r="H67">
        <v>10000</v>
      </c>
      <c r="I67">
        <v>100</v>
      </c>
      <c r="J67" t="s">
        <v>314</v>
      </c>
      <c r="K67" t="s">
        <v>32</v>
      </c>
      <c r="L67" t="s">
        <v>680</v>
      </c>
      <c r="M67" t="s">
        <v>681</v>
      </c>
      <c r="N67" t="s">
        <v>198</v>
      </c>
      <c r="O67" t="s">
        <v>682</v>
      </c>
      <c r="P67">
        <v>4974745</v>
      </c>
      <c r="Q67">
        <v>1</v>
      </c>
      <c r="R67">
        <v>20</v>
      </c>
      <c r="S67" t="s">
        <v>95</v>
      </c>
    </row>
    <row r="68" spans="1:19" x14ac:dyDescent="0.2">
      <c r="A68">
        <v>3083726</v>
      </c>
      <c r="B68" s="49">
        <v>46102</v>
      </c>
      <c r="C68" t="s">
        <v>97</v>
      </c>
      <c r="D68" t="s">
        <v>14</v>
      </c>
      <c r="E68">
        <v>11140</v>
      </c>
      <c r="F68">
        <v>0</v>
      </c>
      <c r="G68">
        <v>11140</v>
      </c>
      <c r="H68">
        <v>10000</v>
      </c>
      <c r="I68">
        <v>100</v>
      </c>
      <c r="J68" t="s">
        <v>314</v>
      </c>
      <c r="K68" t="s">
        <v>32</v>
      </c>
      <c r="L68" t="s">
        <v>649</v>
      </c>
      <c r="M68" t="s">
        <v>683</v>
      </c>
      <c r="N68" t="s">
        <v>198</v>
      </c>
      <c r="O68" t="s">
        <v>684</v>
      </c>
      <c r="P68">
        <v>4971287</v>
      </c>
      <c r="Q68">
        <v>1</v>
      </c>
      <c r="R68">
        <v>20</v>
      </c>
      <c r="S68" t="s">
        <v>95</v>
      </c>
    </row>
    <row r="69" spans="1:19" x14ac:dyDescent="0.2">
      <c r="A69">
        <v>3083688</v>
      </c>
      <c r="B69" s="49">
        <v>46093</v>
      </c>
      <c r="C69" t="s">
        <v>97</v>
      </c>
      <c r="D69" t="s">
        <v>14</v>
      </c>
      <c r="E69">
        <v>1720</v>
      </c>
      <c r="F69">
        <v>0</v>
      </c>
      <c r="G69">
        <v>1720</v>
      </c>
      <c r="H69">
        <v>10000</v>
      </c>
      <c r="I69">
        <v>100</v>
      </c>
      <c r="J69" t="s">
        <v>314</v>
      </c>
      <c r="K69" t="s">
        <v>32</v>
      </c>
      <c r="L69" t="s">
        <v>685</v>
      </c>
      <c r="M69" t="s">
        <v>686</v>
      </c>
      <c r="N69" t="s">
        <v>198</v>
      </c>
      <c r="O69" t="s">
        <v>687</v>
      </c>
      <c r="P69">
        <v>4971251</v>
      </c>
      <c r="Q69">
        <v>1</v>
      </c>
      <c r="R69">
        <v>20</v>
      </c>
      <c r="S69" t="s">
        <v>95</v>
      </c>
    </row>
    <row r="70" spans="1:19" x14ac:dyDescent="0.2">
      <c r="A70">
        <v>3040800</v>
      </c>
      <c r="B70" s="49">
        <v>46087</v>
      </c>
      <c r="C70" t="s">
        <v>97</v>
      </c>
      <c r="D70" t="s">
        <v>14</v>
      </c>
      <c r="E70">
        <v>870</v>
      </c>
      <c r="F70">
        <v>0</v>
      </c>
      <c r="G70">
        <v>870</v>
      </c>
      <c r="H70">
        <v>10000</v>
      </c>
      <c r="I70">
        <v>100</v>
      </c>
      <c r="J70" t="s">
        <v>314</v>
      </c>
      <c r="K70" t="s">
        <v>32</v>
      </c>
      <c r="L70" t="s">
        <v>315</v>
      </c>
      <c r="M70" t="s">
        <v>316</v>
      </c>
      <c r="N70" t="s">
        <v>109</v>
      </c>
      <c r="O70" t="s">
        <v>274</v>
      </c>
      <c r="P70">
        <v>4937226</v>
      </c>
      <c r="Q70">
        <v>1</v>
      </c>
      <c r="R70">
        <v>20</v>
      </c>
      <c r="S70" t="s">
        <v>95</v>
      </c>
    </row>
    <row r="71" spans="1:19" x14ac:dyDescent="0.2">
      <c r="A71">
        <v>3040736</v>
      </c>
      <c r="B71" s="49">
        <v>46087</v>
      </c>
      <c r="C71" t="s">
        <v>97</v>
      </c>
      <c r="D71" t="s">
        <v>14</v>
      </c>
      <c r="E71">
        <v>918.91</v>
      </c>
      <c r="F71">
        <v>0</v>
      </c>
      <c r="G71">
        <v>918.91</v>
      </c>
      <c r="H71">
        <v>10000</v>
      </c>
      <c r="I71">
        <v>100</v>
      </c>
      <c r="J71" t="s">
        <v>314</v>
      </c>
      <c r="K71" t="s">
        <v>32</v>
      </c>
      <c r="L71" t="s">
        <v>272</v>
      </c>
      <c r="M71" t="s">
        <v>317</v>
      </c>
      <c r="N71" t="s">
        <v>109</v>
      </c>
      <c r="O71" t="s">
        <v>274</v>
      </c>
      <c r="P71">
        <v>4936012</v>
      </c>
      <c r="Q71">
        <v>1</v>
      </c>
      <c r="R71">
        <v>20</v>
      </c>
      <c r="S71" t="s">
        <v>95</v>
      </c>
    </row>
    <row r="72" spans="1:19" x14ac:dyDescent="0.2">
      <c r="A72">
        <v>3088392</v>
      </c>
      <c r="B72" s="49">
        <v>46100</v>
      </c>
      <c r="C72" t="s">
        <v>97</v>
      </c>
      <c r="D72" t="s">
        <v>14</v>
      </c>
      <c r="E72">
        <v>4394.91</v>
      </c>
      <c r="F72">
        <v>0</v>
      </c>
      <c r="G72">
        <v>4394.91</v>
      </c>
      <c r="H72">
        <v>10000</v>
      </c>
      <c r="I72">
        <v>100</v>
      </c>
      <c r="J72" t="s">
        <v>199</v>
      </c>
      <c r="K72" t="s">
        <v>49</v>
      </c>
      <c r="L72" t="s">
        <v>659</v>
      </c>
      <c r="M72" t="s">
        <v>688</v>
      </c>
      <c r="N72" t="s">
        <v>183</v>
      </c>
      <c r="O72" t="s">
        <v>642</v>
      </c>
      <c r="P72">
        <v>4975459</v>
      </c>
      <c r="Q72">
        <v>1</v>
      </c>
      <c r="R72">
        <v>21</v>
      </c>
      <c r="S72" t="s">
        <v>95</v>
      </c>
    </row>
    <row r="73" spans="1:19" x14ac:dyDescent="0.2">
      <c r="A73">
        <v>3043200</v>
      </c>
      <c r="B73" s="49">
        <v>46083</v>
      </c>
      <c r="C73" t="s">
        <v>97</v>
      </c>
      <c r="D73" t="s">
        <v>14</v>
      </c>
      <c r="E73">
        <v>10129.66</v>
      </c>
      <c r="F73">
        <v>0</v>
      </c>
      <c r="G73">
        <v>10129.66</v>
      </c>
      <c r="H73">
        <v>10000</v>
      </c>
      <c r="I73">
        <v>100</v>
      </c>
      <c r="J73" t="s">
        <v>199</v>
      </c>
      <c r="K73" t="s">
        <v>49</v>
      </c>
      <c r="L73" t="s">
        <v>318</v>
      </c>
      <c r="M73" t="s">
        <v>319</v>
      </c>
      <c r="N73" t="s">
        <v>109</v>
      </c>
      <c r="O73" t="s">
        <v>289</v>
      </c>
      <c r="P73">
        <v>4937750</v>
      </c>
      <c r="Q73">
        <v>1</v>
      </c>
      <c r="R73">
        <v>21</v>
      </c>
      <c r="S73" t="s">
        <v>95</v>
      </c>
    </row>
    <row r="74" spans="1:19" x14ac:dyDescent="0.2">
      <c r="A74">
        <v>3041734</v>
      </c>
      <c r="B74" s="49">
        <v>46082</v>
      </c>
      <c r="C74" t="s">
        <v>97</v>
      </c>
      <c r="D74" t="s">
        <v>14</v>
      </c>
      <c r="E74">
        <v>18953.080000000002</v>
      </c>
      <c r="F74">
        <v>0</v>
      </c>
      <c r="G74">
        <v>18953.080000000002</v>
      </c>
      <c r="H74">
        <v>10000</v>
      </c>
      <c r="I74">
        <v>100</v>
      </c>
      <c r="J74" t="s">
        <v>199</v>
      </c>
      <c r="K74" t="s">
        <v>49</v>
      </c>
      <c r="L74" t="s">
        <v>320</v>
      </c>
      <c r="M74" t="s">
        <v>320</v>
      </c>
      <c r="N74" t="s">
        <v>183</v>
      </c>
      <c r="O74" t="s">
        <v>321</v>
      </c>
      <c r="P74">
        <v>4937607</v>
      </c>
      <c r="Q74">
        <v>1</v>
      </c>
      <c r="R74">
        <v>21</v>
      </c>
      <c r="S74" t="s">
        <v>95</v>
      </c>
    </row>
    <row r="75" spans="1:19" x14ac:dyDescent="0.2">
      <c r="A75">
        <v>3041733</v>
      </c>
      <c r="B75" s="49">
        <v>46082</v>
      </c>
      <c r="C75" t="s">
        <v>97</v>
      </c>
      <c r="D75" t="s">
        <v>14</v>
      </c>
      <c r="E75">
        <v>0</v>
      </c>
      <c r="F75">
        <v>16480.939999999999</v>
      </c>
      <c r="G75">
        <v>-16480.939999999999</v>
      </c>
      <c r="H75">
        <v>10000</v>
      </c>
      <c r="I75">
        <v>100</v>
      </c>
      <c r="J75" t="s">
        <v>199</v>
      </c>
      <c r="K75" t="s">
        <v>49</v>
      </c>
      <c r="L75" t="s">
        <v>320</v>
      </c>
      <c r="M75" t="s">
        <v>320</v>
      </c>
      <c r="N75" t="s">
        <v>183</v>
      </c>
      <c r="O75" t="s">
        <v>321</v>
      </c>
      <c r="P75">
        <v>4937606</v>
      </c>
      <c r="Q75">
        <v>1</v>
      </c>
      <c r="R75">
        <v>21</v>
      </c>
      <c r="S75" t="s">
        <v>95</v>
      </c>
    </row>
    <row r="76" spans="1:19" x14ac:dyDescent="0.2">
      <c r="A76">
        <v>3040751</v>
      </c>
      <c r="B76" s="49">
        <v>46090</v>
      </c>
      <c r="C76" t="s">
        <v>97</v>
      </c>
      <c r="D76" t="s">
        <v>14</v>
      </c>
      <c r="E76">
        <v>200</v>
      </c>
      <c r="F76">
        <v>0</v>
      </c>
      <c r="G76">
        <v>200</v>
      </c>
      <c r="H76">
        <v>10000</v>
      </c>
      <c r="I76">
        <v>100</v>
      </c>
      <c r="J76" t="s">
        <v>199</v>
      </c>
      <c r="K76" t="s">
        <v>49</v>
      </c>
      <c r="L76" t="s">
        <v>322</v>
      </c>
      <c r="M76" t="s">
        <v>323</v>
      </c>
      <c r="N76" t="s">
        <v>109</v>
      </c>
      <c r="O76" t="s">
        <v>274</v>
      </c>
      <c r="P76">
        <v>4936672</v>
      </c>
      <c r="Q76">
        <v>1</v>
      </c>
      <c r="R76">
        <v>21</v>
      </c>
      <c r="S76" t="s">
        <v>95</v>
      </c>
    </row>
    <row r="77" spans="1:19" x14ac:dyDescent="0.2">
      <c r="A77">
        <v>3088482</v>
      </c>
      <c r="B77" s="49">
        <v>46107</v>
      </c>
      <c r="C77" t="s">
        <v>97</v>
      </c>
      <c r="D77" t="s">
        <v>14</v>
      </c>
      <c r="E77">
        <v>521.59</v>
      </c>
      <c r="F77">
        <v>0</v>
      </c>
      <c r="G77">
        <v>521.59</v>
      </c>
      <c r="H77">
        <v>10000</v>
      </c>
      <c r="I77">
        <v>100</v>
      </c>
      <c r="J77" t="s">
        <v>193</v>
      </c>
      <c r="K77" t="s">
        <v>33</v>
      </c>
      <c r="L77" t="s">
        <v>689</v>
      </c>
      <c r="M77" t="s">
        <v>689</v>
      </c>
      <c r="N77" t="s">
        <v>109</v>
      </c>
      <c r="O77" t="s">
        <v>690</v>
      </c>
      <c r="P77">
        <v>4975524</v>
      </c>
      <c r="Q77">
        <v>1</v>
      </c>
      <c r="R77">
        <v>23</v>
      </c>
      <c r="S77" t="s">
        <v>95</v>
      </c>
    </row>
    <row r="78" spans="1:19" x14ac:dyDescent="0.2">
      <c r="A78">
        <v>3110689</v>
      </c>
      <c r="B78" s="49">
        <v>46112</v>
      </c>
      <c r="C78" t="s">
        <v>97</v>
      </c>
      <c r="D78" t="s">
        <v>14</v>
      </c>
      <c r="E78">
        <v>140</v>
      </c>
      <c r="F78">
        <v>0</v>
      </c>
      <c r="G78">
        <v>140</v>
      </c>
      <c r="H78">
        <v>10000</v>
      </c>
      <c r="I78">
        <v>100</v>
      </c>
      <c r="J78" t="s">
        <v>195</v>
      </c>
      <c r="K78" t="s">
        <v>34</v>
      </c>
      <c r="L78" t="s">
        <v>649</v>
      </c>
      <c r="M78" t="s">
        <v>869</v>
      </c>
      <c r="N78" t="s">
        <v>867</v>
      </c>
      <c r="O78" t="s">
        <v>870</v>
      </c>
      <c r="P78">
        <v>4992789</v>
      </c>
      <c r="Q78">
        <v>1</v>
      </c>
      <c r="R78">
        <v>25</v>
      </c>
      <c r="S78" t="s">
        <v>95</v>
      </c>
    </row>
    <row r="79" spans="1:19" x14ac:dyDescent="0.2">
      <c r="A79">
        <v>3087687</v>
      </c>
      <c r="B79" s="49">
        <v>46097</v>
      </c>
      <c r="C79" t="s">
        <v>97</v>
      </c>
      <c r="D79" t="s">
        <v>14</v>
      </c>
      <c r="E79">
        <v>1341.3</v>
      </c>
      <c r="F79">
        <v>0</v>
      </c>
      <c r="G79">
        <v>1341.3</v>
      </c>
      <c r="H79">
        <v>10000</v>
      </c>
      <c r="I79">
        <v>100</v>
      </c>
      <c r="J79" t="s">
        <v>195</v>
      </c>
      <c r="K79" t="s">
        <v>34</v>
      </c>
      <c r="L79" t="s">
        <v>640</v>
      </c>
      <c r="M79" t="s">
        <v>691</v>
      </c>
      <c r="N79" t="s">
        <v>183</v>
      </c>
      <c r="O79" t="s">
        <v>642</v>
      </c>
      <c r="P79">
        <v>4974754</v>
      </c>
      <c r="Q79">
        <v>1</v>
      </c>
      <c r="R79">
        <v>25</v>
      </c>
      <c r="S79" t="s">
        <v>95</v>
      </c>
    </row>
    <row r="80" spans="1:19" x14ac:dyDescent="0.2">
      <c r="A80">
        <v>3026900</v>
      </c>
      <c r="B80" s="49">
        <v>46093</v>
      </c>
      <c r="C80" t="s">
        <v>97</v>
      </c>
      <c r="D80" t="s">
        <v>14</v>
      </c>
      <c r="E80">
        <v>5500</v>
      </c>
      <c r="F80">
        <v>0</v>
      </c>
      <c r="G80">
        <v>5500</v>
      </c>
      <c r="H80">
        <v>10000</v>
      </c>
      <c r="I80">
        <v>100</v>
      </c>
      <c r="J80" t="s">
        <v>195</v>
      </c>
      <c r="K80" t="s">
        <v>34</v>
      </c>
      <c r="L80" t="s">
        <v>212</v>
      </c>
      <c r="M80" t="s">
        <v>213</v>
      </c>
      <c r="N80" t="s">
        <v>198</v>
      </c>
      <c r="O80" t="s">
        <v>214</v>
      </c>
      <c r="P80">
        <v>4924450</v>
      </c>
      <c r="Q80">
        <v>1</v>
      </c>
      <c r="R80">
        <v>25</v>
      </c>
      <c r="S80" t="s">
        <v>95</v>
      </c>
    </row>
    <row r="81" spans="1:19" x14ac:dyDescent="0.2">
      <c r="A81">
        <v>3039245</v>
      </c>
      <c r="B81" s="49">
        <v>46094</v>
      </c>
      <c r="C81" t="s">
        <v>97</v>
      </c>
      <c r="D81" t="s">
        <v>14</v>
      </c>
      <c r="E81">
        <v>21974.58</v>
      </c>
      <c r="F81">
        <v>0</v>
      </c>
      <c r="G81">
        <v>21974.58</v>
      </c>
      <c r="H81">
        <v>10000</v>
      </c>
      <c r="I81">
        <v>100</v>
      </c>
      <c r="J81" t="s">
        <v>324</v>
      </c>
      <c r="K81" t="s">
        <v>35</v>
      </c>
      <c r="L81" t="s">
        <v>325</v>
      </c>
      <c r="M81" t="s">
        <v>325</v>
      </c>
      <c r="N81" t="s">
        <v>183</v>
      </c>
      <c r="O81" t="s">
        <v>326</v>
      </c>
      <c r="P81">
        <v>4935767</v>
      </c>
      <c r="Q81">
        <v>1</v>
      </c>
      <c r="R81">
        <v>26</v>
      </c>
      <c r="S81" t="s">
        <v>95</v>
      </c>
    </row>
    <row r="82" spans="1:19" x14ac:dyDescent="0.2">
      <c r="A82">
        <v>3105886</v>
      </c>
      <c r="B82" s="49">
        <v>46104</v>
      </c>
      <c r="C82" t="s">
        <v>97</v>
      </c>
      <c r="D82" t="s">
        <v>14</v>
      </c>
      <c r="E82">
        <v>0</v>
      </c>
      <c r="F82">
        <v>137</v>
      </c>
      <c r="G82">
        <v>-137</v>
      </c>
      <c r="H82">
        <v>10000</v>
      </c>
      <c r="I82">
        <v>100</v>
      </c>
      <c r="J82" t="s">
        <v>260</v>
      </c>
      <c r="K82" t="s">
        <v>9</v>
      </c>
      <c r="L82" t="s">
        <v>871</v>
      </c>
      <c r="M82" t="s">
        <v>698</v>
      </c>
      <c r="N82" t="s">
        <v>109</v>
      </c>
      <c r="O82" t="s">
        <v>872</v>
      </c>
      <c r="P82">
        <v>4991191</v>
      </c>
      <c r="Q82">
        <v>1</v>
      </c>
      <c r="R82">
        <v>34</v>
      </c>
      <c r="S82" t="s">
        <v>95</v>
      </c>
    </row>
    <row r="83" spans="1:19" x14ac:dyDescent="0.2">
      <c r="A83">
        <v>3088396</v>
      </c>
      <c r="B83" s="49">
        <v>46112</v>
      </c>
      <c r="C83" t="s">
        <v>97</v>
      </c>
      <c r="D83" t="s">
        <v>14</v>
      </c>
      <c r="E83">
        <v>0</v>
      </c>
      <c r="F83">
        <v>5000</v>
      </c>
      <c r="G83">
        <v>-5000</v>
      </c>
      <c r="H83">
        <v>10000</v>
      </c>
      <c r="I83">
        <v>100</v>
      </c>
      <c r="J83" t="s">
        <v>260</v>
      </c>
      <c r="K83" t="s">
        <v>9</v>
      </c>
      <c r="L83" t="s">
        <v>692</v>
      </c>
      <c r="M83" t="s">
        <v>693</v>
      </c>
      <c r="N83" t="s">
        <v>227</v>
      </c>
      <c r="O83" t="s">
        <v>694</v>
      </c>
      <c r="P83">
        <v>4975458</v>
      </c>
      <c r="Q83">
        <v>1</v>
      </c>
      <c r="R83">
        <v>34</v>
      </c>
      <c r="S83" t="s">
        <v>95</v>
      </c>
    </row>
    <row r="84" spans="1:19" x14ac:dyDescent="0.2">
      <c r="A84">
        <v>3088396</v>
      </c>
      <c r="B84" s="49">
        <v>46112</v>
      </c>
      <c r="C84" t="s">
        <v>97</v>
      </c>
      <c r="D84" t="s">
        <v>14</v>
      </c>
      <c r="E84">
        <v>0</v>
      </c>
      <c r="F84">
        <v>9000</v>
      </c>
      <c r="G84">
        <v>-9000</v>
      </c>
      <c r="H84">
        <v>10000</v>
      </c>
      <c r="I84">
        <v>100</v>
      </c>
      <c r="J84" t="s">
        <v>260</v>
      </c>
      <c r="K84" t="s">
        <v>9</v>
      </c>
      <c r="L84" t="s">
        <v>692</v>
      </c>
      <c r="M84" t="s">
        <v>693</v>
      </c>
      <c r="N84" t="s">
        <v>227</v>
      </c>
      <c r="O84" t="s">
        <v>694</v>
      </c>
      <c r="P84">
        <v>4975458</v>
      </c>
      <c r="Q84">
        <v>1</v>
      </c>
      <c r="R84">
        <v>34</v>
      </c>
      <c r="S84" t="s">
        <v>95</v>
      </c>
    </row>
    <row r="85" spans="1:19" x14ac:dyDescent="0.2">
      <c r="A85">
        <v>3087550</v>
      </c>
      <c r="B85" s="49">
        <v>46112</v>
      </c>
      <c r="C85" t="s">
        <v>97</v>
      </c>
      <c r="D85" t="s">
        <v>14</v>
      </c>
      <c r="E85">
        <v>9000</v>
      </c>
      <c r="F85">
        <v>0</v>
      </c>
      <c r="G85">
        <v>9000</v>
      </c>
      <c r="H85">
        <v>10000</v>
      </c>
      <c r="I85">
        <v>100</v>
      </c>
      <c r="J85" t="s">
        <v>260</v>
      </c>
      <c r="K85" t="s">
        <v>9</v>
      </c>
      <c r="L85" t="s">
        <v>649</v>
      </c>
      <c r="M85" t="s">
        <v>693</v>
      </c>
      <c r="N85" t="s">
        <v>198</v>
      </c>
      <c r="O85" t="s">
        <v>695</v>
      </c>
      <c r="P85">
        <v>4974615</v>
      </c>
      <c r="Q85">
        <v>1</v>
      </c>
      <c r="R85">
        <v>34</v>
      </c>
      <c r="S85" t="s">
        <v>95</v>
      </c>
    </row>
    <row r="86" spans="1:19" x14ac:dyDescent="0.2">
      <c r="A86">
        <v>3087550</v>
      </c>
      <c r="B86" s="49">
        <v>46112</v>
      </c>
      <c r="C86" t="s">
        <v>97</v>
      </c>
      <c r="D86" t="s">
        <v>14</v>
      </c>
      <c r="E86">
        <v>5000</v>
      </c>
      <c r="F86">
        <v>0</v>
      </c>
      <c r="G86">
        <v>5000</v>
      </c>
      <c r="H86">
        <v>10000</v>
      </c>
      <c r="I86">
        <v>100</v>
      </c>
      <c r="J86" t="s">
        <v>260</v>
      </c>
      <c r="K86" t="s">
        <v>9</v>
      </c>
      <c r="L86" t="s">
        <v>649</v>
      </c>
      <c r="M86" t="s">
        <v>693</v>
      </c>
      <c r="N86" t="s">
        <v>198</v>
      </c>
      <c r="O86" t="s">
        <v>695</v>
      </c>
      <c r="P86">
        <v>4974615</v>
      </c>
      <c r="Q86">
        <v>1</v>
      </c>
      <c r="R86">
        <v>34</v>
      </c>
      <c r="S86" t="s">
        <v>95</v>
      </c>
    </row>
    <row r="87" spans="1:19" x14ac:dyDescent="0.2">
      <c r="A87">
        <v>3087541</v>
      </c>
      <c r="B87" s="49">
        <v>46112</v>
      </c>
      <c r="C87" t="s">
        <v>97</v>
      </c>
      <c r="D87" t="s">
        <v>14</v>
      </c>
      <c r="E87">
        <v>5000</v>
      </c>
      <c r="F87">
        <v>0</v>
      </c>
      <c r="G87">
        <v>5000</v>
      </c>
      <c r="H87">
        <v>10000</v>
      </c>
      <c r="I87">
        <v>100</v>
      </c>
      <c r="J87" t="s">
        <v>260</v>
      </c>
      <c r="K87" t="s">
        <v>9</v>
      </c>
      <c r="L87" t="s">
        <v>649</v>
      </c>
      <c r="M87" t="s">
        <v>693</v>
      </c>
      <c r="N87" t="s">
        <v>227</v>
      </c>
      <c r="O87" t="s">
        <v>696</v>
      </c>
      <c r="P87">
        <v>4973309</v>
      </c>
      <c r="Q87">
        <v>1</v>
      </c>
      <c r="R87">
        <v>34</v>
      </c>
      <c r="S87" t="s">
        <v>95</v>
      </c>
    </row>
    <row r="88" spans="1:19" x14ac:dyDescent="0.2">
      <c r="A88">
        <v>3087541</v>
      </c>
      <c r="B88" s="49">
        <v>46112</v>
      </c>
      <c r="C88" t="s">
        <v>97</v>
      </c>
      <c r="D88" t="s">
        <v>14</v>
      </c>
      <c r="E88">
        <v>9000</v>
      </c>
      <c r="F88">
        <v>0</v>
      </c>
      <c r="G88">
        <v>9000</v>
      </c>
      <c r="H88">
        <v>10000</v>
      </c>
      <c r="I88">
        <v>100</v>
      </c>
      <c r="J88" t="s">
        <v>260</v>
      </c>
      <c r="K88" t="s">
        <v>9</v>
      </c>
      <c r="L88" t="s">
        <v>649</v>
      </c>
      <c r="M88" t="s">
        <v>693</v>
      </c>
      <c r="N88" t="s">
        <v>227</v>
      </c>
      <c r="O88" t="s">
        <v>696</v>
      </c>
      <c r="P88">
        <v>4973309</v>
      </c>
      <c r="Q88">
        <v>1</v>
      </c>
      <c r="R88">
        <v>34</v>
      </c>
      <c r="S88" t="s">
        <v>95</v>
      </c>
    </row>
    <row r="89" spans="1:19" x14ac:dyDescent="0.2">
      <c r="A89">
        <v>3081641</v>
      </c>
      <c r="B89" s="49">
        <v>46104</v>
      </c>
      <c r="C89" t="s">
        <v>97</v>
      </c>
      <c r="D89" t="s">
        <v>14</v>
      </c>
      <c r="E89">
        <v>137</v>
      </c>
      <c r="F89">
        <v>0</v>
      </c>
      <c r="G89">
        <v>137</v>
      </c>
      <c r="H89">
        <v>10000</v>
      </c>
      <c r="I89">
        <v>100</v>
      </c>
      <c r="J89" t="s">
        <v>260</v>
      </c>
      <c r="K89" t="s">
        <v>9</v>
      </c>
      <c r="L89" t="s">
        <v>697</v>
      </c>
      <c r="M89" t="s">
        <v>698</v>
      </c>
      <c r="N89" t="s">
        <v>109</v>
      </c>
      <c r="O89" t="s">
        <v>658</v>
      </c>
      <c r="P89">
        <v>4969883</v>
      </c>
      <c r="Q89">
        <v>1</v>
      </c>
      <c r="R89">
        <v>34</v>
      </c>
      <c r="S89" t="s">
        <v>95</v>
      </c>
    </row>
    <row r="90" spans="1:19" x14ac:dyDescent="0.2">
      <c r="A90">
        <v>3040800</v>
      </c>
      <c r="B90" s="49">
        <v>46087</v>
      </c>
      <c r="C90" t="s">
        <v>97</v>
      </c>
      <c r="D90" t="s">
        <v>14</v>
      </c>
      <c r="E90">
        <v>597</v>
      </c>
      <c r="F90">
        <v>0</v>
      </c>
      <c r="G90">
        <v>597</v>
      </c>
      <c r="H90">
        <v>10000</v>
      </c>
      <c r="I90">
        <v>100</v>
      </c>
      <c r="J90" t="s">
        <v>260</v>
      </c>
      <c r="K90" t="s">
        <v>9</v>
      </c>
      <c r="L90" t="s">
        <v>315</v>
      </c>
      <c r="M90" t="s">
        <v>327</v>
      </c>
      <c r="N90" t="s">
        <v>109</v>
      </c>
      <c r="O90" t="s">
        <v>274</v>
      </c>
      <c r="P90">
        <v>4937226</v>
      </c>
      <c r="Q90">
        <v>1</v>
      </c>
      <c r="R90">
        <v>34</v>
      </c>
      <c r="S90" t="s">
        <v>95</v>
      </c>
    </row>
    <row r="91" spans="1:19" x14ac:dyDescent="0.2">
      <c r="A91">
        <v>3088404</v>
      </c>
      <c r="B91" s="49">
        <v>46106</v>
      </c>
      <c r="C91" t="s">
        <v>97</v>
      </c>
      <c r="D91" t="s">
        <v>14</v>
      </c>
      <c r="E91">
        <v>969.24</v>
      </c>
      <c r="F91">
        <v>0</v>
      </c>
      <c r="G91">
        <v>969.24</v>
      </c>
      <c r="H91">
        <v>10000</v>
      </c>
      <c r="I91">
        <v>100</v>
      </c>
      <c r="J91" t="s">
        <v>504</v>
      </c>
      <c r="K91" t="s">
        <v>36</v>
      </c>
      <c r="L91" t="s">
        <v>640</v>
      </c>
      <c r="M91" t="s">
        <v>699</v>
      </c>
      <c r="N91" t="s">
        <v>183</v>
      </c>
      <c r="O91" t="s">
        <v>642</v>
      </c>
      <c r="P91">
        <v>4975466</v>
      </c>
      <c r="Q91">
        <v>1</v>
      </c>
      <c r="R91">
        <v>35</v>
      </c>
      <c r="S91" t="s">
        <v>95</v>
      </c>
    </row>
    <row r="92" spans="1:19" x14ac:dyDescent="0.2">
      <c r="A92">
        <v>3062389</v>
      </c>
      <c r="B92" s="49">
        <v>46100</v>
      </c>
      <c r="C92" t="s">
        <v>97</v>
      </c>
      <c r="D92" t="s">
        <v>14</v>
      </c>
      <c r="E92">
        <v>13184.74</v>
      </c>
      <c r="F92">
        <v>0</v>
      </c>
      <c r="G92">
        <v>13184.74</v>
      </c>
      <c r="H92">
        <v>10000</v>
      </c>
      <c r="I92">
        <v>100</v>
      </c>
      <c r="J92" t="s">
        <v>504</v>
      </c>
      <c r="K92" t="s">
        <v>36</v>
      </c>
      <c r="L92" t="s">
        <v>505</v>
      </c>
      <c r="M92" t="s">
        <v>506</v>
      </c>
      <c r="N92" t="s">
        <v>109</v>
      </c>
      <c r="O92" t="s">
        <v>503</v>
      </c>
      <c r="P92">
        <v>4947925</v>
      </c>
      <c r="Q92">
        <v>1</v>
      </c>
      <c r="R92">
        <v>35</v>
      </c>
      <c r="S92" t="s">
        <v>95</v>
      </c>
    </row>
    <row r="93" spans="1:19" x14ac:dyDescent="0.2">
      <c r="A93">
        <v>3088389</v>
      </c>
      <c r="B93" s="49">
        <v>46099</v>
      </c>
      <c r="C93" t="s">
        <v>97</v>
      </c>
      <c r="D93" t="s">
        <v>14</v>
      </c>
      <c r="E93">
        <v>2478.2600000000002</v>
      </c>
      <c r="F93">
        <v>0</v>
      </c>
      <c r="G93">
        <v>2478.2600000000002</v>
      </c>
      <c r="H93">
        <v>10000</v>
      </c>
      <c r="I93">
        <v>100</v>
      </c>
      <c r="J93" t="s">
        <v>188</v>
      </c>
      <c r="K93" t="s">
        <v>37</v>
      </c>
      <c r="L93" t="s">
        <v>643</v>
      </c>
      <c r="M93" t="s">
        <v>700</v>
      </c>
      <c r="N93" t="s">
        <v>183</v>
      </c>
      <c r="O93" t="s">
        <v>642</v>
      </c>
      <c r="P93">
        <v>4975454</v>
      </c>
      <c r="Q93">
        <v>1</v>
      </c>
      <c r="R93">
        <v>36</v>
      </c>
      <c r="S93" t="s">
        <v>95</v>
      </c>
    </row>
    <row r="94" spans="1:19" x14ac:dyDescent="0.2">
      <c r="A94">
        <v>3110685</v>
      </c>
      <c r="B94" s="49">
        <v>46112</v>
      </c>
      <c r="C94" t="s">
        <v>97</v>
      </c>
      <c r="D94" t="s">
        <v>14</v>
      </c>
      <c r="E94">
        <v>298</v>
      </c>
      <c r="F94">
        <v>0</v>
      </c>
      <c r="G94">
        <v>298</v>
      </c>
      <c r="H94">
        <v>10000</v>
      </c>
      <c r="I94">
        <v>100</v>
      </c>
      <c r="J94" t="s">
        <v>100</v>
      </c>
      <c r="K94" t="s">
        <v>10</v>
      </c>
      <c r="L94" t="s">
        <v>649</v>
      </c>
      <c r="M94" t="s">
        <v>873</v>
      </c>
      <c r="N94" t="s">
        <v>867</v>
      </c>
      <c r="O94" t="s">
        <v>874</v>
      </c>
      <c r="P94">
        <v>4992785</v>
      </c>
      <c r="Q94">
        <v>1</v>
      </c>
      <c r="R94">
        <v>37</v>
      </c>
      <c r="S94" t="s">
        <v>95</v>
      </c>
    </row>
    <row r="95" spans="1:19" x14ac:dyDescent="0.2">
      <c r="A95">
        <v>3110691</v>
      </c>
      <c r="B95" s="49">
        <v>46112</v>
      </c>
      <c r="C95" t="s">
        <v>97</v>
      </c>
      <c r="D95" t="s">
        <v>14</v>
      </c>
      <c r="E95">
        <v>3153.7</v>
      </c>
      <c r="F95">
        <v>0</v>
      </c>
      <c r="G95">
        <v>3153.7</v>
      </c>
      <c r="H95">
        <v>10000</v>
      </c>
      <c r="I95">
        <v>100</v>
      </c>
      <c r="J95" t="s">
        <v>419</v>
      </c>
      <c r="K95" t="s">
        <v>62</v>
      </c>
      <c r="L95" t="s">
        <v>649</v>
      </c>
      <c r="M95" t="s">
        <v>875</v>
      </c>
      <c r="N95" t="s">
        <v>867</v>
      </c>
      <c r="O95" t="s">
        <v>876</v>
      </c>
      <c r="P95">
        <v>4992791</v>
      </c>
      <c r="Q95">
        <v>1</v>
      </c>
      <c r="R95">
        <v>38</v>
      </c>
      <c r="S95" t="s">
        <v>95</v>
      </c>
    </row>
    <row r="96" spans="1:19" x14ac:dyDescent="0.2">
      <c r="A96">
        <v>3110691</v>
      </c>
      <c r="B96" s="49">
        <v>46112</v>
      </c>
      <c r="C96" t="s">
        <v>97</v>
      </c>
      <c r="D96" t="s">
        <v>14</v>
      </c>
      <c r="E96">
        <v>900</v>
      </c>
      <c r="F96">
        <v>0</v>
      </c>
      <c r="G96">
        <v>900</v>
      </c>
      <c r="H96">
        <v>10000</v>
      </c>
      <c r="I96">
        <v>100</v>
      </c>
      <c r="J96" t="s">
        <v>419</v>
      </c>
      <c r="K96" t="s">
        <v>62</v>
      </c>
      <c r="L96" t="s">
        <v>649</v>
      </c>
      <c r="M96" t="s">
        <v>877</v>
      </c>
      <c r="N96" t="s">
        <v>867</v>
      </c>
      <c r="O96" t="s">
        <v>876</v>
      </c>
      <c r="P96">
        <v>4992791</v>
      </c>
      <c r="Q96">
        <v>1</v>
      </c>
      <c r="R96">
        <v>38</v>
      </c>
      <c r="S96" t="s">
        <v>95</v>
      </c>
    </row>
    <row r="97" spans="1:19" x14ac:dyDescent="0.2">
      <c r="A97">
        <v>3088399</v>
      </c>
      <c r="B97" s="49">
        <v>46097</v>
      </c>
      <c r="C97" t="s">
        <v>97</v>
      </c>
      <c r="D97" t="s">
        <v>14</v>
      </c>
      <c r="E97">
        <v>137</v>
      </c>
      <c r="F97">
        <v>0</v>
      </c>
      <c r="G97">
        <v>137</v>
      </c>
      <c r="H97">
        <v>10000</v>
      </c>
      <c r="I97">
        <v>100</v>
      </c>
      <c r="J97" t="s">
        <v>419</v>
      </c>
      <c r="K97" t="s">
        <v>62</v>
      </c>
      <c r="L97" t="s">
        <v>701</v>
      </c>
      <c r="M97" t="s">
        <v>702</v>
      </c>
      <c r="N97" t="s">
        <v>183</v>
      </c>
      <c r="O97" t="s">
        <v>642</v>
      </c>
      <c r="P97">
        <v>4975465</v>
      </c>
      <c r="Q97">
        <v>1</v>
      </c>
      <c r="R97">
        <v>38</v>
      </c>
      <c r="S97" t="s">
        <v>95</v>
      </c>
    </row>
    <row r="98" spans="1:19" x14ac:dyDescent="0.2">
      <c r="A98">
        <v>3107973</v>
      </c>
      <c r="B98" s="49">
        <v>46112</v>
      </c>
      <c r="C98" t="s">
        <v>97</v>
      </c>
      <c r="D98" t="s">
        <v>14</v>
      </c>
      <c r="E98">
        <v>0</v>
      </c>
      <c r="F98">
        <v>33064.559999999998</v>
      </c>
      <c r="G98">
        <v>-33064.559999999998</v>
      </c>
      <c r="H98">
        <v>10000</v>
      </c>
      <c r="I98">
        <v>100</v>
      </c>
      <c r="J98" t="s">
        <v>328</v>
      </c>
      <c r="K98" t="s">
        <v>50</v>
      </c>
      <c r="L98" t="s">
        <v>878</v>
      </c>
      <c r="M98" t="s">
        <v>879</v>
      </c>
      <c r="N98" t="s">
        <v>880</v>
      </c>
      <c r="O98" t="s">
        <v>881</v>
      </c>
      <c r="P98">
        <v>4992083</v>
      </c>
      <c r="Q98">
        <v>1</v>
      </c>
      <c r="R98">
        <v>40</v>
      </c>
      <c r="S98" t="s">
        <v>95</v>
      </c>
    </row>
    <row r="99" spans="1:19" x14ac:dyDescent="0.2">
      <c r="A99">
        <v>3096063</v>
      </c>
      <c r="B99" s="49">
        <v>46112</v>
      </c>
      <c r="C99" t="s">
        <v>97</v>
      </c>
      <c r="D99" t="s">
        <v>14</v>
      </c>
      <c r="E99">
        <v>8790</v>
      </c>
      <c r="F99">
        <v>0</v>
      </c>
      <c r="G99">
        <v>8790</v>
      </c>
      <c r="H99">
        <v>10000</v>
      </c>
      <c r="I99">
        <v>100</v>
      </c>
      <c r="J99" t="s">
        <v>328</v>
      </c>
      <c r="K99" t="s">
        <v>50</v>
      </c>
      <c r="L99" t="s">
        <v>836</v>
      </c>
      <c r="M99" t="s">
        <v>517</v>
      </c>
      <c r="N99" t="s">
        <v>109</v>
      </c>
      <c r="O99" t="s">
        <v>828</v>
      </c>
      <c r="P99">
        <v>4977649</v>
      </c>
      <c r="Q99">
        <v>1</v>
      </c>
      <c r="R99">
        <v>40</v>
      </c>
      <c r="S99" t="s">
        <v>95</v>
      </c>
    </row>
    <row r="100" spans="1:19" x14ac:dyDescent="0.2">
      <c r="A100">
        <v>3083726</v>
      </c>
      <c r="B100" s="49">
        <v>46102</v>
      </c>
      <c r="C100" t="s">
        <v>97</v>
      </c>
      <c r="D100" t="s">
        <v>14</v>
      </c>
      <c r="E100">
        <v>27831.200000000001</v>
      </c>
      <c r="F100">
        <v>0</v>
      </c>
      <c r="G100">
        <v>27831.200000000001</v>
      </c>
      <c r="H100">
        <v>10000</v>
      </c>
      <c r="I100">
        <v>100</v>
      </c>
      <c r="J100" t="s">
        <v>328</v>
      </c>
      <c r="K100" t="s">
        <v>50</v>
      </c>
      <c r="L100" t="s">
        <v>649</v>
      </c>
      <c r="M100" t="s">
        <v>703</v>
      </c>
      <c r="N100" t="s">
        <v>198</v>
      </c>
      <c r="O100" t="s">
        <v>684</v>
      </c>
      <c r="P100">
        <v>4971287</v>
      </c>
      <c r="Q100">
        <v>1</v>
      </c>
      <c r="R100">
        <v>40</v>
      </c>
      <c r="S100" t="s">
        <v>95</v>
      </c>
    </row>
    <row r="101" spans="1:19" x14ac:dyDescent="0.2">
      <c r="A101">
        <v>3083726</v>
      </c>
      <c r="B101" s="49">
        <v>46102</v>
      </c>
      <c r="C101" t="s">
        <v>97</v>
      </c>
      <c r="D101" t="s">
        <v>14</v>
      </c>
      <c r="E101">
        <v>33064.559999999998</v>
      </c>
      <c r="F101">
        <v>0</v>
      </c>
      <c r="G101">
        <v>33064.559999999998</v>
      </c>
      <c r="H101">
        <v>10000</v>
      </c>
      <c r="I101">
        <v>100</v>
      </c>
      <c r="J101" t="s">
        <v>328</v>
      </c>
      <c r="K101" t="s">
        <v>50</v>
      </c>
      <c r="L101" t="s">
        <v>649</v>
      </c>
      <c r="M101" t="s">
        <v>704</v>
      </c>
      <c r="N101" t="s">
        <v>198</v>
      </c>
      <c r="O101" t="s">
        <v>684</v>
      </c>
      <c r="P101">
        <v>4971287</v>
      </c>
      <c r="Q101">
        <v>1</v>
      </c>
      <c r="R101">
        <v>40</v>
      </c>
      <c r="S101" t="s">
        <v>95</v>
      </c>
    </row>
    <row r="102" spans="1:19" x14ac:dyDescent="0.2">
      <c r="A102">
        <v>3081626</v>
      </c>
      <c r="B102" s="49">
        <v>46101</v>
      </c>
      <c r="C102" t="s">
        <v>97</v>
      </c>
      <c r="D102" t="s">
        <v>14</v>
      </c>
      <c r="E102">
        <v>2627.43</v>
      </c>
      <c r="F102">
        <v>0</v>
      </c>
      <c r="G102">
        <v>2627.43</v>
      </c>
      <c r="H102">
        <v>10000</v>
      </c>
      <c r="I102">
        <v>100</v>
      </c>
      <c r="J102" t="s">
        <v>328</v>
      </c>
      <c r="K102" t="s">
        <v>50</v>
      </c>
      <c r="L102" t="s">
        <v>705</v>
      </c>
      <c r="M102" t="s">
        <v>706</v>
      </c>
      <c r="N102" t="s">
        <v>109</v>
      </c>
      <c r="O102" t="s">
        <v>658</v>
      </c>
      <c r="P102">
        <v>4969836</v>
      </c>
      <c r="Q102">
        <v>1</v>
      </c>
      <c r="R102">
        <v>40</v>
      </c>
      <c r="S102" t="s">
        <v>95</v>
      </c>
    </row>
    <row r="103" spans="1:19" x14ac:dyDescent="0.2">
      <c r="A103">
        <v>3043242</v>
      </c>
      <c r="B103" s="49">
        <v>46090</v>
      </c>
      <c r="C103" t="s">
        <v>97</v>
      </c>
      <c r="D103" t="s">
        <v>14</v>
      </c>
      <c r="E103">
        <v>2100</v>
      </c>
      <c r="F103">
        <v>0</v>
      </c>
      <c r="G103">
        <v>2100</v>
      </c>
      <c r="H103">
        <v>10000</v>
      </c>
      <c r="I103">
        <v>100</v>
      </c>
      <c r="J103" t="s">
        <v>328</v>
      </c>
      <c r="K103" t="s">
        <v>50</v>
      </c>
      <c r="L103" t="s">
        <v>329</v>
      </c>
      <c r="M103" t="s">
        <v>330</v>
      </c>
      <c r="N103" t="s">
        <v>109</v>
      </c>
      <c r="O103" t="s">
        <v>279</v>
      </c>
      <c r="P103">
        <v>4938478</v>
      </c>
      <c r="Q103">
        <v>1</v>
      </c>
      <c r="R103">
        <v>40</v>
      </c>
      <c r="S103" t="s">
        <v>95</v>
      </c>
    </row>
    <row r="104" spans="1:19" x14ac:dyDescent="0.2">
      <c r="A104">
        <v>3088399</v>
      </c>
      <c r="B104" s="49">
        <v>46097</v>
      </c>
      <c r="C104" t="s">
        <v>97</v>
      </c>
      <c r="D104" t="s">
        <v>14</v>
      </c>
      <c r="E104">
        <v>401</v>
      </c>
      <c r="F104">
        <v>0</v>
      </c>
      <c r="G104">
        <v>401</v>
      </c>
      <c r="H104">
        <v>10000</v>
      </c>
      <c r="I104">
        <v>100</v>
      </c>
      <c r="J104" t="s">
        <v>331</v>
      </c>
      <c r="K104" t="s">
        <v>38</v>
      </c>
      <c r="L104" t="s">
        <v>701</v>
      </c>
      <c r="M104" t="s">
        <v>707</v>
      </c>
      <c r="N104" t="s">
        <v>183</v>
      </c>
      <c r="O104" t="s">
        <v>642</v>
      </c>
      <c r="P104">
        <v>4975465</v>
      </c>
      <c r="Q104">
        <v>1</v>
      </c>
      <c r="R104">
        <v>39</v>
      </c>
      <c r="S104" t="s">
        <v>95</v>
      </c>
    </row>
    <row r="105" spans="1:19" x14ac:dyDescent="0.2">
      <c r="A105">
        <v>3043239</v>
      </c>
      <c r="B105" s="49">
        <v>46094</v>
      </c>
      <c r="C105" t="s">
        <v>97</v>
      </c>
      <c r="D105" t="s">
        <v>14</v>
      </c>
      <c r="E105">
        <v>8995</v>
      </c>
      <c r="F105">
        <v>0</v>
      </c>
      <c r="G105">
        <v>8995</v>
      </c>
      <c r="H105">
        <v>10000</v>
      </c>
      <c r="I105">
        <v>100</v>
      </c>
      <c r="J105" t="s">
        <v>331</v>
      </c>
      <c r="K105" t="s">
        <v>38</v>
      </c>
      <c r="L105" t="s">
        <v>332</v>
      </c>
      <c r="M105" t="s">
        <v>333</v>
      </c>
      <c r="N105" t="s">
        <v>109</v>
      </c>
      <c r="O105" t="s">
        <v>279</v>
      </c>
      <c r="P105">
        <v>4938475</v>
      </c>
      <c r="Q105">
        <v>1</v>
      </c>
      <c r="R105">
        <v>39</v>
      </c>
      <c r="S105" t="s">
        <v>95</v>
      </c>
    </row>
    <row r="106" spans="1:19" x14ac:dyDescent="0.2">
      <c r="A106">
        <v>3096053</v>
      </c>
      <c r="B106" s="49">
        <v>46112</v>
      </c>
      <c r="C106" t="s">
        <v>97</v>
      </c>
      <c r="D106" t="s">
        <v>14</v>
      </c>
      <c r="E106">
        <v>1920</v>
      </c>
      <c r="F106">
        <v>0</v>
      </c>
      <c r="G106">
        <v>1920</v>
      </c>
      <c r="H106">
        <v>10000</v>
      </c>
      <c r="I106">
        <v>100</v>
      </c>
      <c r="J106" t="s">
        <v>135</v>
      </c>
      <c r="K106" t="s">
        <v>27</v>
      </c>
      <c r="L106" t="s">
        <v>837</v>
      </c>
      <c r="M106" t="s">
        <v>517</v>
      </c>
      <c r="N106" t="s">
        <v>109</v>
      </c>
      <c r="O106" t="s">
        <v>828</v>
      </c>
      <c r="P106">
        <v>4977639</v>
      </c>
      <c r="Q106">
        <v>1</v>
      </c>
      <c r="R106">
        <v>41</v>
      </c>
      <c r="S106" t="s">
        <v>95</v>
      </c>
    </row>
    <row r="107" spans="1:19" x14ac:dyDescent="0.2">
      <c r="A107">
        <v>3088396</v>
      </c>
      <c r="B107" s="49">
        <v>46112</v>
      </c>
      <c r="C107" t="s">
        <v>97</v>
      </c>
      <c r="D107" t="s">
        <v>14</v>
      </c>
      <c r="E107">
        <v>0</v>
      </c>
      <c r="F107">
        <v>4500</v>
      </c>
      <c r="G107">
        <v>-4500</v>
      </c>
      <c r="H107">
        <v>10000</v>
      </c>
      <c r="I107">
        <v>100</v>
      </c>
      <c r="J107" t="s">
        <v>135</v>
      </c>
      <c r="K107" t="s">
        <v>27</v>
      </c>
      <c r="L107" t="s">
        <v>692</v>
      </c>
      <c r="M107" t="s">
        <v>708</v>
      </c>
      <c r="N107" t="s">
        <v>227</v>
      </c>
      <c r="O107" t="s">
        <v>694</v>
      </c>
      <c r="P107">
        <v>4975458</v>
      </c>
      <c r="Q107">
        <v>1</v>
      </c>
      <c r="R107">
        <v>41</v>
      </c>
      <c r="S107" t="s">
        <v>95</v>
      </c>
    </row>
    <row r="108" spans="1:19" x14ac:dyDescent="0.2">
      <c r="A108">
        <v>3087550</v>
      </c>
      <c r="B108" s="49">
        <v>46112</v>
      </c>
      <c r="C108" t="s">
        <v>97</v>
      </c>
      <c r="D108" t="s">
        <v>14</v>
      </c>
      <c r="E108">
        <v>4500</v>
      </c>
      <c r="F108">
        <v>0</v>
      </c>
      <c r="G108">
        <v>4500</v>
      </c>
      <c r="H108">
        <v>10000</v>
      </c>
      <c r="I108">
        <v>100</v>
      </c>
      <c r="J108" t="s">
        <v>135</v>
      </c>
      <c r="K108" t="s">
        <v>27</v>
      </c>
      <c r="L108" t="s">
        <v>649</v>
      </c>
      <c r="M108" t="s">
        <v>708</v>
      </c>
      <c r="N108" t="s">
        <v>198</v>
      </c>
      <c r="O108" t="s">
        <v>695</v>
      </c>
      <c r="P108">
        <v>4974615</v>
      </c>
      <c r="Q108">
        <v>1</v>
      </c>
      <c r="R108">
        <v>41</v>
      </c>
      <c r="S108" t="s">
        <v>95</v>
      </c>
    </row>
    <row r="109" spans="1:19" x14ac:dyDescent="0.2">
      <c r="A109">
        <v>3087541</v>
      </c>
      <c r="B109" s="49">
        <v>46112</v>
      </c>
      <c r="C109" t="s">
        <v>97</v>
      </c>
      <c r="D109" t="s">
        <v>14</v>
      </c>
      <c r="E109">
        <v>4500</v>
      </c>
      <c r="F109">
        <v>0</v>
      </c>
      <c r="G109">
        <v>4500</v>
      </c>
      <c r="H109">
        <v>10000</v>
      </c>
      <c r="I109">
        <v>100</v>
      </c>
      <c r="J109" t="s">
        <v>135</v>
      </c>
      <c r="K109" t="s">
        <v>27</v>
      </c>
      <c r="L109" t="s">
        <v>649</v>
      </c>
      <c r="M109" t="s">
        <v>708</v>
      </c>
      <c r="N109" t="s">
        <v>227</v>
      </c>
      <c r="O109" t="s">
        <v>696</v>
      </c>
      <c r="P109">
        <v>4973309</v>
      </c>
      <c r="Q109">
        <v>1</v>
      </c>
      <c r="R109">
        <v>41</v>
      </c>
      <c r="S109" t="s">
        <v>95</v>
      </c>
    </row>
    <row r="110" spans="1:19" x14ac:dyDescent="0.2">
      <c r="A110">
        <v>3083726</v>
      </c>
      <c r="B110" s="49">
        <v>46102</v>
      </c>
      <c r="C110" t="s">
        <v>97</v>
      </c>
      <c r="D110" t="s">
        <v>14</v>
      </c>
      <c r="E110">
        <v>8220</v>
      </c>
      <c r="F110">
        <v>0</v>
      </c>
      <c r="G110">
        <v>8220</v>
      </c>
      <c r="H110">
        <v>10000</v>
      </c>
      <c r="I110">
        <v>100</v>
      </c>
      <c r="J110" t="s">
        <v>135</v>
      </c>
      <c r="K110" t="s">
        <v>27</v>
      </c>
      <c r="L110" t="s">
        <v>649</v>
      </c>
      <c r="M110" t="s">
        <v>709</v>
      </c>
      <c r="N110" t="s">
        <v>198</v>
      </c>
      <c r="O110" t="s">
        <v>684</v>
      </c>
      <c r="P110">
        <v>4971287</v>
      </c>
      <c r="Q110">
        <v>1</v>
      </c>
      <c r="R110">
        <v>41</v>
      </c>
      <c r="S110" t="s">
        <v>95</v>
      </c>
    </row>
    <row r="111" spans="1:19" x14ac:dyDescent="0.2">
      <c r="A111">
        <v>3026938</v>
      </c>
      <c r="B111" s="49">
        <v>46093</v>
      </c>
      <c r="C111" t="s">
        <v>97</v>
      </c>
      <c r="D111" t="s">
        <v>14</v>
      </c>
      <c r="E111">
        <v>4060</v>
      </c>
      <c r="F111">
        <v>0</v>
      </c>
      <c r="G111">
        <v>4060</v>
      </c>
      <c r="H111">
        <v>10000</v>
      </c>
      <c r="I111">
        <v>100</v>
      </c>
      <c r="J111" t="s">
        <v>135</v>
      </c>
      <c r="K111" t="s">
        <v>27</v>
      </c>
      <c r="L111" t="s">
        <v>200</v>
      </c>
      <c r="M111" t="s">
        <v>215</v>
      </c>
      <c r="N111" t="s">
        <v>198</v>
      </c>
      <c r="O111" t="s">
        <v>211</v>
      </c>
      <c r="P111">
        <v>4924490</v>
      </c>
      <c r="Q111">
        <v>1</v>
      </c>
      <c r="R111">
        <v>41</v>
      </c>
      <c r="S111" t="s">
        <v>95</v>
      </c>
    </row>
    <row r="112" spans="1:19" x14ac:dyDescent="0.2">
      <c r="A112">
        <v>3021333</v>
      </c>
      <c r="B112" s="49">
        <v>46092</v>
      </c>
      <c r="C112" t="s">
        <v>97</v>
      </c>
      <c r="D112" t="s">
        <v>14</v>
      </c>
      <c r="E112">
        <v>4060</v>
      </c>
      <c r="F112">
        <v>0</v>
      </c>
      <c r="G112">
        <v>4060</v>
      </c>
      <c r="H112">
        <v>10000</v>
      </c>
      <c r="I112">
        <v>100</v>
      </c>
      <c r="J112" t="s">
        <v>135</v>
      </c>
      <c r="K112" t="s">
        <v>27</v>
      </c>
      <c r="L112" t="s">
        <v>216</v>
      </c>
      <c r="M112" t="s">
        <v>217</v>
      </c>
      <c r="N112" t="s">
        <v>198</v>
      </c>
      <c r="O112" t="s">
        <v>218</v>
      </c>
      <c r="P112">
        <v>4921198</v>
      </c>
      <c r="Q112">
        <v>1</v>
      </c>
      <c r="R112">
        <v>41</v>
      </c>
      <c r="S112" t="s">
        <v>95</v>
      </c>
    </row>
    <row r="113" spans="1:19" x14ac:dyDescent="0.2">
      <c r="A113">
        <v>3110686</v>
      </c>
      <c r="B113" s="49">
        <v>46112</v>
      </c>
      <c r="C113" t="s">
        <v>97</v>
      </c>
      <c r="D113" t="s">
        <v>14</v>
      </c>
      <c r="E113">
        <v>2100</v>
      </c>
      <c r="F113">
        <v>0</v>
      </c>
      <c r="G113">
        <v>2100</v>
      </c>
      <c r="H113">
        <v>10000</v>
      </c>
      <c r="I113">
        <v>100</v>
      </c>
      <c r="J113" t="s">
        <v>426</v>
      </c>
      <c r="K113" t="s">
        <v>39</v>
      </c>
      <c r="L113" t="s">
        <v>649</v>
      </c>
      <c r="M113" t="s">
        <v>866</v>
      </c>
      <c r="N113" t="s">
        <v>867</v>
      </c>
      <c r="O113" t="s">
        <v>868</v>
      </c>
      <c r="P113">
        <v>4992786</v>
      </c>
      <c r="Q113">
        <v>1</v>
      </c>
      <c r="R113">
        <v>43</v>
      </c>
      <c r="S113" t="s">
        <v>95</v>
      </c>
    </row>
    <row r="114" spans="1:19" x14ac:dyDescent="0.2">
      <c r="A114">
        <v>3110691</v>
      </c>
      <c r="B114" s="49">
        <v>46112</v>
      </c>
      <c r="C114" t="s">
        <v>97</v>
      </c>
      <c r="D114" t="s">
        <v>14</v>
      </c>
      <c r="E114">
        <v>150</v>
      </c>
      <c r="F114">
        <v>0</v>
      </c>
      <c r="G114">
        <v>150</v>
      </c>
      <c r="H114">
        <v>10000</v>
      </c>
      <c r="I114">
        <v>100</v>
      </c>
      <c r="J114" t="s">
        <v>429</v>
      </c>
      <c r="K114" t="s">
        <v>40</v>
      </c>
      <c r="L114" t="s">
        <v>649</v>
      </c>
      <c r="M114" t="s">
        <v>882</v>
      </c>
      <c r="N114" t="s">
        <v>867</v>
      </c>
      <c r="O114" t="s">
        <v>876</v>
      </c>
      <c r="P114">
        <v>4992791</v>
      </c>
      <c r="Q114">
        <v>1</v>
      </c>
      <c r="R114">
        <v>44</v>
      </c>
      <c r="S114" t="s">
        <v>95</v>
      </c>
    </row>
    <row r="115" spans="1:19" x14ac:dyDescent="0.2">
      <c r="A115">
        <v>3096054</v>
      </c>
      <c r="B115" s="49">
        <v>46112</v>
      </c>
      <c r="C115" t="s">
        <v>97</v>
      </c>
      <c r="D115" t="s">
        <v>14</v>
      </c>
      <c r="E115">
        <v>900</v>
      </c>
      <c r="F115">
        <v>0</v>
      </c>
      <c r="G115">
        <v>900</v>
      </c>
      <c r="H115">
        <v>10000</v>
      </c>
      <c r="I115">
        <v>100</v>
      </c>
      <c r="J115" t="s">
        <v>205</v>
      </c>
      <c r="K115" t="s">
        <v>21</v>
      </c>
      <c r="L115" t="s">
        <v>838</v>
      </c>
      <c r="M115" t="s">
        <v>517</v>
      </c>
      <c r="N115" t="s">
        <v>109</v>
      </c>
      <c r="O115" t="s">
        <v>828</v>
      </c>
      <c r="P115">
        <v>4977640</v>
      </c>
      <c r="Q115">
        <v>1</v>
      </c>
      <c r="R115">
        <v>42</v>
      </c>
      <c r="S115" t="s">
        <v>95</v>
      </c>
    </row>
    <row r="116" spans="1:19" x14ac:dyDescent="0.2">
      <c r="A116">
        <v>3026938</v>
      </c>
      <c r="B116" s="49">
        <v>46093</v>
      </c>
      <c r="C116" t="s">
        <v>97</v>
      </c>
      <c r="D116" t="s">
        <v>14</v>
      </c>
      <c r="E116">
        <v>3400</v>
      </c>
      <c r="F116">
        <v>0</v>
      </c>
      <c r="G116">
        <v>3400</v>
      </c>
      <c r="H116">
        <v>10000</v>
      </c>
      <c r="I116">
        <v>100</v>
      </c>
      <c r="J116" t="s">
        <v>205</v>
      </c>
      <c r="K116" t="s">
        <v>21</v>
      </c>
      <c r="L116" t="s">
        <v>200</v>
      </c>
      <c r="M116" t="s">
        <v>219</v>
      </c>
      <c r="N116" t="s">
        <v>198</v>
      </c>
      <c r="O116" t="s">
        <v>211</v>
      </c>
      <c r="P116">
        <v>4924490</v>
      </c>
      <c r="Q116">
        <v>1</v>
      </c>
      <c r="R116">
        <v>42</v>
      </c>
      <c r="S116" t="s">
        <v>95</v>
      </c>
    </row>
    <row r="117" spans="1:19" x14ac:dyDescent="0.2">
      <c r="A117">
        <v>3041741</v>
      </c>
      <c r="B117" s="49">
        <v>46094</v>
      </c>
      <c r="C117" t="s">
        <v>97</v>
      </c>
      <c r="D117" t="s">
        <v>14</v>
      </c>
      <c r="E117">
        <v>366.52</v>
      </c>
      <c r="F117">
        <v>0</v>
      </c>
      <c r="G117">
        <v>366.52</v>
      </c>
      <c r="H117">
        <v>10000</v>
      </c>
      <c r="I117">
        <v>100</v>
      </c>
      <c r="J117" t="s">
        <v>334</v>
      </c>
      <c r="K117" t="s">
        <v>41</v>
      </c>
      <c r="L117" t="s">
        <v>272</v>
      </c>
      <c r="M117" t="s">
        <v>335</v>
      </c>
      <c r="N117" t="s">
        <v>109</v>
      </c>
      <c r="O117" t="s">
        <v>271</v>
      </c>
      <c r="P117">
        <v>4937614</v>
      </c>
      <c r="Q117">
        <v>1</v>
      </c>
      <c r="R117">
        <v>47</v>
      </c>
      <c r="S117" t="s">
        <v>95</v>
      </c>
    </row>
    <row r="118" spans="1:19" x14ac:dyDescent="0.2">
      <c r="A118">
        <v>3043087</v>
      </c>
      <c r="B118" s="49">
        <v>46083</v>
      </c>
      <c r="C118" t="s">
        <v>97</v>
      </c>
      <c r="D118" t="s">
        <v>14</v>
      </c>
      <c r="E118">
        <v>5310.73</v>
      </c>
      <c r="F118">
        <v>0</v>
      </c>
      <c r="G118">
        <v>5310.73</v>
      </c>
      <c r="H118">
        <v>10000</v>
      </c>
      <c r="I118">
        <v>100</v>
      </c>
      <c r="J118" t="s">
        <v>336</v>
      </c>
      <c r="K118" t="s">
        <v>55</v>
      </c>
      <c r="L118" t="s">
        <v>337</v>
      </c>
      <c r="M118" t="s">
        <v>337</v>
      </c>
      <c r="N118" t="s">
        <v>109</v>
      </c>
      <c r="O118" t="s">
        <v>289</v>
      </c>
      <c r="P118">
        <v>4937749</v>
      </c>
      <c r="Q118">
        <v>1</v>
      </c>
      <c r="R118">
        <v>48</v>
      </c>
      <c r="S118" t="s">
        <v>95</v>
      </c>
    </row>
    <row r="119" spans="1:19" x14ac:dyDescent="0.2">
      <c r="A119">
        <v>3097645</v>
      </c>
      <c r="B119" s="49">
        <v>46101</v>
      </c>
      <c r="C119" t="s">
        <v>97</v>
      </c>
      <c r="D119" t="s">
        <v>14</v>
      </c>
      <c r="E119">
        <v>1200</v>
      </c>
      <c r="F119">
        <v>0</v>
      </c>
      <c r="G119">
        <v>1200</v>
      </c>
      <c r="H119">
        <v>5000</v>
      </c>
      <c r="I119">
        <v>50</v>
      </c>
      <c r="J119" t="s">
        <v>552</v>
      </c>
      <c r="K119" t="s">
        <v>63</v>
      </c>
      <c r="L119" t="s">
        <v>839</v>
      </c>
      <c r="M119" t="s">
        <v>839</v>
      </c>
      <c r="N119" t="s">
        <v>109</v>
      </c>
      <c r="O119" t="s">
        <v>819</v>
      </c>
      <c r="P119">
        <v>4977761</v>
      </c>
      <c r="Q119">
        <v>1</v>
      </c>
      <c r="R119">
        <v>49</v>
      </c>
      <c r="S119" t="s">
        <v>95</v>
      </c>
    </row>
    <row r="120" spans="1:19" x14ac:dyDescent="0.2">
      <c r="A120">
        <v>3088392</v>
      </c>
      <c r="B120" s="49">
        <v>46100</v>
      </c>
      <c r="C120" t="s">
        <v>97</v>
      </c>
      <c r="D120" t="s">
        <v>14</v>
      </c>
      <c r="E120">
        <v>4394.91</v>
      </c>
      <c r="F120">
        <v>0</v>
      </c>
      <c r="G120">
        <v>4394.91</v>
      </c>
      <c r="H120">
        <v>10000</v>
      </c>
      <c r="I120">
        <v>100</v>
      </c>
      <c r="J120" t="s">
        <v>552</v>
      </c>
      <c r="K120" t="s">
        <v>63</v>
      </c>
      <c r="L120" t="s">
        <v>659</v>
      </c>
      <c r="M120" t="s">
        <v>710</v>
      </c>
      <c r="N120" t="s">
        <v>183</v>
      </c>
      <c r="O120" t="s">
        <v>642</v>
      </c>
      <c r="P120">
        <v>4975459</v>
      </c>
      <c r="Q120">
        <v>1</v>
      </c>
      <c r="R120">
        <v>49</v>
      </c>
      <c r="S120" t="s">
        <v>95</v>
      </c>
    </row>
    <row r="121" spans="1:19" x14ac:dyDescent="0.2">
      <c r="A121">
        <v>3088392</v>
      </c>
      <c r="B121" s="49">
        <v>46100</v>
      </c>
      <c r="C121" t="s">
        <v>97</v>
      </c>
      <c r="D121" t="s">
        <v>14</v>
      </c>
      <c r="E121">
        <v>4394.91</v>
      </c>
      <c r="F121">
        <v>0</v>
      </c>
      <c r="G121">
        <v>4394.91</v>
      </c>
      <c r="H121">
        <v>10000</v>
      </c>
      <c r="I121">
        <v>100</v>
      </c>
      <c r="J121" t="s">
        <v>338</v>
      </c>
      <c r="K121" t="s">
        <v>22</v>
      </c>
      <c r="L121" t="s">
        <v>659</v>
      </c>
      <c r="M121" t="s">
        <v>711</v>
      </c>
      <c r="N121" t="s">
        <v>183</v>
      </c>
      <c r="O121" t="s">
        <v>642</v>
      </c>
      <c r="P121">
        <v>4975459</v>
      </c>
      <c r="Q121">
        <v>1</v>
      </c>
      <c r="R121">
        <v>50</v>
      </c>
      <c r="S121" t="s">
        <v>95</v>
      </c>
    </row>
    <row r="122" spans="1:19" x14ac:dyDescent="0.2">
      <c r="A122">
        <v>3081629</v>
      </c>
      <c r="B122" s="49">
        <v>46105</v>
      </c>
      <c r="C122" t="s">
        <v>97</v>
      </c>
      <c r="D122" t="s">
        <v>14</v>
      </c>
      <c r="E122">
        <v>2289.87</v>
      </c>
      <c r="F122">
        <v>0</v>
      </c>
      <c r="G122">
        <v>2289.87</v>
      </c>
      <c r="H122">
        <v>10000</v>
      </c>
      <c r="I122">
        <v>100</v>
      </c>
      <c r="J122" t="s">
        <v>338</v>
      </c>
      <c r="K122" t="s">
        <v>22</v>
      </c>
      <c r="L122" t="s">
        <v>712</v>
      </c>
      <c r="M122" t="s">
        <v>713</v>
      </c>
      <c r="N122" t="s">
        <v>109</v>
      </c>
      <c r="O122" t="s">
        <v>658</v>
      </c>
      <c r="P122">
        <v>4969873</v>
      </c>
      <c r="Q122">
        <v>1</v>
      </c>
      <c r="R122">
        <v>50</v>
      </c>
      <c r="S122" t="s">
        <v>95</v>
      </c>
    </row>
    <row r="123" spans="1:19" x14ac:dyDescent="0.2">
      <c r="A123">
        <v>3040739</v>
      </c>
      <c r="B123" s="49">
        <v>46087</v>
      </c>
      <c r="C123" t="s">
        <v>97</v>
      </c>
      <c r="D123" t="s">
        <v>14</v>
      </c>
      <c r="E123">
        <v>391.01</v>
      </c>
      <c r="F123">
        <v>0</v>
      </c>
      <c r="G123">
        <v>391.01</v>
      </c>
      <c r="H123">
        <v>10000</v>
      </c>
      <c r="I123">
        <v>100</v>
      </c>
      <c r="J123" t="s">
        <v>338</v>
      </c>
      <c r="K123" t="s">
        <v>22</v>
      </c>
      <c r="L123" t="s">
        <v>339</v>
      </c>
      <c r="M123" t="s">
        <v>340</v>
      </c>
      <c r="N123" t="s">
        <v>109</v>
      </c>
      <c r="O123" t="s">
        <v>274</v>
      </c>
      <c r="P123">
        <v>4935878</v>
      </c>
      <c r="Q123">
        <v>1</v>
      </c>
      <c r="R123">
        <v>50</v>
      </c>
      <c r="S123" t="s">
        <v>95</v>
      </c>
    </row>
    <row r="124" spans="1:19" x14ac:dyDescent="0.2">
      <c r="A124">
        <v>3110691</v>
      </c>
      <c r="B124" s="49">
        <v>46112</v>
      </c>
      <c r="C124" t="s">
        <v>97</v>
      </c>
      <c r="D124" t="s">
        <v>14</v>
      </c>
      <c r="E124">
        <v>165</v>
      </c>
      <c r="F124">
        <v>0</v>
      </c>
      <c r="G124">
        <v>165</v>
      </c>
      <c r="H124">
        <v>10000</v>
      </c>
      <c r="I124">
        <v>100</v>
      </c>
      <c r="J124" t="s">
        <v>557</v>
      </c>
      <c r="K124" t="s">
        <v>51</v>
      </c>
      <c r="L124" t="s">
        <v>649</v>
      </c>
      <c r="M124" t="s">
        <v>883</v>
      </c>
      <c r="N124" t="s">
        <v>867</v>
      </c>
      <c r="O124" t="s">
        <v>876</v>
      </c>
      <c r="P124">
        <v>4992791</v>
      </c>
      <c r="Q124">
        <v>1</v>
      </c>
      <c r="R124">
        <v>51</v>
      </c>
      <c r="S124" t="s">
        <v>95</v>
      </c>
    </row>
    <row r="125" spans="1:19" x14ac:dyDescent="0.2">
      <c r="A125">
        <v>3088399</v>
      </c>
      <c r="B125" s="49">
        <v>46097</v>
      </c>
      <c r="C125" t="s">
        <v>97</v>
      </c>
      <c r="D125" t="s">
        <v>14</v>
      </c>
      <c r="E125">
        <v>165</v>
      </c>
      <c r="F125">
        <v>0</v>
      </c>
      <c r="G125">
        <v>165</v>
      </c>
      <c r="H125">
        <v>10000</v>
      </c>
      <c r="I125">
        <v>100</v>
      </c>
      <c r="J125" t="s">
        <v>557</v>
      </c>
      <c r="K125" t="s">
        <v>51</v>
      </c>
      <c r="L125" t="s">
        <v>701</v>
      </c>
      <c r="M125" t="s">
        <v>714</v>
      </c>
      <c r="N125" t="s">
        <v>183</v>
      </c>
      <c r="O125" t="s">
        <v>642</v>
      </c>
      <c r="P125">
        <v>4975465</v>
      </c>
      <c r="Q125">
        <v>1</v>
      </c>
      <c r="R125">
        <v>51</v>
      </c>
      <c r="S125" t="s">
        <v>95</v>
      </c>
    </row>
    <row r="126" spans="1:19" x14ac:dyDescent="0.2">
      <c r="A126">
        <v>3110688</v>
      </c>
      <c r="B126" s="49">
        <v>46112</v>
      </c>
      <c r="C126" t="s">
        <v>97</v>
      </c>
      <c r="D126" t="s">
        <v>14</v>
      </c>
      <c r="E126">
        <v>240</v>
      </c>
      <c r="F126">
        <v>0</v>
      </c>
      <c r="G126">
        <v>240</v>
      </c>
      <c r="H126">
        <v>10000</v>
      </c>
      <c r="I126">
        <v>100</v>
      </c>
      <c r="J126" t="s">
        <v>559</v>
      </c>
      <c r="K126" t="s">
        <v>53</v>
      </c>
      <c r="L126" t="s">
        <v>649</v>
      </c>
      <c r="M126" t="s">
        <v>884</v>
      </c>
      <c r="N126" t="s">
        <v>867</v>
      </c>
      <c r="O126" t="s">
        <v>885</v>
      </c>
      <c r="P126">
        <v>4992788</v>
      </c>
      <c r="Q126">
        <v>1</v>
      </c>
      <c r="R126">
        <v>57</v>
      </c>
      <c r="S126" t="s">
        <v>95</v>
      </c>
    </row>
    <row r="127" spans="1:19" x14ac:dyDescent="0.2">
      <c r="A127">
        <v>3110688</v>
      </c>
      <c r="B127" s="49">
        <v>46112</v>
      </c>
      <c r="C127" t="s">
        <v>97</v>
      </c>
      <c r="D127" t="s">
        <v>14</v>
      </c>
      <c r="E127">
        <v>850</v>
      </c>
      <c r="F127">
        <v>0</v>
      </c>
      <c r="G127">
        <v>850</v>
      </c>
      <c r="H127">
        <v>10000</v>
      </c>
      <c r="I127">
        <v>100</v>
      </c>
      <c r="J127" t="s">
        <v>559</v>
      </c>
      <c r="K127" t="s">
        <v>53</v>
      </c>
      <c r="L127" t="s">
        <v>649</v>
      </c>
      <c r="M127" t="s">
        <v>886</v>
      </c>
      <c r="N127" t="s">
        <v>867</v>
      </c>
      <c r="O127" t="s">
        <v>885</v>
      </c>
      <c r="P127">
        <v>4992788</v>
      </c>
      <c r="Q127">
        <v>1</v>
      </c>
      <c r="R127">
        <v>57</v>
      </c>
      <c r="S127" t="s">
        <v>95</v>
      </c>
    </row>
    <row r="128" spans="1:19" x14ac:dyDescent="0.2">
      <c r="A128">
        <v>3110688</v>
      </c>
      <c r="B128" s="49">
        <v>46112</v>
      </c>
      <c r="C128" t="s">
        <v>97</v>
      </c>
      <c r="D128" t="s">
        <v>14</v>
      </c>
      <c r="E128">
        <v>440</v>
      </c>
      <c r="F128">
        <v>0</v>
      </c>
      <c r="G128">
        <v>440</v>
      </c>
      <c r="H128">
        <v>10000</v>
      </c>
      <c r="I128">
        <v>100</v>
      </c>
      <c r="J128" t="s">
        <v>559</v>
      </c>
      <c r="K128" t="s">
        <v>53</v>
      </c>
      <c r="L128" t="s">
        <v>649</v>
      </c>
      <c r="M128" t="s">
        <v>884</v>
      </c>
      <c r="N128" t="s">
        <v>867</v>
      </c>
      <c r="O128" t="s">
        <v>885</v>
      </c>
      <c r="P128">
        <v>4992788</v>
      </c>
      <c r="Q128">
        <v>1</v>
      </c>
      <c r="R128">
        <v>57</v>
      </c>
      <c r="S128" t="s">
        <v>95</v>
      </c>
    </row>
    <row r="129" spans="1:19" x14ac:dyDescent="0.2">
      <c r="A129">
        <v>3096055</v>
      </c>
      <c r="B129" s="49">
        <v>46112</v>
      </c>
      <c r="C129" t="s">
        <v>97</v>
      </c>
      <c r="D129" t="s">
        <v>14</v>
      </c>
      <c r="E129">
        <v>1300</v>
      </c>
      <c r="F129">
        <v>0</v>
      </c>
      <c r="G129">
        <v>1300</v>
      </c>
      <c r="H129">
        <v>10000</v>
      </c>
      <c r="I129">
        <v>100</v>
      </c>
      <c r="J129" t="s">
        <v>559</v>
      </c>
      <c r="K129" t="s">
        <v>53</v>
      </c>
      <c r="L129" t="s">
        <v>840</v>
      </c>
      <c r="M129" t="s">
        <v>517</v>
      </c>
      <c r="N129" t="s">
        <v>109</v>
      </c>
      <c r="O129" t="s">
        <v>828</v>
      </c>
      <c r="P129">
        <v>4977641</v>
      </c>
      <c r="Q129">
        <v>1</v>
      </c>
      <c r="R129">
        <v>57</v>
      </c>
      <c r="S129" t="s">
        <v>95</v>
      </c>
    </row>
    <row r="130" spans="1:19" x14ac:dyDescent="0.2">
      <c r="A130">
        <v>3088399</v>
      </c>
      <c r="B130" s="49">
        <v>46097</v>
      </c>
      <c r="C130" t="s">
        <v>97</v>
      </c>
      <c r="D130" t="s">
        <v>14</v>
      </c>
      <c r="E130">
        <v>137</v>
      </c>
      <c r="F130">
        <v>0</v>
      </c>
      <c r="G130">
        <v>137</v>
      </c>
      <c r="H130">
        <v>10000</v>
      </c>
      <c r="I130">
        <v>100</v>
      </c>
      <c r="J130" t="s">
        <v>559</v>
      </c>
      <c r="K130" t="s">
        <v>53</v>
      </c>
      <c r="L130" t="s">
        <v>701</v>
      </c>
      <c r="M130" t="s">
        <v>715</v>
      </c>
      <c r="N130" t="s">
        <v>183</v>
      </c>
      <c r="O130" t="s">
        <v>642</v>
      </c>
      <c r="P130">
        <v>4975465</v>
      </c>
      <c r="Q130">
        <v>1</v>
      </c>
      <c r="R130">
        <v>57</v>
      </c>
      <c r="S130" t="s">
        <v>95</v>
      </c>
    </row>
    <row r="131" spans="1:19" x14ac:dyDescent="0.2">
      <c r="A131">
        <v>3110694</v>
      </c>
      <c r="B131" s="49">
        <v>46112</v>
      </c>
      <c r="C131" t="s">
        <v>97</v>
      </c>
      <c r="D131" t="s">
        <v>14</v>
      </c>
      <c r="E131">
        <v>310</v>
      </c>
      <c r="F131">
        <v>0</v>
      </c>
      <c r="G131">
        <v>310</v>
      </c>
      <c r="H131">
        <v>10000</v>
      </c>
      <c r="I131">
        <v>100</v>
      </c>
      <c r="J131" t="s">
        <v>196</v>
      </c>
      <c r="K131" t="s">
        <v>60</v>
      </c>
      <c r="L131" t="s">
        <v>649</v>
      </c>
      <c r="M131" t="s">
        <v>887</v>
      </c>
      <c r="N131" t="s">
        <v>867</v>
      </c>
      <c r="O131" t="s">
        <v>888</v>
      </c>
      <c r="P131">
        <v>4992794</v>
      </c>
      <c r="Q131">
        <v>1</v>
      </c>
      <c r="R131">
        <v>60</v>
      </c>
      <c r="S131" t="s">
        <v>95</v>
      </c>
    </row>
    <row r="132" spans="1:19" x14ac:dyDescent="0.2">
      <c r="A132">
        <v>3110694</v>
      </c>
      <c r="B132" s="49">
        <v>46112</v>
      </c>
      <c r="C132" t="s">
        <v>97</v>
      </c>
      <c r="D132" t="s">
        <v>14</v>
      </c>
      <c r="E132">
        <v>500</v>
      </c>
      <c r="F132">
        <v>0</v>
      </c>
      <c r="G132">
        <v>500</v>
      </c>
      <c r="H132">
        <v>10000</v>
      </c>
      <c r="I132">
        <v>100</v>
      </c>
      <c r="J132" t="s">
        <v>196</v>
      </c>
      <c r="K132" t="s">
        <v>60</v>
      </c>
      <c r="L132" t="s">
        <v>649</v>
      </c>
      <c r="M132" t="s">
        <v>889</v>
      </c>
      <c r="N132" t="s">
        <v>867</v>
      </c>
      <c r="O132" t="s">
        <v>888</v>
      </c>
      <c r="P132">
        <v>4992794</v>
      </c>
      <c r="Q132">
        <v>1</v>
      </c>
      <c r="R132">
        <v>60</v>
      </c>
      <c r="S132" t="s">
        <v>95</v>
      </c>
    </row>
    <row r="133" spans="1:19" x14ac:dyDescent="0.2">
      <c r="A133">
        <v>3026938</v>
      </c>
      <c r="B133" s="49">
        <v>46093</v>
      </c>
      <c r="C133" t="s">
        <v>97</v>
      </c>
      <c r="D133" t="s">
        <v>14</v>
      </c>
      <c r="E133">
        <v>10550</v>
      </c>
      <c r="F133">
        <v>0</v>
      </c>
      <c r="G133">
        <v>10550</v>
      </c>
      <c r="H133">
        <v>10000</v>
      </c>
      <c r="I133">
        <v>100</v>
      </c>
      <c r="J133" t="s">
        <v>196</v>
      </c>
      <c r="K133" t="s">
        <v>60</v>
      </c>
      <c r="L133" t="s">
        <v>200</v>
      </c>
      <c r="M133" t="s">
        <v>220</v>
      </c>
      <c r="N133" t="s">
        <v>198</v>
      </c>
      <c r="O133" t="s">
        <v>211</v>
      </c>
      <c r="P133">
        <v>4924490</v>
      </c>
      <c r="Q133">
        <v>1</v>
      </c>
      <c r="R133">
        <v>60</v>
      </c>
      <c r="S133" t="s">
        <v>95</v>
      </c>
    </row>
    <row r="134" spans="1:19" x14ac:dyDescent="0.2">
      <c r="A134">
        <v>3110688</v>
      </c>
      <c r="B134" s="49">
        <v>46112</v>
      </c>
      <c r="C134" t="s">
        <v>97</v>
      </c>
      <c r="D134" t="s">
        <v>14</v>
      </c>
      <c r="E134">
        <v>149</v>
      </c>
      <c r="F134">
        <v>0</v>
      </c>
      <c r="G134">
        <v>149</v>
      </c>
      <c r="H134">
        <v>10000</v>
      </c>
      <c r="I134">
        <v>100</v>
      </c>
      <c r="J134" t="s">
        <v>567</v>
      </c>
      <c r="K134" t="s">
        <v>58</v>
      </c>
      <c r="L134" t="s">
        <v>649</v>
      </c>
      <c r="M134" t="s">
        <v>890</v>
      </c>
      <c r="N134" t="s">
        <v>867</v>
      </c>
      <c r="O134" t="s">
        <v>885</v>
      </c>
      <c r="P134">
        <v>4992788</v>
      </c>
      <c r="Q134">
        <v>1</v>
      </c>
      <c r="R134">
        <v>61</v>
      </c>
      <c r="S134" t="s">
        <v>95</v>
      </c>
    </row>
    <row r="135" spans="1:19" x14ac:dyDescent="0.2">
      <c r="A135">
        <v>3110688</v>
      </c>
      <c r="B135" s="49">
        <v>46112</v>
      </c>
      <c r="C135" t="s">
        <v>97</v>
      </c>
      <c r="D135" t="s">
        <v>14</v>
      </c>
      <c r="E135">
        <v>150</v>
      </c>
      <c r="F135">
        <v>0</v>
      </c>
      <c r="G135">
        <v>150</v>
      </c>
      <c r="H135">
        <v>10000</v>
      </c>
      <c r="I135">
        <v>100</v>
      </c>
      <c r="J135" t="s">
        <v>567</v>
      </c>
      <c r="K135" t="s">
        <v>58</v>
      </c>
      <c r="L135" t="s">
        <v>649</v>
      </c>
      <c r="M135" t="s">
        <v>891</v>
      </c>
      <c r="N135" t="s">
        <v>867</v>
      </c>
      <c r="O135" t="s">
        <v>885</v>
      </c>
      <c r="P135">
        <v>4992788</v>
      </c>
      <c r="Q135">
        <v>1</v>
      </c>
      <c r="R135">
        <v>61</v>
      </c>
      <c r="S135" t="s">
        <v>95</v>
      </c>
    </row>
    <row r="136" spans="1:19" x14ac:dyDescent="0.2">
      <c r="A136">
        <v>3088397</v>
      </c>
      <c r="B136" s="49">
        <v>46092</v>
      </c>
      <c r="C136" t="s">
        <v>97</v>
      </c>
      <c r="D136" t="s">
        <v>14</v>
      </c>
      <c r="E136">
        <v>1180.83</v>
      </c>
      <c r="F136">
        <v>0</v>
      </c>
      <c r="G136">
        <v>1180.83</v>
      </c>
      <c r="H136">
        <v>10000</v>
      </c>
      <c r="I136">
        <v>100</v>
      </c>
      <c r="J136" t="s">
        <v>341</v>
      </c>
      <c r="K136" t="s">
        <v>111</v>
      </c>
      <c r="L136" t="s">
        <v>677</v>
      </c>
      <c r="M136" t="s">
        <v>716</v>
      </c>
      <c r="N136" t="s">
        <v>183</v>
      </c>
      <c r="O136" t="s">
        <v>642</v>
      </c>
      <c r="P136">
        <v>4975460</v>
      </c>
      <c r="Q136">
        <v>1</v>
      </c>
      <c r="R136">
        <v>63</v>
      </c>
      <c r="S136" t="s">
        <v>95</v>
      </c>
    </row>
    <row r="137" spans="1:19" x14ac:dyDescent="0.2">
      <c r="A137">
        <v>3087686</v>
      </c>
      <c r="B137" s="49">
        <v>46092</v>
      </c>
      <c r="C137" t="s">
        <v>97</v>
      </c>
      <c r="D137" t="s">
        <v>14</v>
      </c>
      <c r="E137">
        <v>663.67</v>
      </c>
      <c r="F137">
        <v>0</v>
      </c>
      <c r="G137">
        <v>663.67</v>
      </c>
      <c r="H137">
        <v>10000</v>
      </c>
      <c r="I137">
        <v>100</v>
      </c>
      <c r="J137" t="s">
        <v>341</v>
      </c>
      <c r="K137" t="s">
        <v>111</v>
      </c>
      <c r="L137" t="s">
        <v>640</v>
      </c>
      <c r="M137" t="s">
        <v>717</v>
      </c>
      <c r="N137" t="s">
        <v>183</v>
      </c>
      <c r="O137" t="s">
        <v>642</v>
      </c>
      <c r="P137">
        <v>4974751</v>
      </c>
      <c r="Q137">
        <v>1</v>
      </c>
      <c r="R137">
        <v>63</v>
      </c>
      <c r="S137" t="s">
        <v>95</v>
      </c>
    </row>
    <row r="138" spans="1:19" x14ac:dyDescent="0.2">
      <c r="A138">
        <v>3041741</v>
      </c>
      <c r="B138" s="49">
        <v>46094</v>
      </c>
      <c r="C138" t="s">
        <v>97</v>
      </c>
      <c r="D138" t="s">
        <v>14</v>
      </c>
      <c r="E138">
        <v>520.87</v>
      </c>
      <c r="F138">
        <v>0</v>
      </c>
      <c r="G138">
        <v>520.87</v>
      </c>
      <c r="H138">
        <v>10000</v>
      </c>
      <c r="I138">
        <v>100</v>
      </c>
      <c r="J138" t="s">
        <v>341</v>
      </c>
      <c r="K138" t="s">
        <v>111</v>
      </c>
      <c r="L138" t="s">
        <v>272</v>
      </c>
      <c r="M138" t="s">
        <v>342</v>
      </c>
      <c r="N138" t="s">
        <v>109</v>
      </c>
      <c r="O138" t="s">
        <v>271</v>
      </c>
      <c r="P138">
        <v>4937614</v>
      </c>
      <c r="Q138">
        <v>1</v>
      </c>
      <c r="R138">
        <v>63</v>
      </c>
      <c r="S138" t="s">
        <v>95</v>
      </c>
    </row>
    <row r="139" spans="1:19" x14ac:dyDescent="0.2">
      <c r="A139">
        <v>3110694</v>
      </c>
      <c r="B139" s="49">
        <v>46112</v>
      </c>
      <c r="C139" t="s">
        <v>97</v>
      </c>
      <c r="D139" t="s">
        <v>14</v>
      </c>
      <c r="E139">
        <v>200</v>
      </c>
      <c r="F139">
        <v>0</v>
      </c>
      <c r="G139">
        <v>200</v>
      </c>
      <c r="H139">
        <v>10000</v>
      </c>
      <c r="I139">
        <v>100</v>
      </c>
      <c r="J139" t="s">
        <v>841</v>
      </c>
      <c r="K139" t="s">
        <v>65</v>
      </c>
      <c r="L139" t="s">
        <v>649</v>
      </c>
      <c r="M139" t="s">
        <v>892</v>
      </c>
      <c r="N139" t="s">
        <v>867</v>
      </c>
      <c r="O139" t="s">
        <v>888</v>
      </c>
      <c r="P139">
        <v>4992794</v>
      </c>
      <c r="Q139">
        <v>1</v>
      </c>
      <c r="R139">
        <v>28</v>
      </c>
      <c r="S139" t="s">
        <v>95</v>
      </c>
    </row>
    <row r="140" spans="1:19" x14ac:dyDescent="0.2">
      <c r="A140">
        <v>3097664</v>
      </c>
      <c r="B140" s="49">
        <v>46100</v>
      </c>
      <c r="C140" t="s">
        <v>97</v>
      </c>
      <c r="D140" t="s">
        <v>14</v>
      </c>
      <c r="E140">
        <v>3345</v>
      </c>
      <c r="F140">
        <v>0</v>
      </c>
      <c r="G140">
        <v>3345</v>
      </c>
      <c r="H140">
        <v>10000</v>
      </c>
      <c r="I140">
        <v>100</v>
      </c>
      <c r="J140" t="s">
        <v>841</v>
      </c>
      <c r="K140" t="s">
        <v>65</v>
      </c>
      <c r="L140" t="s">
        <v>842</v>
      </c>
      <c r="M140" t="s">
        <v>843</v>
      </c>
      <c r="N140" t="s">
        <v>109</v>
      </c>
      <c r="O140" t="s">
        <v>819</v>
      </c>
      <c r="P140">
        <v>4977768</v>
      </c>
      <c r="Q140">
        <v>1</v>
      </c>
      <c r="R140">
        <v>28</v>
      </c>
      <c r="S140" t="s">
        <v>95</v>
      </c>
    </row>
    <row r="141" spans="1:19" x14ac:dyDescent="0.2">
      <c r="A141">
        <v>3110689</v>
      </c>
      <c r="B141" s="49">
        <v>46112</v>
      </c>
      <c r="C141" t="s">
        <v>97</v>
      </c>
      <c r="D141" t="s">
        <v>14</v>
      </c>
      <c r="E141">
        <v>170</v>
      </c>
      <c r="F141">
        <v>0</v>
      </c>
      <c r="G141">
        <v>170</v>
      </c>
      <c r="H141">
        <v>10000</v>
      </c>
      <c r="I141">
        <v>100</v>
      </c>
      <c r="J141" t="s">
        <v>374</v>
      </c>
      <c r="K141" t="s">
        <v>66</v>
      </c>
      <c r="L141" t="s">
        <v>649</v>
      </c>
      <c r="M141" t="s">
        <v>893</v>
      </c>
      <c r="N141" t="s">
        <v>867</v>
      </c>
      <c r="O141" t="s">
        <v>870</v>
      </c>
      <c r="P141">
        <v>4992789</v>
      </c>
      <c r="Q141">
        <v>1</v>
      </c>
      <c r="R141">
        <v>65</v>
      </c>
      <c r="S141" t="s">
        <v>95</v>
      </c>
    </row>
    <row r="142" spans="1:19" x14ac:dyDescent="0.2">
      <c r="A142">
        <v>3083726</v>
      </c>
      <c r="B142" s="49">
        <v>46102</v>
      </c>
      <c r="C142" t="s">
        <v>97</v>
      </c>
      <c r="D142" t="s">
        <v>14</v>
      </c>
      <c r="E142">
        <v>7850</v>
      </c>
      <c r="F142">
        <v>0</v>
      </c>
      <c r="G142">
        <v>7850</v>
      </c>
      <c r="H142">
        <v>10000</v>
      </c>
      <c r="I142">
        <v>100</v>
      </c>
      <c r="J142" t="s">
        <v>105</v>
      </c>
      <c r="K142" t="s">
        <v>67</v>
      </c>
      <c r="L142" t="s">
        <v>649</v>
      </c>
      <c r="M142" t="s">
        <v>718</v>
      </c>
      <c r="N142" t="s">
        <v>198</v>
      </c>
      <c r="O142" t="s">
        <v>684</v>
      </c>
      <c r="P142">
        <v>4971287</v>
      </c>
      <c r="Q142">
        <v>1</v>
      </c>
      <c r="R142">
        <v>66</v>
      </c>
      <c r="S142" t="s">
        <v>95</v>
      </c>
    </row>
    <row r="143" spans="1:19" x14ac:dyDescent="0.2">
      <c r="A143">
        <v>3083688</v>
      </c>
      <c r="B143" s="49">
        <v>46093</v>
      </c>
      <c r="C143" t="s">
        <v>97</v>
      </c>
      <c r="D143" t="s">
        <v>14</v>
      </c>
      <c r="E143">
        <v>2100</v>
      </c>
      <c r="F143">
        <v>0</v>
      </c>
      <c r="G143">
        <v>2100</v>
      </c>
      <c r="H143">
        <v>10000</v>
      </c>
      <c r="I143">
        <v>100</v>
      </c>
      <c r="J143" t="s">
        <v>105</v>
      </c>
      <c r="K143" t="s">
        <v>67</v>
      </c>
      <c r="L143" t="s">
        <v>685</v>
      </c>
      <c r="M143" t="s">
        <v>719</v>
      </c>
      <c r="N143" t="s">
        <v>198</v>
      </c>
      <c r="O143" t="s">
        <v>687</v>
      </c>
      <c r="P143">
        <v>4971251</v>
      </c>
      <c r="Q143">
        <v>1</v>
      </c>
      <c r="R143">
        <v>66</v>
      </c>
      <c r="S143" t="s">
        <v>95</v>
      </c>
    </row>
    <row r="144" spans="1:19" x14ac:dyDescent="0.2">
      <c r="A144">
        <v>3041489</v>
      </c>
      <c r="B144" s="49">
        <v>46087</v>
      </c>
      <c r="C144" t="s">
        <v>97</v>
      </c>
      <c r="D144" t="s">
        <v>14</v>
      </c>
      <c r="E144">
        <v>5550</v>
      </c>
      <c r="F144">
        <v>0</v>
      </c>
      <c r="G144">
        <v>5550</v>
      </c>
      <c r="H144">
        <v>10000</v>
      </c>
      <c r="I144">
        <v>100</v>
      </c>
      <c r="J144" t="s">
        <v>105</v>
      </c>
      <c r="K144" t="s">
        <v>67</v>
      </c>
      <c r="L144" t="s">
        <v>311</v>
      </c>
      <c r="M144" t="s">
        <v>343</v>
      </c>
      <c r="N144" t="s">
        <v>109</v>
      </c>
      <c r="O144" t="s">
        <v>274</v>
      </c>
      <c r="P144">
        <v>4937603</v>
      </c>
      <c r="Q144">
        <v>1</v>
      </c>
      <c r="R144">
        <v>66</v>
      </c>
      <c r="S144" t="s">
        <v>95</v>
      </c>
    </row>
    <row r="145" spans="1:19" x14ac:dyDescent="0.2">
      <c r="A145">
        <v>3110691</v>
      </c>
      <c r="B145" s="49">
        <v>46112</v>
      </c>
      <c r="C145" t="s">
        <v>97</v>
      </c>
      <c r="D145" t="s">
        <v>14</v>
      </c>
      <c r="E145">
        <v>200</v>
      </c>
      <c r="F145">
        <v>0</v>
      </c>
      <c r="G145">
        <v>200</v>
      </c>
      <c r="H145">
        <v>10000</v>
      </c>
      <c r="I145">
        <v>100</v>
      </c>
      <c r="J145" t="s">
        <v>452</v>
      </c>
      <c r="K145" t="s">
        <v>64</v>
      </c>
      <c r="L145" t="s">
        <v>649</v>
      </c>
      <c r="M145" t="s">
        <v>894</v>
      </c>
      <c r="N145" t="s">
        <v>867</v>
      </c>
      <c r="O145" t="s">
        <v>876</v>
      </c>
      <c r="P145">
        <v>4992791</v>
      </c>
      <c r="Q145">
        <v>1</v>
      </c>
      <c r="R145">
        <v>64</v>
      </c>
      <c r="S145" t="s">
        <v>95</v>
      </c>
    </row>
    <row r="146" spans="1:19" x14ac:dyDescent="0.2">
      <c r="A146">
        <v>3096059</v>
      </c>
      <c r="B146" s="49">
        <v>46112</v>
      </c>
      <c r="C146" t="s">
        <v>97</v>
      </c>
      <c r="D146" t="s">
        <v>14</v>
      </c>
      <c r="E146">
        <v>6445</v>
      </c>
      <c r="F146">
        <v>0</v>
      </c>
      <c r="G146">
        <v>6445</v>
      </c>
      <c r="H146">
        <v>10000</v>
      </c>
      <c r="I146">
        <v>100</v>
      </c>
      <c r="J146" t="s">
        <v>452</v>
      </c>
      <c r="K146" t="s">
        <v>64</v>
      </c>
      <c r="L146" t="s">
        <v>844</v>
      </c>
      <c r="M146" t="s">
        <v>517</v>
      </c>
      <c r="N146" t="s">
        <v>109</v>
      </c>
      <c r="O146" t="s">
        <v>828</v>
      </c>
      <c r="P146">
        <v>4977645</v>
      </c>
      <c r="Q146">
        <v>1</v>
      </c>
      <c r="R146">
        <v>64</v>
      </c>
      <c r="S146" t="s">
        <v>95</v>
      </c>
    </row>
    <row r="147" spans="1:19" x14ac:dyDescent="0.2">
      <c r="A147">
        <v>3096057</v>
      </c>
      <c r="B147" s="49">
        <v>46112</v>
      </c>
      <c r="C147" t="s">
        <v>97</v>
      </c>
      <c r="D147" t="s">
        <v>14</v>
      </c>
      <c r="E147">
        <v>5920</v>
      </c>
      <c r="F147">
        <v>0</v>
      </c>
      <c r="G147">
        <v>5920</v>
      </c>
      <c r="H147">
        <v>10000</v>
      </c>
      <c r="I147">
        <v>100</v>
      </c>
      <c r="J147" t="s">
        <v>452</v>
      </c>
      <c r="K147" t="s">
        <v>64</v>
      </c>
      <c r="L147" t="s">
        <v>844</v>
      </c>
      <c r="M147" t="s">
        <v>517</v>
      </c>
      <c r="N147" t="s">
        <v>109</v>
      </c>
      <c r="O147" t="s">
        <v>828</v>
      </c>
      <c r="P147">
        <v>4977643</v>
      </c>
      <c r="Q147">
        <v>1</v>
      </c>
      <c r="R147">
        <v>64</v>
      </c>
      <c r="S147" t="s">
        <v>95</v>
      </c>
    </row>
    <row r="148" spans="1:19" x14ac:dyDescent="0.2">
      <c r="A148">
        <v>3088399</v>
      </c>
      <c r="B148" s="49">
        <v>46097</v>
      </c>
      <c r="C148" t="s">
        <v>97</v>
      </c>
      <c r="D148" t="s">
        <v>14</v>
      </c>
      <c r="E148">
        <v>137</v>
      </c>
      <c r="F148">
        <v>0</v>
      </c>
      <c r="G148">
        <v>137</v>
      </c>
      <c r="H148">
        <v>10000</v>
      </c>
      <c r="I148">
        <v>100</v>
      </c>
      <c r="J148" t="s">
        <v>720</v>
      </c>
      <c r="K148" t="s">
        <v>68</v>
      </c>
      <c r="L148" t="s">
        <v>701</v>
      </c>
      <c r="M148" t="s">
        <v>721</v>
      </c>
      <c r="N148" t="s">
        <v>183</v>
      </c>
      <c r="O148" t="s">
        <v>642</v>
      </c>
      <c r="P148">
        <v>4975465</v>
      </c>
      <c r="Q148">
        <v>1</v>
      </c>
      <c r="R148">
        <v>70</v>
      </c>
      <c r="S148" t="s">
        <v>95</v>
      </c>
    </row>
    <row r="149" spans="1:19" x14ac:dyDescent="0.2">
      <c r="A149">
        <v>3087680</v>
      </c>
      <c r="B149" s="49">
        <v>46105</v>
      </c>
      <c r="C149" t="s">
        <v>97</v>
      </c>
      <c r="D149" t="s">
        <v>14</v>
      </c>
      <c r="E149">
        <v>5500</v>
      </c>
      <c r="F149">
        <v>0</v>
      </c>
      <c r="G149">
        <v>5500</v>
      </c>
      <c r="H149">
        <v>10000</v>
      </c>
      <c r="I149">
        <v>100</v>
      </c>
      <c r="J149" t="s">
        <v>206</v>
      </c>
      <c r="K149" t="s">
        <v>74</v>
      </c>
      <c r="L149" t="s">
        <v>680</v>
      </c>
      <c r="M149" t="s">
        <v>722</v>
      </c>
      <c r="N149" t="s">
        <v>198</v>
      </c>
      <c r="O149" t="s">
        <v>682</v>
      </c>
      <c r="P149">
        <v>4974745</v>
      </c>
      <c r="Q149">
        <v>1</v>
      </c>
      <c r="R149">
        <v>71</v>
      </c>
      <c r="S149" t="s">
        <v>95</v>
      </c>
    </row>
    <row r="150" spans="1:19" x14ac:dyDescent="0.2">
      <c r="A150">
        <v>3021318</v>
      </c>
      <c r="B150" s="49">
        <v>46092</v>
      </c>
      <c r="C150" t="s">
        <v>97</v>
      </c>
      <c r="D150" t="s">
        <v>14</v>
      </c>
      <c r="E150">
        <v>14500</v>
      </c>
      <c r="F150">
        <v>0</v>
      </c>
      <c r="G150">
        <v>14500</v>
      </c>
      <c r="H150">
        <v>10000</v>
      </c>
      <c r="I150">
        <v>100</v>
      </c>
      <c r="J150" t="s">
        <v>206</v>
      </c>
      <c r="K150" t="s">
        <v>74</v>
      </c>
      <c r="L150" t="s">
        <v>221</v>
      </c>
      <c r="M150" t="s">
        <v>222</v>
      </c>
      <c r="N150" t="s">
        <v>198</v>
      </c>
      <c r="O150" t="s">
        <v>218</v>
      </c>
      <c r="P150">
        <v>4921197</v>
      </c>
      <c r="Q150">
        <v>1</v>
      </c>
      <c r="R150">
        <v>71</v>
      </c>
      <c r="S150" t="s">
        <v>95</v>
      </c>
    </row>
    <row r="151" spans="1:19" x14ac:dyDescent="0.2">
      <c r="A151">
        <v>3110694</v>
      </c>
      <c r="B151" s="49">
        <v>46112</v>
      </c>
      <c r="C151" t="s">
        <v>97</v>
      </c>
      <c r="D151" t="s">
        <v>14</v>
      </c>
      <c r="E151">
        <v>130</v>
      </c>
      <c r="F151">
        <v>0</v>
      </c>
      <c r="G151">
        <v>130</v>
      </c>
      <c r="H151">
        <v>10000</v>
      </c>
      <c r="I151">
        <v>100</v>
      </c>
      <c r="J151" t="s">
        <v>723</v>
      </c>
      <c r="K151" t="s">
        <v>107</v>
      </c>
      <c r="L151" t="s">
        <v>649</v>
      </c>
      <c r="M151" t="s">
        <v>895</v>
      </c>
      <c r="N151" t="s">
        <v>867</v>
      </c>
      <c r="O151" t="s">
        <v>888</v>
      </c>
      <c r="P151">
        <v>4992794</v>
      </c>
      <c r="Q151">
        <v>1</v>
      </c>
      <c r="R151">
        <v>73</v>
      </c>
      <c r="S151" t="s">
        <v>95</v>
      </c>
    </row>
    <row r="152" spans="1:19" x14ac:dyDescent="0.2">
      <c r="A152">
        <v>3110694</v>
      </c>
      <c r="B152" s="49">
        <v>46112</v>
      </c>
      <c r="C152" t="s">
        <v>97</v>
      </c>
      <c r="D152" t="s">
        <v>14</v>
      </c>
      <c r="E152">
        <v>380</v>
      </c>
      <c r="F152">
        <v>0</v>
      </c>
      <c r="G152">
        <v>380</v>
      </c>
      <c r="H152">
        <v>10000</v>
      </c>
      <c r="I152">
        <v>100</v>
      </c>
      <c r="J152" t="s">
        <v>723</v>
      </c>
      <c r="K152" t="s">
        <v>107</v>
      </c>
      <c r="L152" t="s">
        <v>649</v>
      </c>
      <c r="M152" t="s">
        <v>896</v>
      </c>
      <c r="N152" t="s">
        <v>867</v>
      </c>
      <c r="O152" t="s">
        <v>888</v>
      </c>
      <c r="P152">
        <v>4992794</v>
      </c>
      <c r="Q152">
        <v>1</v>
      </c>
      <c r="R152">
        <v>73</v>
      </c>
      <c r="S152" t="s">
        <v>95</v>
      </c>
    </row>
    <row r="153" spans="1:19" x14ac:dyDescent="0.2">
      <c r="A153">
        <v>3110694</v>
      </c>
      <c r="B153" s="49">
        <v>46112</v>
      </c>
      <c r="C153" t="s">
        <v>97</v>
      </c>
      <c r="D153" t="s">
        <v>14</v>
      </c>
      <c r="E153">
        <v>400</v>
      </c>
      <c r="F153">
        <v>0</v>
      </c>
      <c r="G153">
        <v>400</v>
      </c>
      <c r="H153">
        <v>10000</v>
      </c>
      <c r="I153">
        <v>100</v>
      </c>
      <c r="J153" t="s">
        <v>723</v>
      </c>
      <c r="K153" t="s">
        <v>107</v>
      </c>
      <c r="L153" t="s">
        <v>649</v>
      </c>
      <c r="M153" t="s">
        <v>897</v>
      </c>
      <c r="N153" t="s">
        <v>867</v>
      </c>
      <c r="O153" t="s">
        <v>888</v>
      </c>
      <c r="P153">
        <v>4992794</v>
      </c>
      <c r="Q153">
        <v>1</v>
      </c>
      <c r="R153">
        <v>73</v>
      </c>
      <c r="S153" t="s">
        <v>95</v>
      </c>
    </row>
    <row r="154" spans="1:19" x14ac:dyDescent="0.2">
      <c r="A154">
        <v>3110694</v>
      </c>
      <c r="B154" s="49">
        <v>46112</v>
      </c>
      <c r="C154" t="s">
        <v>97</v>
      </c>
      <c r="D154" t="s">
        <v>14</v>
      </c>
      <c r="E154">
        <v>498</v>
      </c>
      <c r="F154">
        <v>0</v>
      </c>
      <c r="G154">
        <v>498</v>
      </c>
      <c r="H154">
        <v>10000</v>
      </c>
      <c r="I154">
        <v>100</v>
      </c>
      <c r="J154" t="s">
        <v>723</v>
      </c>
      <c r="K154" t="s">
        <v>107</v>
      </c>
      <c r="L154" t="s">
        <v>649</v>
      </c>
      <c r="M154" t="s">
        <v>898</v>
      </c>
      <c r="N154" t="s">
        <v>867</v>
      </c>
      <c r="O154" t="s">
        <v>888</v>
      </c>
      <c r="P154">
        <v>4992794</v>
      </c>
      <c r="Q154">
        <v>1</v>
      </c>
      <c r="R154">
        <v>73</v>
      </c>
      <c r="S154" t="s">
        <v>95</v>
      </c>
    </row>
    <row r="155" spans="1:19" x14ac:dyDescent="0.2">
      <c r="A155">
        <v>3110694</v>
      </c>
      <c r="B155" s="49">
        <v>46112</v>
      </c>
      <c r="C155" t="s">
        <v>97</v>
      </c>
      <c r="D155" t="s">
        <v>14</v>
      </c>
      <c r="E155">
        <v>85</v>
      </c>
      <c r="F155">
        <v>0</v>
      </c>
      <c r="G155">
        <v>85</v>
      </c>
      <c r="H155">
        <v>10000</v>
      </c>
      <c r="I155">
        <v>100</v>
      </c>
      <c r="J155" t="s">
        <v>723</v>
      </c>
      <c r="K155" t="s">
        <v>107</v>
      </c>
      <c r="L155" t="s">
        <v>649</v>
      </c>
      <c r="M155" t="s">
        <v>899</v>
      </c>
      <c r="N155" t="s">
        <v>867</v>
      </c>
      <c r="O155" t="s">
        <v>888</v>
      </c>
      <c r="P155">
        <v>4992794</v>
      </c>
      <c r="Q155">
        <v>1</v>
      </c>
      <c r="R155">
        <v>73</v>
      </c>
      <c r="S155" t="s">
        <v>95</v>
      </c>
    </row>
    <row r="156" spans="1:19" x14ac:dyDescent="0.2">
      <c r="A156">
        <v>3110694</v>
      </c>
      <c r="B156" s="49">
        <v>46112</v>
      </c>
      <c r="C156" t="s">
        <v>97</v>
      </c>
      <c r="D156" t="s">
        <v>14</v>
      </c>
      <c r="E156">
        <v>3900</v>
      </c>
      <c r="F156">
        <v>0</v>
      </c>
      <c r="G156">
        <v>3900</v>
      </c>
      <c r="H156">
        <v>10000</v>
      </c>
      <c r="I156">
        <v>100</v>
      </c>
      <c r="J156" t="s">
        <v>723</v>
      </c>
      <c r="K156" t="s">
        <v>107</v>
      </c>
      <c r="L156" t="s">
        <v>649</v>
      </c>
      <c r="M156" t="s">
        <v>900</v>
      </c>
      <c r="N156" t="s">
        <v>867</v>
      </c>
      <c r="O156" t="s">
        <v>888</v>
      </c>
      <c r="P156">
        <v>4992794</v>
      </c>
      <c r="Q156">
        <v>1</v>
      </c>
      <c r="R156">
        <v>73</v>
      </c>
      <c r="S156" t="s">
        <v>95</v>
      </c>
    </row>
    <row r="157" spans="1:19" x14ac:dyDescent="0.2">
      <c r="A157">
        <v>3110694</v>
      </c>
      <c r="B157" s="49">
        <v>46112</v>
      </c>
      <c r="C157" t="s">
        <v>97</v>
      </c>
      <c r="D157" t="s">
        <v>14</v>
      </c>
      <c r="E157">
        <v>500</v>
      </c>
      <c r="F157">
        <v>0</v>
      </c>
      <c r="G157">
        <v>500</v>
      </c>
      <c r="H157">
        <v>10000</v>
      </c>
      <c r="I157">
        <v>100</v>
      </c>
      <c r="J157" t="s">
        <v>723</v>
      </c>
      <c r="K157" t="s">
        <v>107</v>
      </c>
      <c r="L157" t="s">
        <v>649</v>
      </c>
      <c r="M157" t="s">
        <v>901</v>
      </c>
      <c r="N157" t="s">
        <v>867</v>
      </c>
      <c r="O157" t="s">
        <v>888</v>
      </c>
      <c r="P157">
        <v>4992794</v>
      </c>
      <c r="Q157">
        <v>1</v>
      </c>
      <c r="R157">
        <v>73</v>
      </c>
      <c r="S157" t="s">
        <v>95</v>
      </c>
    </row>
    <row r="158" spans="1:19" x14ac:dyDescent="0.2">
      <c r="A158">
        <v>3110694</v>
      </c>
      <c r="B158" s="49">
        <v>46112</v>
      </c>
      <c r="C158" t="s">
        <v>97</v>
      </c>
      <c r="D158" t="s">
        <v>14</v>
      </c>
      <c r="E158">
        <v>205</v>
      </c>
      <c r="F158">
        <v>0</v>
      </c>
      <c r="G158">
        <v>205</v>
      </c>
      <c r="H158">
        <v>10000</v>
      </c>
      <c r="I158">
        <v>100</v>
      </c>
      <c r="J158" t="s">
        <v>723</v>
      </c>
      <c r="K158" t="s">
        <v>107</v>
      </c>
      <c r="L158" t="s">
        <v>649</v>
      </c>
      <c r="M158" t="s">
        <v>902</v>
      </c>
      <c r="N158" t="s">
        <v>867</v>
      </c>
      <c r="O158" t="s">
        <v>888</v>
      </c>
      <c r="P158">
        <v>4992794</v>
      </c>
      <c r="Q158">
        <v>1</v>
      </c>
      <c r="R158">
        <v>73</v>
      </c>
      <c r="S158" t="s">
        <v>95</v>
      </c>
    </row>
    <row r="159" spans="1:19" x14ac:dyDescent="0.2">
      <c r="A159">
        <v>3110694</v>
      </c>
      <c r="B159" s="49">
        <v>46112</v>
      </c>
      <c r="C159" t="s">
        <v>97</v>
      </c>
      <c r="D159" t="s">
        <v>14</v>
      </c>
      <c r="E159">
        <v>500</v>
      </c>
      <c r="F159">
        <v>0</v>
      </c>
      <c r="G159">
        <v>500</v>
      </c>
      <c r="H159">
        <v>10000</v>
      </c>
      <c r="I159">
        <v>100</v>
      </c>
      <c r="J159" t="s">
        <v>723</v>
      </c>
      <c r="K159" t="s">
        <v>107</v>
      </c>
      <c r="L159" t="s">
        <v>649</v>
      </c>
      <c r="M159" t="s">
        <v>903</v>
      </c>
      <c r="N159" t="s">
        <v>867</v>
      </c>
      <c r="O159" t="s">
        <v>888</v>
      </c>
      <c r="P159">
        <v>4992794</v>
      </c>
      <c r="Q159">
        <v>1</v>
      </c>
      <c r="R159">
        <v>73</v>
      </c>
      <c r="S159" t="s">
        <v>95</v>
      </c>
    </row>
    <row r="160" spans="1:19" x14ac:dyDescent="0.2">
      <c r="A160">
        <v>3110694</v>
      </c>
      <c r="B160" s="49">
        <v>46112</v>
      </c>
      <c r="C160" t="s">
        <v>97</v>
      </c>
      <c r="D160" t="s">
        <v>14</v>
      </c>
      <c r="E160">
        <v>540</v>
      </c>
      <c r="F160">
        <v>0</v>
      </c>
      <c r="G160">
        <v>540</v>
      </c>
      <c r="H160">
        <v>10000</v>
      </c>
      <c r="I160">
        <v>100</v>
      </c>
      <c r="J160" t="s">
        <v>723</v>
      </c>
      <c r="K160" t="s">
        <v>107</v>
      </c>
      <c r="L160" t="s">
        <v>649</v>
      </c>
      <c r="M160" t="s">
        <v>904</v>
      </c>
      <c r="N160" t="s">
        <v>867</v>
      </c>
      <c r="O160" t="s">
        <v>888</v>
      </c>
      <c r="P160">
        <v>4992794</v>
      </c>
      <c r="Q160">
        <v>1</v>
      </c>
      <c r="R160">
        <v>73</v>
      </c>
      <c r="S160" t="s">
        <v>95</v>
      </c>
    </row>
    <row r="161" spans="1:19" x14ac:dyDescent="0.2">
      <c r="A161">
        <v>3088415</v>
      </c>
      <c r="B161" s="49">
        <v>46108</v>
      </c>
      <c r="C161" t="s">
        <v>97</v>
      </c>
      <c r="D161" t="s">
        <v>14</v>
      </c>
      <c r="E161">
        <v>2597</v>
      </c>
      <c r="F161">
        <v>0</v>
      </c>
      <c r="G161">
        <v>2597</v>
      </c>
      <c r="H161">
        <v>10000</v>
      </c>
      <c r="I161">
        <v>100</v>
      </c>
      <c r="J161" t="s">
        <v>723</v>
      </c>
      <c r="K161" t="s">
        <v>107</v>
      </c>
      <c r="L161" t="s">
        <v>724</v>
      </c>
      <c r="M161" t="s">
        <v>725</v>
      </c>
      <c r="N161" t="s">
        <v>183</v>
      </c>
      <c r="O161" t="s">
        <v>642</v>
      </c>
      <c r="P161">
        <v>4975476</v>
      </c>
      <c r="Q161">
        <v>1</v>
      </c>
      <c r="R161">
        <v>73</v>
      </c>
      <c r="S161" t="s">
        <v>95</v>
      </c>
    </row>
    <row r="162" spans="1:19" x14ac:dyDescent="0.2">
      <c r="A162">
        <v>3088409</v>
      </c>
      <c r="B162" s="49">
        <v>46108</v>
      </c>
      <c r="C162" t="s">
        <v>97</v>
      </c>
      <c r="D162" t="s">
        <v>14</v>
      </c>
      <c r="E162">
        <v>1565.2</v>
      </c>
      <c r="F162">
        <v>0</v>
      </c>
      <c r="G162">
        <v>1565.2</v>
      </c>
      <c r="H162">
        <v>10000</v>
      </c>
      <c r="I162">
        <v>100</v>
      </c>
      <c r="J162" t="s">
        <v>723</v>
      </c>
      <c r="K162" t="s">
        <v>107</v>
      </c>
      <c r="L162" t="s">
        <v>640</v>
      </c>
      <c r="M162" t="s">
        <v>726</v>
      </c>
      <c r="N162" t="s">
        <v>183</v>
      </c>
      <c r="O162" t="s">
        <v>642</v>
      </c>
      <c r="P162">
        <v>4975474</v>
      </c>
      <c r="Q162">
        <v>1</v>
      </c>
      <c r="R162">
        <v>73</v>
      </c>
      <c r="S162" t="s">
        <v>95</v>
      </c>
    </row>
    <row r="163" spans="1:19" x14ac:dyDescent="0.2">
      <c r="A163">
        <v>3088409</v>
      </c>
      <c r="B163" s="49">
        <v>46108</v>
      </c>
      <c r="C163" t="s">
        <v>97</v>
      </c>
      <c r="D163" t="s">
        <v>14</v>
      </c>
      <c r="E163">
        <v>2120.87</v>
      </c>
      <c r="F163">
        <v>0</v>
      </c>
      <c r="G163">
        <v>2120.87</v>
      </c>
      <c r="H163">
        <v>10000</v>
      </c>
      <c r="I163">
        <v>100</v>
      </c>
      <c r="J163" t="s">
        <v>723</v>
      </c>
      <c r="K163" t="s">
        <v>107</v>
      </c>
      <c r="L163" t="s">
        <v>640</v>
      </c>
      <c r="M163" t="s">
        <v>727</v>
      </c>
      <c r="N163" t="s">
        <v>183</v>
      </c>
      <c r="O163" t="s">
        <v>642</v>
      </c>
      <c r="P163">
        <v>4975474</v>
      </c>
      <c r="Q163">
        <v>1</v>
      </c>
      <c r="R163">
        <v>73</v>
      </c>
      <c r="S163" t="s">
        <v>95</v>
      </c>
    </row>
    <row r="164" spans="1:19" x14ac:dyDescent="0.2">
      <c r="A164">
        <v>3040736</v>
      </c>
      <c r="B164" s="49">
        <v>46087</v>
      </c>
      <c r="C164" t="s">
        <v>97</v>
      </c>
      <c r="D164" t="s">
        <v>14</v>
      </c>
      <c r="E164">
        <v>945</v>
      </c>
      <c r="F164">
        <v>0</v>
      </c>
      <c r="G164">
        <v>945</v>
      </c>
      <c r="H164">
        <v>10000</v>
      </c>
      <c r="I164">
        <v>100</v>
      </c>
      <c r="J164" t="s">
        <v>344</v>
      </c>
      <c r="K164" t="s">
        <v>110</v>
      </c>
      <c r="L164" t="s">
        <v>272</v>
      </c>
      <c r="M164" t="s">
        <v>345</v>
      </c>
      <c r="N164" t="s">
        <v>109</v>
      </c>
      <c r="O164" t="s">
        <v>274</v>
      </c>
      <c r="P164">
        <v>4936012</v>
      </c>
      <c r="Q164">
        <v>1</v>
      </c>
      <c r="R164">
        <v>74</v>
      </c>
      <c r="S164" t="s">
        <v>95</v>
      </c>
    </row>
    <row r="165" spans="1:19" x14ac:dyDescent="0.2">
      <c r="A165">
        <v>3097645</v>
      </c>
      <c r="B165" s="49">
        <v>46101</v>
      </c>
      <c r="C165" t="s">
        <v>97</v>
      </c>
      <c r="D165" t="s">
        <v>14</v>
      </c>
      <c r="E165">
        <v>1200</v>
      </c>
      <c r="F165">
        <v>0</v>
      </c>
      <c r="G165">
        <v>1200</v>
      </c>
      <c r="H165">
        <v>5000</v>
      </c>
      <c r="I165">
        <v>50</v>
      </c>
      <c r="J165" t="s">
        <v>573</v>
      </c>
      <c r="K165" t="s">
        <v>117</v>
      </c>
      <c r="L165" t="s">
        <v>839</v>
      </c>
      <c r="M165" t="s">
        <v>839</v>
      </c>
      <c r="N165" t="s">
        <v>109</v>
      </c>
      <c r="O165" t="s">
        <v>819</v>
      </c>
      <c r="P165">
        <v>4977761</v>
      </c>
      <c r="Q165">
        <v>1</v>
      </c>
      <c r="R165">
        <v>76</v>
      </c>
      <c r="S165" t="s">
        <v>95</v>
      </c>
    </row>
    <row r="166" spans="1:19" x14ac:dyDescent="0.2">
      <c r="A166">
        <v>3096068</v>
      </c>
      <c r="B166" s="49">
        <v>46084</v>
      </c>
      <c r="C166" t="s">
        <v>97</v>
      </c>
      <c r="D166" t="s">
        <v>14</v>
      </c>
      <c r="E166">
        <v>3500</v>
      </c>
      <c r="F166">
        <v>0</v>
      </c>
      <c r="G166">
        <v>3500</v>
      </c>
      <c r="H166">
        <v>10000</v>
      </c>
      <c r="I166">
        <v>100</v>
      </c>
      <c r="J166" t="s">
        <v>573</v>
      </c>
      <c r="K166" t="s">
        <v>117</v>
      </c>
      <c r="L166" t="s">
        <v>845</v>
      </c>
      <c r="M166" t="s">
        <v>845</v>
      </c>
      <c r="N166" t="s">
        <v>109</v>
      </c>
      <c r="O166" t="s">
        <v>846</v>
      </c>
      <c r="P166">
        <v>4977659</v>
      </c>
      <c r="Q166">
        <v>1</v>
      </c>
      <c r="R166">
        <v>76</v>
      </c>
      <c r="S166" t="s">
        <v>95</v>
      </c>
    </row>
    <row r="167" spans="1:19" x14ac:dyDescent="0.2">
      <c r="A167">
        <v>3094558</v>
      </c>
      <c r="B167" s="49">
        <v>46112</v>
      </c>
      <c r="C167" t="s">
        <v>97</v>
      </c>
      <c r="D167" t="s">
        <v>14</v>
      </c>
      <c r="E167">
        <v>3070</v>
      </c>
      <c r="F167">
        <v>0</v>
      </c>
      <c r="G167">
        <v>3070</v>
      </c>
      <c r="H167">
        <v>10000</v>
      </c>
      <c r="I167">
        <v>100</v>
      </c>
      <c r="J167" t="s">
        <v>573</v>
      </c>
      <c r="K167" t="s">
        <v>117</v>
      </c>
      <c r="L167" t="s">
        <v>847</v>
      </c>
      <c r="M167" t="s">
        <v>517</v>
      </c>
      <c r="N167" t="s">
        <v>109</v>
      </c>
      <c r="O167" t="s">
        <v>817</v>
      </c>
      <c r="P167">
        <v>4977628</v>
      </c>
      <c r="Q167">
        <v>1</v>
      </c>
      <c r="R167">
        <v>76</v>
      </c>
      <c r="S167" t="s">
        <v>95</v>
      </c>
    </row>
    <row r="168" spans="1:19" x14ac:dyDescent="0.2">
      <c r="A168">
        <v>3088392</v>
      </c>
      <c r="B168" s="49">
        <v>46100</v>
      </c>
      <c r="C168" t="s">
        <v>97</v>
      </c>
      <c r="D168" t="s">
        <v>14</v>
      </c>
      <c r="E168">
        <v>4394.91</v>
      </c>
      <c r="F168">
        <v>0</v>
      </c>
      <c r="G168">
        <v>4394.91</v>
      </c>
      <c r="H168">
        <v>10000</v>
      </c>
      <c r="I168">
        <v>100</v>
      </c>
      <c r="J168" t="s">
        <v>573</v>
      </c>
      <c r="K168" t="s">
        <v>117</v>
      </c>
      <c r="L168" t="s">
        <v>659</v>
      </c>
      <c r="M168" t="s">
        <v>728</v>
      </c>
      <c r="N168" t="s">
        <v>183</v>
      </c>
      <c r="O168" t="s">
        <v>642</v>
      </c>
      <c r="P168">
        <v>4975459</v>
      </c>
      <c r="Q168">
        <v>1</v>
      </c>
      <c r="R168">
        <v>76</v>
      </c>
      <c r="S168" t="s">
        <v>95</v>
      </c>
    </row>
    <row r="169" spans="1:19" x14ac:dyDescent="0.2">
      <c r="A169">
        <v>3096061</v>
      </c>
      <c r="B169" s="49">
        <v>46112</v>
      </c>
      <c r="C169" t="s">
        <v>97</v>
      </c>
      <c r="D169" t="s">
        <v>14</v>
      </c>
      <c r="E169">
        <v>3225</v>
      </c>
      <c r="F169">
        <v>0</v>
      </c>
      <c r="G169">
        <v>3225</v>
      </c>
      <c r="H169">
        <v>10000</v>
      </c>
      <c r="I169">
        <v>100</v>
      </c>
      <c r="J169" t="s">
        <v>462</v>
      </c>
      <c r="K169" t="s">
        <v>118</v>
      </c>
      <c r="L169" t="s">
        <v>848</v>
      </c>
      <c r="M169" t="s">
        <v>517</v>
      </c>
      <c r="N169" t="s">
        <v>109</v>
      </c>
      <c r="O169" t="s">
        <v>828</v>
      </c>
      <c r="P169">
        <v>4977647</v>
      </c>
      <c r="Q169">
        <v>1</v>
      </c>
      <c r="R169">
        <v>77</v>
      </c>
      <c r="S169" t="s">
        <v>95</v>
      </c>
    </row>
    <row r="170" spans="1:19" x14ac:dyDescent="0.2">
      <c r="A170">
        <v>3083726</v>
      </c>
      <c r="B170" s="49">
        <v>46102</v>
      </c>
      <c r="C170" t="s">
        <v>97</v>
      </c>
      <c r="D170" t="s">
        <v>14</v>
      </c>
      <c r="E170">
        <v>4100</v>
      </c>
      <c r="F170">
        <v>0</v>
      </c>
      <c r="G170">
        <v>4100</v>
      </c>
      <c r="H170">
        <v>10000</v>
      </c>
      <c r="I170">
        <v>100</v>
      </c>
      <c r="J170" t="s">
        <v>462</v>
      </c>
      <c r="K170" t="s">
        <v>118</v>
      </c>
      <c r="L170" t="s">
        <v>649</v>
      </c>
      <c r="M170" t="s">
        <v>729</v>
      </c>
      <c r="N170" t="s">
        <v>198</v>
      </c>
      <c r="O170" t="s">
        <v>684</v>
      </c>
      <c r="P170">
        <v>4971287</v>
      </c>
      <c r="Q170">
        <v>1</v>
      </c>
      <c r="R170">
        <v>77</v>
      </c>
      <c r="S170" t="s">
        <v>95</v>
      </c>
    </row>
    <row r="171" spans="1:19" x14ac:dyDescent="0.2">
      <c r="A171">
        <v>3083688</v>
      </c>
      <c r="B171" s="49">
        <v>46093</v>
      </c>
      <c r="C171" t="s">
        <v>97</v>
      </c>
      <c r="D171" t="s">
        <v>14</v>
      </c>
      <c r="E171">
        <v>2840</v>
      </c>
      <c r="F171">
        <v>0</v>
      </c>
      <c r="G171">
        <v>2840</v>
      </c>
      <c r="H171">
        <v>10000</v>
      </c>
      <c r="I171">
        <v>100</v>
      </c>
      <c r="J171" t="s">
        <v>462</v>
      </c>
      <c r="K171" t="s">
        <v>118</v>
      </c>
      <c r="L171" t="s">
        <v>685</v>
      </c>
      <c r="M171" t="s">
        <v>730</v>
      </c>
      <c r="N171" t="s">
        <v>198</v>
      </c>
      <c r="O171" t="s">
        <v>687</v>
      </c>
      <c r="P171">
        <v>4971251</v>
      </c>
      <c r="Q171">
        <v>1</v>
      </c>
      <c r="R171">
        <v>77</v>
      </c>
      <c r="S171" t="s">
        <v>95</v>
      </c>
    </row>
    <row r="172" spans="1:19" x14ac:dyDescent="0.2">
      <c r="A172">
        <v>3110691</v>
      </c>
      <c r="B172" s="49">
        <v>46112</v>
      </c>
      <c r="C172" t="s">
        <v>97</v>
      </c>
      <c r="D172" t="s">
        <v>14</v>
      </c>
      <c r="E172">
        <v>83</v>
      </c>
      <c r="F172">
        <v>0</v>
      </c>
      <c r="G172">
        <v>83</v>
      </c>
      <c r="H172">
        <v>10000</v>
      </c>
      <c r="I172">
        <v>100</v>
      </c>
      <c r="J172" t="s">
        <v>577</v>
      </c>
      <c r="K172" t="s">
        <v>119</v>
      </c>
      <c r="L172" t="s">
        <v>649</v>
      </c>
      <c r="M172" t="s">
        <v>905</v>
      </c>
      <c r="N172" t="s">
        <v>867</v>
      </c>
      <c r="O172" t="s">
        <v>876</v>
      </c>
      <c r="P172">
        <v>4992791</v>
      </c>
      <c r="Q172">
        <v>1</v>
      </c>
      <c r="R172">
        <v>78</v>
      </c>
      <c r="S172" t="s">
        <v>95</v>
      </c>
    </row>
    <row r="173" spans="1:19" x14ac:dyDescent="0.2">
      <c r="A173">
        <v>3110691</v>
      </c>
      <c r="B173" s="49">
        <v>46112</v>
      </c>
      <c r="C173" t="s">
        <v>97</v>
      </c>
      <c r="D173" t="s">
        <v>14</v>
      </c>
      <c r="E173">
        <v>35</v>
      </c>
      <c r="F173">
        <v>0</v>
      </c>
      <c r="G173">
        <v>35</v>
      </c>
      <c r="H173">
        <v>10000</v>
      </c>
      <c r="I173">
        <v>100</v>
      </c>
      <c r="J173" t="s">
        <v>577</v>
      </c>
      <c r="K173" t="s">
        <v>119</v>
      </c>
      <c r="L173" t="s">
        <v>649</v>
      </c>
      <c r="M173" t="s">
        <v>906</v>
      </c>
      <c r="N173" t="s">
        <v>867</v>
      </c>
      <c r="O173" t="s">
        <v>876</v>
      </c>
      <c r="P173">
        <v>4992791</v>
      </c>
      <c r="Q173">
        <v>1</v>
      </c>
      <c r="R173">
        <v>78</v>
      </c>
      <c r="S173" t="s">
        <v>95</v>
      </c>
    </row>
    <row r="174" spans="1:19" x14ac:dyDescent="0.2">
      <c r="A174">
        <v>3088399</v>
      </c>
      <c r="B174" s="49">
        <v>46097</v>
      </c>
      <c r="C174" t="s">
        <v>97</v>
      </c>
      <c r="D174" t="s">
        <v>14</v>
      </c>
      <c r="E174">
        <v>165</v>
      </c>
      <c r="F174">
        <v>0</v>
      </c>
      <c r="G174">
        <v>165</v>
      </c>
      <c r="H174">
        <v>10000</v>
      </c>
      <c r="I174">
        <v>100</v>
      </c>
      <c r="J174" t="s">
        <v>577</v>
      </c>
      <c r="K174" t="s">
        <v>119</v>
      </c>
      <c r="L174" t="s">
        <v>701</v>
      </c>
      <c r="M174" t="s">
        <v>731</v>
      </c>
      <c r="N174" t="s">
        <v>183</v>
      </c>
      <c r="O174" t="s">
        <v>642</v>
      </c>
      <c r="P174">
        <v>4975465</v>
      </c>
      <c r="Q174">
        <v>1</v>
      </c>
      <c r="R174">
        <v>78</v>
      </c>
      <c r="S174" t="s">
        <v>95</v>
      </c>
    </row>
    <row r="175" spans="1:19" x14ac:dyDescent="0.2">
      <c r="A175">
        <v>3110689</v>
      </c>
      <c r="B175" s="49">
        <v>46112</v>
      </c>
      <c r="C175" t="s">
        <v>97</v>
      </c>
      <c r="D175" t="s">
        <v>14</v>
      </c>
      <c r="E175">
        <v>200</v>
      </c>
      <c r="F175">
        <v>0</v>
      </c>
      <c r="G175">
        <v>200</v>
      </c>
      <c r="H175">
        <v>10000</v>
      </c>
      <c r="I175">
        <v>100</v>
      </c>
      <c r="J175" t="s">
        <v>203</v>
      </c>
      <c r="K175" t="s">
        <v>120</v>
      </c>
      <c r="L175" t="s">
        <v>649</v>
      </c>
      <c r="M175" t="s">
        <v>907</v>
      </c>
      <c r="N175" t="s">
        <v>867</v>
      </c>
      <c r="O175" t="s">
        <v>870</v>
      </c>
      <c r="P175">
        <v>4992789</v>
      </c>
      <c r="Q175">
        <v>1</v>
      </c>
      <c r="R175">
        <v>79</v>
      </c>
      <c r="S175" t="s">
        <v>95</v>
      </c>
    </row>
    <row r="176" spans="1:19" x14ac:dyDescent="0.2">
      <c r="A176">
        <v>3110689</v>
      </c>
      <c r="B176" s="49">
        <v>46112</v>
      </c>
      <c r="C176" t="s">
        <v>97</v>
      </c>
      <c r="D176" t="s">
        <v>14</v>
      </c>
      <c r="E176">
        <v>64</v>
      </c>
      <c r="F176">
        <v>0</v>
      </c>
      <c r="G176">
        <v>64</v>
      </c>
      <c r="H176">
        <v>10000</v>
      </c>
      <c r="I176">
        <v>100</v>
      </c>
      <c r="J176" t="s">
        <v>203</v>
      </c>
      <c r="K176" t="s">
        <v>120</v>
      </c>
      <c r="L176" t="s">
        <v>649</v>
      </c>
      <c r="M176" t="s">
        <v>908</v>
      </c>
      <c r="N176" t="s">
        <v>867</v>
      </c>
      <c r="O176" t="s">
        <v>870</v>
      </c>
      <c r="P176">
        <v>4992789</v>
      </c>
      <c r="Q176">
        <v>1</v>
      </c>
      <c r="R176">
        <v>79</v>
      </c>
      <c r="S176" t="s">
        <v>95</v>
      </c>
    </row>
    <row r="177" spans="1:19" x14ac:dyDescent="0.2">
      <c r="A177">
        <v>3110689</v>
      </c>
      <c r="B177" s="49">
        <v>46112</v>
      </c>
      <c r="C177" t="s">
        <v>97</v>
      </c>
      <c r="D177" t="s">
        <v>14</v>
      </c>
      <c r="E177">
        <v>70</v>
      </c>
      <c r="F177">
        <v>0</v>
      </c>
      <c r="G177">
        <v>70</v>
      </c>
      <c r="H177">
        <v>10000</v>
      </c>
      <c r="I177">
        <v>100</v>
      </c>
      <c r="J177" t="s">
        <v>203</v>
      </c>
      <c r="K177" t="s">
        <v>120</v>
      </c>
      <c r="L177" t="s">
        <v>649</v>
      </c>
      <c r="M177" t="s">
        <v>908</v>
      </c>
      <c r="N177" t="s">
        <v>867</v>
      </c>
      <c r="O177" t="s">
        <v>870</v>
      </c>
      <c r="P177">
        <v>4992789</v>
      </c>
      <c r="Q177">
        <v>1</v>
      </c>
      <c r="R177">
        <v>79</v>
      </c>
      <c r="S177" t="s">
        <v>95</v>
      </c>
    </row>
    <row r="178" spans="1:19" x14ac:dyDescent="0.2">
      <c r="A178">
        <v>3110689</v>
      </c>
      <c r="B178" s="49">
        <v>46112</v>
      </c>
      <c r="C178" t="s">
        <v>97</v>
      </c>
      <c r="D178" t="s">
        <v>14</v>
      </c>
      <c r="E178">
        <v>600</v>
      </c>
      <c r="F178">
        <v>0</v>
      </c>
      <c r="G178">
        <v>600</v>
      </c>
      <c r="H178">
        <v>10000</v>
      </c>
      <c r="I178">
        <v>100</v>
      </c>
      <c r="J178" t="s">
        <v>203</v>
      </c>
      <c r="K178" t="s">
        <v>120</v>
      </c>
      <c r="L178" t="s">
        <v>649</v>
      </c>
      <c r="M178" t="s">
        <v>909</v>
      </c>
      <c r="N178" t="s">
        <v>867</v>
      </c>
      <c r="O178" t="s">
        <v>870</v>
      </c>
      <c r="P178">
        <v>4992789</v>
      </c>
      <c r="Q178">
        <v>1</v>
      </c>
      <c r="R178">
        <v>79</v>
      </c>
      <c r="S178" t="s">
        <v>95</v>
      </c>
    </row>
    <row r="179" spans="1:19" x14ac:dyDescent="0.2">
      <c r="A179">
        <v>3026938</v>
      </c>
      <c r="B179" s="49">
        <v>46093</v>
      </c>
      <c r="C179" t="s">
        <v>97</v>
      </c>
      <c r="D179" t="s">
        <v>14</v>
      </c>
      <c r="E179">
        <v>19840</v>
      </c>
      <c r="F179">
        <v>0</v>
      </c>
      <c r="G179">
        <v>19840</v>
      </c>
      <c r="H179">
        <v>10000</v>
      </c>
      <c r="I179">
        <v>100</v>
      </c>
      <c r="J179" t="s">
        <v>203</v>
      </c>
      <c r="K179" t="s">
        <v>120</v>
      </c>
      <c r="L179" t="s">
        <v>200</v>
      </c>
      <c r="M179" t="s">
        <v>223</v>
      </c>
      <c r="N179" t="s">
        <v>198</v>
      </c>
      <c r="O179" t="s">
        <v>211</v>
      </c>
      <c r="P179">
        <v>4924490</v>
      </c>
      <c r="Q179">
        <v>1</v>
      </c>
      <c r="R179">
        <v>79</v>
      </c>
      <c r="S179" t="s">
        <v>95</v>
      </c>
    </row>
    <row r="180" spans="1:19" x14ac:dyDescent="0.2">
      <c r="A180">
        <v>3097664</v>
      </c>
      <c r="B180" s="49">
        <v>46100</v>
      </c>
      <c r="C180" t="s">
        <v>97</v>
      </c>
      <c r="D180" t="s">
        <v>14</v>
      </c>
      <c r="E180">
        <v>3345</v>
      </c>
      <c r="F180">
        <v>0</v>
      </c>
      <c r="G180">
        <v>3345</v>
      </c>
      <c r="H180">
        <v>10000</v>
      </c>
      <c r="I180">
        <v>100</v>
      </c>
      <c r="J180" t="s">
        <v>380</v>
      </c>
      <c r="K180" t="s">
        <v>123</v>
      </c>
      <c r="L180" t="s">
        <v>842</v>
      </c>
      <c r="M180" t="s">
        <v>849</v>
      </c>
      <c r="N180" t="s">
        <v>109</v>
      </c>
      <c r="O180" t="s">
        <v>819</v>
      </c>
      <c r="P180">
        <v>4977768</v>
      </c>
      <c r="Q180">
        <v>1</v>
      </c>
      <c r="R180">
        <v>81</v>
      </c>
      <c r="S180" t="s">
        <v>95</v>
      </c>
    </row>
    <row r="181" spans="1:19" x14ac:dyDescent="0.2">
      <c r="A181">
        <v>3088464</v>
      </c>
      <c r="B181" s="49">
        <v>46105</v>
      </c>
      <c r="C181" t="s">
        <v>97</v>
      </c>
      <c r="D181" t="s">
        <v>14</v>
      </c>
      <c r="E181">
        <v>21041.01</v>
      </c>
      <c r="F181">
        <v>0</v>
      </c>
      <c r="G181">
        <v>21041.01</v>
      </c>
      <c r="H181">
        <v>10000</v>
      </c>
      <c r="I181">
        <v>100</v>
      </c>
      <c r="J181" t="s">
        <v>380</v>
      </c>
      <c r="K181" t="s">
        <v>123</v>
      </c>
      <c r="L181" t="s">
        <v>732</v>
      </c>
      <c r="M181" t="s">
        <v>733</v>
      </c>
      <c r="N181" t="s">
        <v>109</v>
      </c>
      <c r="O181" t="s">
        <v>674</v>
      </c>
      <c r="P181">
        <v>4975505</v>
      </c>
      <c r="Q181">
        <v>1</v>
      </c>
      <c r="R181">
        <v>81</v>
      </c>
      <c r="S181" t="s">
        <v>95</v>
      </c>
    </row>
    <row r="182" spans="1:19" x14ac:dyDescent="0.2">
      <c r="A182">
        <v>3110691</v>
      </c>
      <c r="B182" s="49">
        <v>46112</v>
      </c>
      <c r="C182" t="s">
        <v>97</v>
      </c>
      <c r="D182" t="s">
        <v>14</v>
      </c>
      <c r="E182">
        <v>195</v>
      </c>
      <c r="F182">
        <v>0</v>
      </c>
      <c r="G182">
        <v>195</v>
      </c>
      <c r="H182">
        <v>10000</v>
      </c>
      <c r="I182">
        <v>100</v>
      </c>
      <c r="J182" t="s">
        <v>346</v>
      </c>
      <c r="K182" t="s">
        <v>124</v>
      </c>
      <c r="L182" t="s">
        <v>649</v>
      </c>
      <c r="M182" t="s">
        <v>910</v>
      </c>
      <c r="N182" t="s">
        <v>867</v>
      </c>
      <c r="O182" t="s">
        <v>876</v>
      </c>
      <c r="P182">
        <v>4992791</v>
      </c>
      <c r="Q182">
        <v>1</v>
      </c>
      <c r="R182">
        <v>82</v>
      </c>
      <c r="S182" t="s">
        <v>95</v>
      </c>
    </row>
    <row r="183" spans="1:19" x14ac:dyDescent="0.2">
      <c r="A183">
        <v>3107977</v>
      </c>
      <c r="B183" s="49">
        <v>46112</v>
      </c>
      <c r="C183" t="s">
        <v>97</v>
      </c>
      <c r="D183" t="s">
        <v>14</v>
      </c>
      <c r="E183">
        <v>0</v>
      </c>
      <c r="F183">
        <v>14649.72</v>
      </c>
      <c r="G183">
        <v>-14649.72</v>
      </c>
      <c r="H183">
        <v>10000</v>
      </c>
      <c r="I183">
        <v>100</v>
      </c>
      <c r="J183" t="s">
        <v>346</v>
      </c>
      <c r="K183" t="s">
        <v>124</v>
      </c>
      <c r="L183" t="s">
        <v>911</v>
      </c>
      <c r="M183" t="s">
        <v>911</v>
      </c>
      <c r="N183" t="s">
        <v>880</v>
      </c>
      <c r="O183" t="s">
        <v>881</v>
      </c>
      <c r="P183">
        <v>4992086</v>
      </c>
      <c r="Q183">
        <v>1</v>
      </c>
      <c r="R183">
        <v>82</v>
      </c>
      <c r="S183" t="s">
        <v>95</v>
      </c>
    </row>
    <row r="184" spans="1:19" x14ac:dyDescent="0.2">
      <c r="A184">
        <v>3043549</v>
      </c>
      <c r="B184" s="49">
        <v>46094</v>
      </c>
      <c r="C184" t="s">
        <v>97</v>
      </c>
      <c r="D184" t="s">
        <v>14</v>
      </c>
      <c r="E184">
        <v>14649.72</v>
      </c>
      <c r="F184">
        <v>0</v>
      </c>
      <c r="G184">
        <v>14649.72</v>
      </c>
      <c r="H184">
        <v>10000</v>
      </c>
      <c r="I184">
        <v>100</v>
      </c>
      <c r="J184" t="s">
        <v>346</v>
      </c>
      <c r="K184" t="s">
        <v>124</v>
      </c>
      <c r="L184" t="s">
        <v>347</v>
      </c>
      <c r="M184" t="s">
        <v>348</v>
      </c>
      <c r="N184" t="s">
        <v>109</v>
      </c>
      <c r="O184" t="s">
        <v>349</v>
      </c>
      <c r="P184">
        <v>4939473</v>
      </c>
      <c r="Q184">
        <v>1</v>
      </c>
      <c r="R184">
        <v>82</v>
      </c>
      <c r="S184" t="s">
        <v>95</v>
      </c>
    </row>
    <row r="185" spans="1:19" x14ac:dyDescent="0.2">
      <c r="A185">
        <v>3096062</v>
      </c>
      <c r="B185" s="49">
        <v>46112</v>
      </c>
      <c r="C185" t="s">
        <v>97</v>
      </c>
      <c r="D185" t="s">
        <v>14</v>
      </c>
      <c r="E185">
        <v>9225</v>
      </c>
      <c r="F185">
        <v>0</v>
      </c>
      <c r="G185">
        <v>9225</v>
      </c>
      <c r="H185">
        <v>10000</v>
      </c>
      <c r="I185">
        <v>100</v>
      </c>
      <c r="J185" t="s">
        <v>350</v>
      </c>
      <c r="K185" t="s">
        <v>125</v>
      </c>
      <c r="L185" t="s">
        <v>850</v>
      </c>
      <c r="M185" t="s">
        <v>517</v>
      </c>
      <c r="N185" t="s">
        <v>109</v>
      </c>
      <c r="O185" t="s">
        <v>828</v>
      </c>
      <c r="P185">
        <v>4977648</v>
      </c>
      <c r="Q185">
        <v>1</v>
      </c>
      <c r="R185">
        <v>83</v>
      </c>
      <c r="S185" t="s">
        <v>95</v>
      </c>
    </row>
    <row r="186" spans="1:19" x14ac:dyDescent="0.2">
      <c r="A186">
        <v>3094560</v>
      </c>
      <c r="B186" s="49">
        <v>46112</v>
      </c>
      <c r="C186" t="s">
        <v>97</v>
      </c>
      <c r="D186" t="s">
        <v>14</v>
      </c>
      <c r="E186">
        <v>1050</v>
      </c>
      <c r="F186">
        <v>0</v>
      </c>
      <c r="G186">
        <v>1050</v>
      </c>
      <c r="H186">
        <v>10000</v>
      </c>
      <c r="I186">
        <v>100</v>
      </c>
      <c r="J186" t="s">
        <v>350</v>
      </c>
      <c r="K186" t="s">
        <v>125</v>
      </c>
      <c r="L186" t="s">
        <v>851</v>
      </c>
      <c r="M186" t="s">
        <v>517</v>
      </c>
      <c r="N186" t="s">
        <v>109</v>
      </c>
      <c r="O186" t="s">
        <v>817</v>
      </c>
      <c r="P186">
        <v>4977630</v>
      </c>
      <c r="Q186">
        <v>1</v>
      </c>
      <c r="R186">
        <v>83</v>
      </c>
      <c r="S186" t="s">
        <v>95</v>
      </c>
    </row>
    <row r="187" spans="1:19" x14ac:dyDescent="0.2">
      <c r="A187">
        <v>3094559</v>
      </c>
      <c r="B187" s="49">
        <v>46112</v>
      </c>
      <c r="C187" t="s">
        <v>97</v>
      </c>
      <c r="D187" t="s">
        <v>14</v>
      </c>
      <c r="E187">
        <v>11812</v>
      </c>
      <c r="F187">
        <v>0</v>
      </c>
      <c r="G187">
        <v>11812</v>
      </c>
      <c r="H187">
        <v>10000</v>
      </c>
      <c r="I187">
        <v>100</v>
      </c>
      <c r="J187" t="s">
        <v>350</v>
      </c>
      <c r="K187" t="s">
        <v>125</v>
      </c>
      <c r="L187" t="s">
        <v>852</v>
      </c>
      <c r="M187" t="s">
        <v>517</v>
      </c>
      <c r="N187" t="s">
        <v>109</v>
      </c>
      <c r="O187" t="s">
        <v>817</v>
      </c>
      <c r="P187">
        <v>4977629</v>
      </c>
      <c r="Q187">
        <v>1</v>
      </c>
      <c r="R187">
        <v>83</v>
      </c>
      <c r="S187" t="s">
        <v>95</v>
      </c>
    </row>
    <row r="188" spans="1:19" x14ac:dyDescent="0.2">
      <c r="A188">
        <v>3088396</v>
      </c>
      <c r="B188" s="49">
        <v>46112</v>
      </c>
      <c r="C188" t="s">
        <v>97</v>
      </c>
      <c r="D188" t="s">
        <v>14</v>
      </c>
      <c r="E188">
        <v>0</v>
      </c>
      <c r="F188">
        <v>2500</v>
      </c>
      <c r="G188">
        <v>-2500</v>
      </c>
      <c r="H188">
        <v>10000</v>
      </c>
      <c r="I188">
        <v>100</v>
      </c>
      <c r="J188" t="s">
        <v>350</v>
      </c>
      <c r="K188" t="s">
        <v>125</v>
      </c>
      <c r="L188" t="s">
        <v>692</v>
      </c>
      <c r="M188" t="s">
        <v>734</v>
      </c>
      <c r="N188" t="s">
        <v>227</v>
      </c>
      <c r="O188" t="s">
        <v>694</v>
      </c>
      <c r="P188">
        <v>4975458</v>
      </c>
      <c r="Q188">
        <v>1</v>
      </c>
      <c r="R188">
        <v>83</v>
      </c>
      <c r="S188" t="s">
        <v>95</v>
      </c>
    </row>
    <row r="189" spans="1:19" x14ac:dyDescent="0.2">
      <c r="A189">
        <v>3087550</v>
      </c>
      <c r="B189" s="49">
        <v>46112</v>
      </c>
      <c r="C189" t="s">
        <v>97</v>
      </c>
      <c r="D189" t="s">
        <v>14</v>
      </c>
      <c r="E189">
        <v>2500</v>
      </c>
      <c r="F189">
        <v>0</v>
      </c>
      <c r="G189">
        <v>2500</v>
      </c>
      <c r="H189">
        <v>10000</v>
      </c>
      <c r="I189">
        <v>100</v>
      </c>
      <c r="J189" t="s">
        <v>350</v>
      </c>
      <c r="K189" t="s">
        <v>125</v>
      </c>
      <c r="L189" t="s">
        <v>649</v>
      </c>
      <c r="M189" t="s">
        <v>734</v>
      </c>
      <c r="N189" t="s">
        <v>198</v>
      </c>
      <c r="O189" t="s">
        <v>695</v>
      </c>
      <c r="P189">
        <v>4974615</v>
      </c>
      <c r="Q189">
        <v>1</v>
      </c>
      <c r="R189">
        <v>83</v>
      </c>
      <c r="S189" t="s">
        <v>95</v>
      </c>
    </row>
    <row r="190" spans="1:19" x14ac:dyDescent="0.2">
      <c r="A190">
        <v>3087541</v>
      </c>
      <c r="B190" s="49">
        <v>46112</v>
      </c>
      <c r="C190" t="s">
        <v>97</v>
      </c>
      <c r="D190" t="s">
        <v>14</v>
      </c>
      <c r="E190">
        <v>2500</v>
      </c>
      <c r="F190">
        <v>0</v>
      </c>
      <c r="G190">
        <v>2500</v>
      </c>
      <c r="H190">
        <v>10000</v>
      </c>
      <c r="I190">
        <v>100</v>
      </c>
      <c r="J190" t="s">
        <v>350</v>
      </c>
      <c r="K190" t="s">
        <v>125</v>
      </c>
      <c r="L190" t="s">
        <v>649</v>
      </c>
      <c r="M190" t="s">
        <v>734</v>
      </c>
      <c r="N190" t="s">
        <v>227</v>
      </c>
      <c r="O190" t="s">
        <v>696</v>
      </c>
      <c r="P190">
        <v>4973309</v>
      </c>
      <c r="Q190">
        <v>1</v>
      </c>
      <c r="R190">
        <v>83</v>
      </c>
      <c r="S190" t="s">
        <v>95</v>
      </c>
    </row>
    <row r="191" spans="1:19" x14ac:dyDescent="0.2">
      <c r="A191">
        <v>3043238</v>
      </c>
      <c r="B191" s="49">
        <v>46094</v>
      </c>
      <c r="C191" t="s">
        <v>97</v>
      </c>
      <c r="D191" t="s">
        <v>14</v>
      </c>
      <c r="E191">
        <v>11812</v>
      </c>
      <c r="F191">
        <v>0</v>
      </c>
      <c r="G191">
        <v>11812</v>
      </c>
      <c r="H191">
        <v>10000</v>
      </c>
      <c r="I191">
        <v>100</v>
      </c>
      <c r="J191" t="s">
        <v>350</v>
      </c>
      <c r="K191" t="s">
        <v>125</v>
      </c>
      <c r="L191" t="s">
        <v>351</v>
      </c>
      <c r="M191" t="s">
        <v>352</v>
      </c>
      <c r="N191" t="s">
        <v>109</v>
      </c>
      <c r="O191" t="s">
        <v>279</v>
      </c>
      <c r="P191">
        <v>4938474</v>
      </c>
      <c r="Q191">
        <v>1</v>
      </c>
      <c r="R191">
        <v>83</v>
      </c>
      <c r="S191" t="s">
        <v>95</v>
      </c>
    </row>
    <row r="192" spans="1:19" x14ac:dyDescent="0.2">
      <c r="A192">
        <v>3110688</v>
      </c>
      <c r="B192" s="49">
        <v>46112</v>
      </c>
      <c r="C192" t="s">
        <v>97</v>
      </c>
      <c r="D192" t="s">
        <v>14</v>
      </c>
      <c r="E192">
        <v>5000</v>
      </c>
      <c r="F192">
        <v>0</v>
      </c>
      <c r="G192">
        <v>5000</v>
      </c>
      <c r="H192">
        <v>10000</v>
      </c>
      <c r="I192">
        <v>100</v>
      </c>
      <c r="J192" t="s">
        <v>474</v>
      </c>
      <c r="K192" t="s">
        <v>127</v>
      </c>
      <c r="L192" t="s">
        <v>649</v>
      </c>
      <c r="M192" t="s">
        <v>912</v>
      </c>
      <c r="N192" t="s">
        <v>867</v>
      </c>
      <c r="O192" t="s">
        <v>885</v>
      </c>
      <c r="P192">
        <v>4992788</v>
      </c>
      <c r="Q192">
        <v>1</v>
      </c>
      <c r="R192">
        <v>84</v>
      </c>
      <c r="S192" t="s">
        <v>95</v>
      </c>
    </row>
    <row r="193" spans="1:19" x14ac:dyDescent="0.2">
      <c r="A193">
        <v>3105892</v>
      </c>
      <c r="B193" s="49">
        <v>46105</v>
      </c>
      <c r="C193" t="s">
        <v>97</v>
      </c>
      <c r="D193" t="s">
        <v>14</v>
      </c>
      <c r="E193">
        <v>1098.23</v>
      </c>
      <c r="F193">
        <v>0</v>
      </c>
      <c r="G193">
        <v>1098.23</v>
      </c>
      <c r="H193">
        <v>10000</v>
      </c>
      <c r="I193">
        <v>100</v>
      </c>
      <c r="J193" t="s">
        <v>477</v>
      </c>
      <c r="K193" t="s">
        <v>128</v>
      </c>
      <c r="L193" t="s">
        <v>735</v>
      </c>
      <c r="M193" t="s">
        <v>736</v>
      </c>
      <c r="N193" t="s">
        <v>109</v>
      </c>
      <c r="O193" t="s">
        <v>872</v>
      </c>
      <c r="P193">
        <v>4991194</v>
      </c>
      <c r="Q193">
        <v>1</v>
      </c>
      <c r="R193">
        <v>85</v>
      </c>
      <c r="S193" t="s">
        <v>95</v>
      </c>
    </row>
    <row r="194" spans="1:19" x14ac:dyDescent="0.2">
      <c r="A194">
        <v>3105890</v>
      </c>
      <c r="B194" s="49">
        <v>46105</v>
      </c>
      <c r="C194" t="s">
        <v>97</v>
      </c>
      <c r="D194" t="s">
        <v>14</v>
      </c>
      <c r="E194">
        <v>0</v>
      </c>
      <c r="F194">
        <v>1098.23</v>
      </c>
      <c r="G194">
        <v>-1098.23</v>
      </c>
      <c r="H194">
        <v>10000</v>
      </c>
      <c r="I194">
        <v>100</v>
      </c>
      <c r="J194" t="s">
        <v>477</v>
      </c>
      <c r="K194" t="s">
        <v>128</v>
      </c>
      <c r="L194" t="s">
        <v>913</v>
      </c>
      <c r="M194" t="s">
        <v>736</v>
      </c>
      <c r="N194" t="s">
        <v>109</v>
      </c>
      <c r="O194" t="s">
        <v>872</v>
      </c>
      <c r="P194">
        <v>4991193</v>
      </c>
      <c r="Q194">
        <v>1</v>
      </c>
      <c r="R194">
        <v>85</v>
      </c>
      <c r="S194" t="s">
        <v>95</v>
      </c>
    </row>
    <row r="195" spans="1:19" x14ac:dyDescent="0.2">
      <c r="A195">
        <v>3096056</v>
      </c>
      <c r="B195" s="49">
        <v>46112</v>
      </c>
      <c r="C195" t="s">
        <v>97</v>
      </c>
      <c r="D195" t="s">
        <v>14</v>
      </c>
      <c r="E195">
        <v>950</v>
      </c>
      <c r="F195">
        <v>0</v>
      </c>
      <c r="G195">
        <v>950</v>
      </c>
      <c r="H195">
        <v>10000</v>
      </c>
      <c r="I195">
        <v>100</v>
      </c>
      <c r="J195" t="s">
        <v>477</v>
      </c>
      <c r="K195" t="s">
        <v>128</v>
      </c>
      <c r="L195" t="s">
        <v>853</v>
      </c>
      <c r="M195" t="s">
        <v>517</v>
      </c>
      <c r="N195" t="s">
        <v>109</v>
      </c>
      <c r="O195" t="s">
        <v>828</v>
      </c>
      <c r="P195">
        <v>4977642</v>
      </c>
      <c r="Q195">
        <v>1</v>
      </c>
      <c r="R195">
        <v>85</v>
      </c>
      <c r="S195" t="s">
        <v>95</v>
      </c>
    </row>
    <row r="196" spans="1:19" x14ac:dyDescent="0.2">
      <c r="A196">
        <v>3081634</v>
      </c>
      <c r="B196" s="49">
        <v>46105</v>
      </c>
      <c r="C196" t="s">
        <v>97</v>
      </c>
      <c r="D196" t="s">
        <v>14</v>
      </c>
      <c r="E196">
        <v>1098.23</v>
      </c>
      <c r="F196">
        <v>0</v>
      </c>
      <c r="G196">
        <v>1098.23</v>
      </c>
      <c r="H196">
        <v>10000</v>
      </c>
      <c r="I196">
        <v>100</v>
      </c>
      <c r="J196" t="s">
        <v>477</v>
      </c>
      <c r="K196" t="s">
        <v>128</v>
      </c>
      <c r="L196" t="s">
        <v>735</v>
      </c>
      <c r="M196" t="s">
        <v>736</v>
      </c>
      <c r="N196" t="s">
        <v>109</v>
      </c>
      <c r="O196" t="s">
        <v>658</v>
      </c>
      <c r="P196">
        <v>4969878</v>
      </c>
      <c r="Q196">
        <v>1</v>
      </c>
      <c r="R196">
        <v>85</v>
      </c>
      <c r="S196" t="s">
        <v>95</v>
      </c>
    </row>
    <row r="197" spans="1:19" x14ac:dyDescent="0.2">
      <c r="A197">
        <v>3043585</v>
      </c>
      <c r="B197" s="49">
        <v>46097</v>
      </c>
      <c r="C197" t="s">
        <v>97</v>
      </c>
      <c r="D197" t="s">
        <v>14</v>
      </c>
      <c r="E197">
        <v>39130</v>
      </c>
      <c r="F197">
        <v>0</v>
      </c>
      <c r="G197">
        <v>39130</v>
      </c>
      <c r="H197">
        <v>10000</v>
      </c>
      <c r="I197">
        <v>100</v>
      </c>
      <c r="J197" t="s">
        <v>353</v>
      </c>
      <c r="K197" t="s">
        <v>129</v>
      </c>
      <c r="L197" t="s">
        <v>354</v>
      </c>
      <c r="M197" t="s">
        <v>355</v>
      </c>
      <c r="N197" t="s">
        <v>109</v>
      </c>
      <c r="O197" t="s">
        <v>349</v>
      </c>
      <c r="P197">
        <v>4939474</v>
      </c>
      <c r="Q197">
        <v>1</v>
      </c>
      <c r="R197">
        <v>87</v>
      </c>
      <c r="S197" t="s">
        <v>95</v>
      </c>
    </row>
    <row r="198" spans="1:19" x14ac:dyDescent="0.2">
      <c r="A198">
        <v>3081560</v>
      </c>
      <c r="B198" s="49">
        <v>46101</v>
      </c>
      <c r="C198" t="s">
        <v>97</v>
      </c>
      <c r="D198" t="s">
        <v>14</v>
      </c>
      <c r="E198">
        <v>306.98</v>
      </c>
      <c r="F198">
        <v>0</v>
      </c>
      <c r="G198">
        <v>306.98</v>
      </c>
      <c r="H198">
        <v>10000</v>
      </c>
      <c r="I198">
        <v>100</v>
      </c>
      <c r="J198" t="s">
        <v>737</v>
      </c>
      <c r="K198" t="s">
        <v>130</v>
      </c>
      <c r="L198" t="s">
        <v>738</v>
      </c>
      <c r="M198" t="s">
        <v>739</v>
      </c>
      <c r="N198" t="s">
        <v>109</v>
      </c>
      <c r="O198" t="s">
        <v>658</v>
      </c>
      <c r="P198">
        <v>4969803</v>
      </c>
      <c r="Q198">
        <v>1</v>
      </c>
      <c r="R198">
        <v>86</v>
      </c>
      <c r="S198" t="s">
        <v>95</v>
      </c>
    </row>
    <row r="199" spans="1:19" x14ac:dyDescent="0.2">
      <c r="A199">
        <v>3110691</v>
      </c>
      <c r="B199" s="49">
        <v>46112</v>
      </c>
      <c r="C199" t="s">
        <v>97</v>
      </c>
      <c r="D199" t="s">
        <v>14</v>
      </c>
      <c r="E199">
        <v>303</v>
      </c>
      <c r="F199">
        <v>0</v>
      </c>
      <c r="G199">
        <v>303</v>
      </c>
      <c r="H199">
        <v>10000</v>
      </c>
      <c r="I199">
        <v>100</v>
      </c>
      <c r="J199" t="s">
        <v>132</v>
      </c>
      <c r="K199" t="s">
        <v>131</v>
      </c>
      <c r="L199" t="s">
        <v>649</v>
      </c>
      <c r="M199" t="s">
        <v>914</v>
      </c>
      <c r="N199" t="s">
        <v>867</v>
      </c>
      <c r="O199" t="s">
        <v>876</v>
      </c>
      <c r="P199">
        <v>4992791</v>
      </c>
      <c r="Q199">
        <v>1</v>
      </c>
      <c r="R199">
        <v>88</v>
      </c>
      <c r="S199" t="s">
        <v>95</v>
      </c>
    </row>
    <row r="200" spans="1:19" x14ac:dyDescent="0.2">
      <c r="A200">
        <v>3088406</v>
      </c>
      <c r="B200" s="49">
        <v>46101</v>
      </c>
      <c r="C200" t="s">
        <v>97</v>
      </c>
      <c r="D200" t="s">
        <v>14</v>
      </c>
      <c r="E200">
        <v>662.6</v>
      </c>
      <c r="F200">
        <v>0</v>
      </c>
      <c r="G200">
        <v>662.6</v>
      </c>
      <c r="H200">
        <v>10000</v>
      </c>
      <c r="I200">
        <v>100</v>
      </c>
      <c r="J200" t="s">
        <v>194</v>
      </c>
      <c r="K200" t="s">
        <v>134</v>
      </c>
      <c r="L200" t="s">
        <v>640</v>
      </c>
      <c r="M200" t="s">
        <v>740</v>
      </c>
      <c r="N200" t="s">
        <v>183</v>
      </c>
      <c r="O200" t="s">
        <v>642</v>
      </c>
      <c r="P200">
        <v>4975468</v>
      </c>
      <c r="Q200">
        <v>1</v>
      </c>
      <c r="R200">
        <v>89</v>
      </c>
      <c r="S200" t="s">
        <v>95</v>
      </c>
    </row>
    <row r="201" spans="1:19" x14ac:dyDescent="0.2">
      <c r="A201">
        <v>3026938</v>
      </c>
      <c r="B201" s="49">
        <v>46093</v>
      </c>
      <c r="C201" t="s">
        <v>97</v>
      </c>
      <c r="D201" t="s">
        <v>14</v>
      </c>
      <c r="E201">
        <v>10850</v>
      </c>
      <c r="F201">
        <v>0</v>
      </c>
      <c r="G201">
        <v>10850</v>
      </c>
      <c r="H201">
        <v>10000</v>
      </c>
      <c r="I201">
        <v>100</v>
      </c>
      <c r="J201" t="s">
        <v>194</v>
      </c>
      <c r="K201" t="s">
        <v>134</v>
      </c>
      <c r="L201" t="s">
        <v>200</v>
      </c>
      <c r="M201" t="s">
        <v>224</v>
      </c>
      <c r="N201" t="s">
        <v>198</v>
      </c>
      <c r="O201" t="s">
        <v>211</v>
      </c>
      <c r="P201">
        <v>4924490</v>
      </c>
      <c r="Q201">
        <v>1</v>
      </c>
      <c r="R201">
        <v>89</v>
      </c>
      <c r="S201" t="s">
        <v>95</v>
      </c>
    </row>
    <row r="202" spans="1:19" x14ac:dyDescent="0.2">
      <c r="A202">
        <v>3106109</v>
      </c>
      <c r="B202" s="49">
        <v>46112</v>
      </c>
      <c r="C202" t="s">
        <v>97</v>
      </c>
      <c r="D202" t="s">
        <v>14</v>
      </c>
      <c r="E202">
        <v>0</v>
      </c>
      <c r="F202">
        <v>22338.2</v>
      </c>
      <c r="G202">
        <v>-22338.2</v>
      </c>
      <c r="H202">
        <v>10000</v>
      </c>
      <c r="I202">
        <v>100</v>
      </c>
      <c r="J202" t="s">
        <v>587</v>
      </c>
      <c r="K202" t="s">
        <v>136</v>
      </c>
      <c r="L202" t="s">
        <v>915</v>
      </c>
      <c r="M202" t="s">
        <v>915</v>
      </c>
      <c r="N202" t="s">
        <v>109</v>
      </c>
      <c r="O202" t="s">
        <v>916</v>
      </c>
      <c r="P202">
        <v>4991293</v>
      </c>
      <c r="Q202">
        <v>1</v>
      </c>
      <c r="R202">
        <v>90</v>
      </c>
      <c r="S202" t="s">
        <v>95</v>
      </c>
    </row>
    <row r="203" spans="1:19" x14ac:dyDescent="0.2">
      <c r="A203">
        <v>3106107</v>
      </c>
      <c r="B203" s="49">
        <v>46112</v>
      </c>
      <c r="C203" t="s">
        <v>97</v>
      </c>
      <c r="D203" t="s">
        <v>14</v>
      </c>
      <c r="E203">
        <v>0</v>
      </c>
      <c r="F203">
        <v>21442.11</v>
      </c>
      <c r="G203">
        <v>-21442.11</v>
      </c>
      <c r="H203">
        <v>10000</v>
      </c>
      <c r="I203">
        <v>100</v>
      </c>
      <c r="J203" t="s">
        <v>587</v>
      </c>
      <c r="K203" t="s">
        <v>136</v>
      </c>
      <c r="L203" t="s">
        <v>915</v>
      </c>
      <c r="M203" t="s">
        <v>915</v>
      </c>
      <c r="N203" t="s">
        <v>109</v>
      </c>
      <c r="O203" t="s">
        <v>916</v>
      </c>
      <c r="P203">
        <v>4991292</v>
      </c>
      <c r="Q203">
        <v>1</v>
      </c>
      <c r="R203">
        <v>90</v>
      </c>
      <c r="S203" t="s">
        <v>95</v>
      </c>
    </row>
    <row r="204" spans="1:19" x14ac:dyDescent="0.2">
      <c r="A204">
        <v>3096052</v>
      </c>
      <c r="B204" s="49">
        <v>46112</v>
      </c>
      <c r="C204" t="s">
        <v>97</v>
      </c>
      <c r="D204" t="s">
        <v>14</v>
      </c>
      <c r="E204">
        <v>4520</v>
      </c>
      <c r="F204">
        <v>0</v>
      </c>
      <c r="G204">
        <v>4520</v>
      </c>
      <c r="H204">
        <v>10000</v>
      </c>
      <c r="I204">
        <v>100</v>
      </c>
      <c r="J204" t="s">
        <v>587</v>
      </c>
      <c r="K204" t="s">
        <v>136</v>
      </c>
      <c r="L204" t="s">
        <v>854</v>
      </c>
      <c r="M204" t="s">
        <v>517</v>
      </c>
      <c r="N204" t="s">
        <v>109</v>
      </c>
      <c r="O204" t="s">
        <v>828</v>
      </c>
      <c r="P204">
        <v>4977638</v>
      </c>
      <c r="Q204">
        <v>1</v>
      </c>
      <c r="R204">
        <v>90</v>
      </c>
      <c r="S204" t="s">
        <v>95</v>
      </c>
    </row>
    <row r="205" spans="1:19" x14ac:dyDescent="0.2">
      <c r="A205">
        <v>3083726</v>
      </c>
      <c r="B205" s="49">
        <v>46102</v>
      </c>
      <c r="C205" t="s">
        <v>97</v>
      </c>
      <c r="D205" t="s">
        <v>14</v>
      </c>
      <c r="E205">
        <v>21442.11</v>
      </c>
      <c r="F205">
        <v>0</v>
      </c>
      <c r="G205">
        <v>21442.11</v>
      </c>
      <c r="H205">
        <v>10000</v>
      </c>
      <c r="I205">
        <v>100</v>
      </c>
      <c r="J205" t="s">
        <v>587</v>
      </c>
      <c r="K205" t="s">
        <v>136</v>
      </c>
      <c r="L205" t="s">
        <v>649</v>
      </c>
      <c r="M205" t="s">
        <v>741</v>
      </c>
      <c r="N205" t="s">
        <v>198</v>
      </c>
      <c r="O205" t="s">
        <v>684</v>
      </c>
      <c r="P205">
        <v>4971287</v>
      </c>
      <c r="Q205">
        <v>1</v>
      </c>
      <c r="R205">
        <v>90</v>
      </c>
      <c r="S205" t="s">
        <v>95</v>
      </c>
    </row>
    <row r="206" spans="1:19" x14ac:dyDescent="0.2">
      <c r="A206">
        <v>3083726</v>
      </c>
      <c r="B206" s="49">
        <v>46102</v>
      </c>
      <c r="C206" t="s">
        <v>97</v>
      </c>
      <c r="D206" t="s">
        <v>14</v>
      </c>
      <c r="E206">
        <v>22338.2</v>
      </c>
      <c r="F206">
        <v>0</v>
      </c>
      <c r="G206">
        <v>22338.2</v>
      </c>
      <c r="H206">
        <v>10000</v>
      </c>
      <c r="I206">
        <v>100</v>
      </c>
      <c r="J206" t="s">
        <v>587</v>
      </c>
      <c r="K206" t="s">
        <v>136</v>
      </c>
      <c r="L206" t="s">
        <v>649</v>
      </c>
      <c r="M206" t="s">
        <v>741</v>
      </c>
      <c r="N206" t="s">
        <v>198</v>
      </c>
      <c r="O206" t="s">
        <v>684</v>
      </c>
      <c r="P206">
        <v>4971287</v>
      </c>
      <c r="Q206">
        <v>1</v>
      </c>
      <c r="R206">
        <v>90</v>
      </c>
      <c r="S206" t="s">
        <v>95</v>
      </c>
    </row>
    <row r="207" spans="1:19" x14ac:dyDescent="0.2">
      <c r="A207">
        <v>3083726</v>
      </c>
      <c r="B207" s="49">
        <v>46102</v>
      </c>
      <c r="C207" t="s">
        <v>97</v>
      </c>
      <c r="D207" t="s">
        <v>14</v>
      </c>
      <c r="E207">
        <v>3400</v>
      </c>
      <c r="F207">
        <v>0</v>
      </c>
      <c r="G207">
        <v>3400</v>
      </c>
      <c r="H207">
        <v>10000</v>
      </c>
      <c r="I207">
        <v>100</v>
      </c>
      <c r="J207" t="s">
        <v>383</v>
      </c>
      <c r="K207" t="s">
        <v>137</v>
      </c>
      <c r="L207" t="s">
        <v>649</v>
      </c>
      <c r="M207" t="s">
        <v>742</v>
      </c>
      <c r="N207" t="s">
        <v>198</v>
      </c>
      <c r="O207" t="s">
        <v>684</v>
      </c>
      <c r="P207">
        <v>4971287</v>
      </c>
      <c r="Q207">
        <v>1</v>
      </c>
      <c r="R207">
        <v>91</v>
      </c>
      <c r="S207" t="s">
        <v>95</v>
      </c>
    </row>
    <row r="208" spans="1:19" x14ac:dyDescent="0.2">
      <c r="A208">
        <v>3083688</v>
      </c>
      <c r="B208" s="49">
        <v>46093</v>
      </c>
      <c r="C208" t="s">
        <v>97</v>
      </c>
      <c r="D208" t="s">
        <v>14</v>
      </c>
      <c r="E208">
        <v>2500</v>
      </c>
      <c r="F208">
        <v>0</v>
      </c>
      <c r="G208">
        <v>2500</v>
      </c>
      <c r="H208">
        <v>10000</v>
      </c>
      <c r="I208">
        <v>100</v>
      </c>
      <c r="J208" t="s">
        <v>383</v>
      </c>
      <c r="K208" t="s">
        <v>137</v>
      </c>
      <c r="L208" t="s">
        <v>685</v>
      </c>
      <c r="M208" t="s">
        <v>743</v>
      </c>
      <c r="N208" t="s">
        <v>198</v>
      </c>
      <c r="O208" t="s">
        <v>687</v>
      </c>
      <c r="P208">
        <v>4971251</v>
      </c>
      <c r="Q208">
        <v>1</v>
      </c>
      <c r="R208">
        <v>91</v>
      </c>
      <c r="S208" t="s">
        <v>95</v>
      </c>
    </row>
    <row r="209" spans="1:19" x14ac:dyDescent="0.2">
      <c r="A209">
        <v>3088399</v>
      </c>
      <c r="B209" s="49">
        <v>46097</v>
      </c>
      <c r="C209" t="s">
        <v>97</v>
      </c>
      <c r="D209" t="s">
        <v>14</v>
      </c>
      <c r="E209">
        <v>297</v>
      </c>
      <c r="F209">
        <v>0</v>
      </c>
      <c r="G209">
        <v>297</v>
      </c>
      <c r="H209">
        <v>10000</v>
      </c>
      <c r="I209">
        <v>100</v>
      </c>
      <c r="J209" t="s">
        <v>486</v>
      </c>
      <c r="K209" t="s">
        <v>172</v>
      </c>
      <c r="L209" t="s">
        <v>701</v>
      </c>
      <c r="M209" t="s">
        <v>744</v>
      </c>
      <c r="N209" t="s">
        <v>183</v>
      </c>
      <c r="O209" t="s">
        <v>642</v>
      </c>
      <c r="P209">
        <v>4975465</v>
      </c>
      <c r="Q209">
        <v>1</v>
      </c>
      <c r="R209">
        <v>93</v>
      </c>
      <c r="S209" t="s">
        <v>95</v>
      </c>
    </row>
    <row r="210" spans="1:19" x14ac:dyDescent="0.2">
      <c r="A210">
        <v>3110691</v>
      </c>
      <c r="B210" s="49">
        <v>46112</v>
      </c>
      <c r="C210" t="s">
        <v>97</v>
      </c>
      <c r="D210" t="s">
        <v>14</v>
      </c>
      <c r="E210">
        <v>500</v>
      </c>
      <c r="F210">
        <v>0</v>
      </c>
      <c r="G210">
        <v>500</v>
      </c>
      <c r="H210">
        <v>10000</v>
      </c>
      <c r="I210">
        <v>100</v>
      </c>
      <c r="J210" t="s">
        <v>204</v>
      </c>
      <c r="K210" t="s">
        <v>173</v>
      </c>
      <c r="L210" t="s">
        <v>649</v>
      </c>
      <c r="M210" t="s">
        <v>917</v>
      </c>
      <c r="N210" t="s">
        <v>867</v>
      </c>
      <c r="O210" t="s">
        <v>876</v>
      </c>
      <c r="P210">
        <v>4992791</v>
      </c>
      <c r="Q210">
        <v>1</v>
      </c>
      <c r="R210">
        <v>92</v>
      </c>
      <c r="S210" t="s">
        <v>95</v>
      </c>
    </row>
    <row r="211" spans="1:19" x14ac:dyDescent="0.2">
      <c r="A211">
        <v>3106113</v>
      </c>
      <c r="B211" s="49">
        <v>46102</v>
      </c>
      <c r="C211" t="s">
        <v>97</v>
      </c>
      <c r="D211" t="s">
        <v>14</v>
      </c>
      <c r="E211">
        <v>0</v>
      </c>
      <c r="F211">
        <v>32496.22</v>
      </c>
      <c r="G211">
        <v>-32496.22</v>
      </c>
      <c r="H211">
        <v>10000</v>
      </c>
      <c r="I211">
        <v>100</v>
      </c>
      <c r="J211" t="s">
        <v>204</v>
      </c>
      <c r="K211" t="s">
        <v>173</v>
      </c>
      <c r="L211" t="s">
        <v>918</v>
      </c>
      <c r="M211" t="s">
        <v>918</v>
      </c>
      <c r="N211" t="s">
        <v>109</v>
      </c>
      <c r="O211" t="s">
        <v>916</v>
      </c>
      <c r="P211">
        <v>4991294</v>
      </c>
      <c r="Q211">
        <v>1</v>
      </c>
      <c r="R211">
        <v>92</v>
      </c>
      <c r="S211" t="s">
        <v>95</v>
      </c>
    </row>
    <row r="212" spans="1:19" x14ac:dyDescent="0.2">
      <c r="A212">
        <v>3083726</v>
      </c>
      <c r="B212" s="49">
        <v>46102</v>
      </c>
      <c r="C212" t="s">
        <v>97</v>
      </c>
      <c r="D212" t="s">
        <v>14</v>
      </c>
      <c r="E212">
        <v>32496.22</v>
      </c>
      <c r="F212">
        <v>0</v>
      </c>
      <c r="G212">
        <v>32496.22</v>
      </c>
      <c r="H212">
        <v>10000</v>
      </c>
      <c r="I212">
        <v>100</v>
      </c>
      <c r="J212" t="s">
        <v>204</v>
      </c>
      <c r="K212" t="s">
        <v>173</v>
      </c>
      <c r="L212" t="s">
        <v>649</v>
      </c>
      <c r="M212" t="s">
        <v>745</v>
      </c>
      <c r="N212" t="s">
        <v>198</v>
      </c>
      <c r="O212" t="s">
        <v>684</v>
      </c>
      <c r="P212">
        <v>4971287</v>
      </c>
      <c r="Q212">
        <v>1</v>
      </c>
      <c r="R212">
        <v>92</v>
      </c>
      <c r="S212" t="s">
        <v>95</v>
      </c>
    </row>
    <row r="213" spans="1:19" x14ac:dyDescent="0.2">
      <c r="A213">
        <v>3043237</v>
      </c>
      <c r="B213" s="49">
        <v>46097</v>
      </c>
      <c r="C213" t="s">
        <v>97</v>
      </c>
      <c r="D213" t="s">
        <v>14</v>
      </c>
      <c r="E213">
        <v>5775</v>
      </c>
      <c r="F213">
        <v>0</v>
      </c>
      <c r="G213">
        <v>5775</v>
      </c>
      <c r="H213">
        <v>10000</v>
      </c>
      <c r="I213">
        <v>100</v>
      </c>
      <c r="J213" t="s">
        <v>204</v>
      </c>
      <c r="K213" t="s">
        <v>173</v>
      </c>
      <c r="L213" t="s">
        <v>356</v>
      </c>
      <c r="M213" t="s">
        <v>357</v>
      </c>
      <c r="N213" t="s">
        <v>109</v>
      </c>
      <c r="O213" t="s">
        <v>279</v>
      </c>
      <c r="P213">
        <v>4938473</v>
      </c>
      <c r="Q213">
        <v>1</v>
      </c>
      <c r="R213">
        <v>92</v>
      </c>
      <c r="S213" t="s">
        <v>95</v>
      </c>
    </row>
    <row r="214" spans="1:19" x14ac:dyDescent="0.2">
      <c r="A214">
        <v>3040800</v>
      </c>
      <c r="B214" s="49">
        <v>46087</v>
      </c>
      <c r="C214" t="s">
        <v>97</v>
      </c>
      <c r="D214" t="s">
        <v>14</v>
      </c>
      <c r="E214">
        <v>1467</v>
      </c>
      <c r="F214">
        <v>0</v>
      </c>
      <c r="G214">
        <v>1467</v>
      </c>
      <c r="H214">
        <v>10000</v>
      </c>
      <c r="I214">
        <v>100</v>
      </c>
      <c r="J214" t="s">
        <v>204</v>
      </c>
      <c r="K214" t="s">
        <v>173</v>
      </c>
      <c r="L214" t="s">
        <v>315</v>
      </c>
      <c r="M214" t="s">
        <v>358</v>
      </c>
      <c r="N214" t="s">
        <v>109</v>
      </c>
      <c r="O214" t="s">
        <v>274</v>
      </c>
      <c r="P214">
        <v>4937226</v>
      </c>
      <c r="Q214">
        <v>1</v>
      </c>
      <c r="R214">
        <v>92</v>
      </c>
      <c r="S214" t="s">
        <v>95</v>
      </c>
    </row>
    <row r="215" spans="1:19" x14ac:dyDescent="0.2">
      <c r="A215">
        <v>3040736</v>
      </c>
      <c r="B215" s="49">
        <v>46087</v>
      </c>
      <c r="C215" t="s">
        <v>97</v>
      </c>
      <c r="D215" t="s">
        <v>14</v>
      </c>
      <c r="E215">
        <v>2450.4299999999998</v>
      </c>
      <c r="F215">
        <v>0</v>
      </c>
      <c r="G215">
        <v>2450.4299999999998</v>
      </c>
      <c r="H215">
        <v>10000</v>
      </c>
      <c r="I215">
        <v>100</v>
      </c>
      <c r="J215" t="s">
        <v>204</v>
      </c>
      <c r="K215" t="s">
        <v>173</v>
      </c>
      <c r="L215" t="s">
        <v>272</v>
      </c>
      <c r="M215" t="s">
        <v>359</v>
      </c>
      <c r="N215" t="s">
        <v>109</v>
      </c>
      <c r="O215" t="s">
        <v>274</v>
      </c>
      <c r="P215">
        <v>4936012</v>
      </c>
      <c r="Q215">
        <v>1</v>
      </c>
      <c r="R215">
        <v>92</v>
      </c>
      <c r="S215" t="s">
        <v>95</v>
      </c>
    </row>
    <row r="216" spans="1:19" x14ac:dyDescent="0.2">
      <c r="A216">
        <v>3096060</v>
      </c>
      <c r="B216" s="49">
        <v>46112</v>
      </c>
      <c r="C216" t="s">
        <v>97</v>
      </c>
      <c r="D216" t="s">
        <v>14</v>
      </c>
      <c r="E216">
        <v>1920</v>
      </c>
      <c r="F216">
        <v>0</v>
      </c>
      <c r="G216">
        <v>1920</v>
      </c>
      <c r="H216">
        <v>10000</v>
      </c>
      <c r="I216">
        <v>100</v>
      </c>
      <c r="J216" t="s">
        <v>360</v>
      </c>
      <c r="K216" t="s">
        <v>174</v>
      </c>
      <c r="L216" t="s">
        <v>855</v>
      </c>
      <c r="M216" t="s">
        <v>517</v>
      </c>
      <c r="N216" t="s">
        <v>109</v>
      </c>
      <c r="O216" t="s">
        <v>828</v>
      </c>
      <c r="P216">
        <v>4977646</v>
      </c>
      <c r="Q216">
        <v>1</v>
      </c>
      <c r="R216">
        <v>94</v>
      </c>
      <c r="S216" t="s">
        <v>95</v>
      </c>
    </row>
    <row r="217" spans="1:19" x14ac:dyDescent="0.2">
      <c r="A217">
        <v>3041742</v>
      </c>
      <c r="B217" s="49">
        <v>46093</v>
      </c>
      <c r="C217" t="s">
        <v>97</v>
      </c>
      <c r="D217" t="s">
        <v>14</v>
      </c>
      <c r="E217">
        <v>1285.94</v>
      </c>
      <c r="F217">
        <v>0</v>
      </c>
      <c r="G217">
        <v>1285.94</v>
      </c>
      <c r="H217">
        <v>10000</v>
      </c>
      <c r="I217">
        <v>100</v>
      </c>
      <c r="J217" t="s">
        <v>360</v>
      </c>
      <c r="K217" t="s">
        <v>174</v>
      </c>
      <c r="L217" t="s">
        <v>361</v>
      </c>
      <c r="M217" t="s">
        <v>362</v>
      </c>
      <c r="N217" t="s">
        <v>109</v>
      </c>
      <c r="O217" t="s">
        <v>271</v>
      </c>
      <c r="P217">
        <v>4937615</v>
      </c>
      <c r="Q217">
        <v>1</v>
      </c>
      <c r="R217">
        <v>94</v>
      </c>
      <c r="S217" t="s">
        <v>95</v>
      </c>
    </row>
    <row r="218" spans="1:19" x14ac:dyDescent="0.2">
      <c r="A218">
        <v>3040800</v>
      </c>
      <c r="B218" s="49">
        <v>46087</v>
      </c>
      <c r="C218" t="s">
        <v>97</v>
      </c>
      <c r="D218" t="s">
        <v>14</v>
      </c>
      <c r="E218">
        <v>2934</v>
      </c>
      <c r="F218">
        <v>0</v>
      </c>
      <c r="G218">
        <v>2934</v>
      </c>
      <c r="H218">
        <v>10000</v>
      </c>
      <c r="I218">
        <v>100</v>
      </c>
      <c r="J218" t="s">
        <v>360</v>
      </c>
      <c r="K218" t="s">
        <v>174</v>
      </c>
      <c r="L218" t="s">
        <v>315</v>
      </c>
      <c r="M218" t="s">
        <v>363</v>
      </c>
      <c r="N218" t="s">
        <v>109</v>
      </c>
      <c r="O218" t="s">
        <v>274</v>
      </c>
      <c r="P218">
        <v>4937226</v>
      </c>
      <c r="Q218">
        <v>1</v>
      </c>
      <c r="R218">
        <v>94</v>
      </c>
      <c r="S218" t="s">
        <v>95</v>
      </c>
    </row>
    <row r="219" spans="1:19" x14ac:dyDescent="0.2">
      <c r="A219">
        <v>3040736</v>
      </c>
      <c r="B219" s="49">
        <v>46087</v>
      </c>
      <c r="C219" t="s">
        <v>97</v>
      </c>
      <c r="D219" t="s">
        <v>14</v>
      </c>
      <c r="E219">
        <v>969.24</v>
      </c>
      <c r="F219">
        <v>0</v>
      </c>
      <c r="G219">
        <v>969.24</v>
      </c>
      <c r="H219">
        <v>10000</v>
      </c>
      <c r="I219">
        <v>100</v>
      </c>
      <c r="J219" t="s">
        <v>360</v>
      </c>
      <c r="K219" t="s">
        <v>174</v>
      </c>
      <c r="L219" t="s">
        <v>272</v>
      </c>
      <c r="M219" t="s">
        <v>364</v>
      </c>
      <c r="N219" t="s">
        <v>109</v>
      </c>
      <c r="O219" t="s">
        <v>274</v>
      </c>
      <c r="P219">
        <v>4936012</v>
      </c>
      <c r="Q219">
        <v>1</v>
      </c>
      <c r="R219">
        <v>94</v>
      </c>
      <c r="S219" t="s">
        <v>95</v>
      </c>
    </row>
    <row r="220" spans="1:19" x14ac:dyDescent="0.2">
      <c r="A220">
        <v>3096070</v>
      </c>
      <c r="B220" s="49">
        <v>46084</v>
      </c>
      <c r="C220" t="s">
        <v>97</v>
      </c>
      <c r="D220" t="s">
        <v>14</v>
      </c>
      <c r="E220">
        <v>2200</v>
      </c>
      <c r="F220">
        <v>0</v>
      </c>
      <c r="G220">
        <v>2200</v>
      </c>
      <c r="H220">
        <v>10000</v>
      </c>
      <c r="I220">
        <v>100</v>
      </c>
      <c r="J220" t="s">
        <v>266</v>
      </c>
      <c r="K220" t="s">
        <v>175</v>
      </c>
      <c r="L220" t="s">
        <v>856</v>
      </c>
      <c r="M220" t="s">
        <v>856</v>
      </c>
      <c r="N220" t="s">
        <v>109</v>
      </c>
      <c r="O220" t="s">
        <v>846</v>
      </c>
      <c r="P220">
        <v>4977660</v>
      </c>
      <c r="Q220">
        <v>1</v>
      </c>
      <c r="R220">
        <v>95</v>
      </c>
      <c r="S220" t="s">
        <v>95</v>
      </c>
    </row>
    <row r="221" spans="1:19" x14ac:dyDescent="0.2">
      <c r="A221">
        <v>3043240</v>
      </c>
      <c r="B221" s="49">
        <v>46094</v>
      </c>
      <c r="C221" t="s">
        <v>97</v>
      </c>
      <c r="D221" t="s">
        <v>14</v>
      </c>
      <c r="E221">
        <v>21995</v>
      </c>
      <c r="F221">
        <v>0</v>
      </c>
      <c r="G221">
        <v>21995</v>
      </c>
      <c r="H221">
        <v>10000</v>
      </c>
      <c r="I221">
        <v>100</v>
      </c>
      <c r="J221" t="s">
        <v>365</v>
      </c>
      <c r="K221" t="s">
        <v>176</v>
      </c>
      <c r="L221" t="s">
        <v>366</v>
      </c>
      <c r="M221" t="s">
        <v>367</v>
      </c>
      <c r="N221" t="s">
        <v>109</v>
      </c>
      <c r="O221" t="s">
        <v>279</v>
      </c>
      <c r="P221">
        <v>4938476</v>
      </c>
      <c r="Q221">
        <v>1</v>
      </c>
      <c r="R221">
        <v>98</v>
      </c>
      <c r="S221" t="s">
        <v>95</v>
      </c>
    </row>
    <row r="222" spans="1:19" x14ac:dyDescent="0.2">
      <c r="A222">
        <v>3081564</v>
      </c>
      <c r="B222" s="49">
        <v>46101</v>
      </c>
      <c r="C222" t="s">
        <v>97</v>
      </c>
      <c r="D222" t="s">
        <v>14</v>
      </c>
      <c r="E222">
        <v>434.32</v>
      </c>
      <c r="F222">
        <v>0</v>
      </c>
      <c r="G222">
        <v>434.32</v>
      </c>
      <c r="H222">
        <v>10000</v>
      </c>
      <c r="I222">
        <v>100</v>
      </c>
      <c r="J222" t="s">
        <v>746</v>
      </c>
      <c r="K222" t="s">
        <v>178</v>
      </c>
      <c r="L222" t="s">
        <v>747</v>
      </c>
      <c r="M222" t="s">
        <v>748</v>
      </c>
      <c r="N222" t="s">
        <v>109</v>
      </c>
      <c r="O222" t="s">
        <v>658</v>
      </c>
      <c r="P222">
        <v>4969835</v>
      </c>
      <c r="Q222">
        <v>1</v>
      </c>
      <c r="R222">
        <v>96</v>
      </c>
      <c r="S222" t="s">
        <v>95</v>
      </c>
    </row>
    <row r="223" spans="1:19" x14ac:dyDescent="0.2">
      <c r="A223">
        <v>3105896</v>
      </c>
      <c r="B223" s="49">
        <v>46106</v>
      </c>
      <c r="C223" t="s">
        <v>97</v>
      </c>
      <c r="D223" t="s">
        <v>14</v>
      </c>
      <c r="E223">
        <v>495</v>
      </c>
      <c r="F223">
        <v>0</v>
      </c>
      <c r="G223">
        <v>495</v>
      </c>
      <c r="H223">
        <v>10000</v>
      </c>
      <c r="I223">
        <v>100</v>
      </c>
      <c r="J223" t="s">
        <v>749</v>
      </c>
      <c r="K223" t="s">
        <v>179</v>
      </c>
      <c r="L223" t="s">
        <v>919</v>
      </c>
      <c r="M223" t="s">
        <v>751</v>
      </c>
      <c r="N223" t="s">
        <v>109</v>
      </c>
      <c r="O223" t="s">
        <v>872</v>
      </c>
      <c r="P223">
        <v>4991196</v>
      </c>
      <c r="Q223">
        <v>1</v>
      </c>
      <c r="R223">
        <v>97</v>
      </c>
      <c r="S223" t="s">
        <v>95</v>
      </c>
    </row>
    <row r="224" spans="1:19" x14ac:dyDescent="0.2">
      <c r="A224">
        <v>3105894</v>
      </c>
      <c r="B224" s="49">
        <v>46106</v>
      </c>
      <c r="C224" t="s">
        <v>97</v>
      </c>
      <c r="D224" t="s">
        <v>14</v>
      </c>
      <c r="E224">
        <v>0</v>
      </c>
      <c r="F224">
        <v>495</v>
      </c>
      <c r="G224">
        <v>-495</v>
      </c>
      <c r="H224">
        <v>10000</v>
      </c>
      <c r="I224">
        <v>100</v>
      </c>
      <c r="J224" t="s">
        <v>749</v>
      </c>
      <c r="K224" t="s">
        <v>179</v>
      </c>
      <c r="L224" t="s">
        <v>919</v>
      </c>
      <c r="M224" t="s">
        <v>751</v>
      </c>
      <c r="N224" t="s">
        <v>109</v>
      </c>
      <c r="O224" t="s">
        <v>872</v>
      </c>
      <c r="P224">
        <v>4991195</v>
      </c>
      <c r="Q224">
        <v>1</v>
      </c>
      <c r="R224">
        <v>97</v>
      </c>
      <c r="S224" t="s">
        <v>95</v>
      </c>
    </row>
    <row r="225" spans="1:19" x14ac:dyDescent="0.2">
      <c r="A225">
        <v>3081639</v>
      </c>
      <c r="B225" s="49">
        <v>46106</v>
      </c>
      <c r="C225" t="s">
        <v>97</v>
      </c>
      <c r="D225" t="s">
        <v>14</v>
      </c>
      <c r="E225">
        <v>495</v>
      </c>
      <c r="F225">
        <v>0</v>
      </c>
      <c r="G225">
        <v>495</v>
      </c>
      <c r="H225">
        <v>10000</v>
      </c>
      <c r="I225">
        <v>100</v>
      </c>
      <c r="J225" t="s">
        <v>749</v>
      </c>
      <c r="K225" t="s">
        <v>179</v>
      </c>
      <c r="L225" t="s">
        <v>750</v>
      </c>
      <c r="M225" t="s">
        <v>751</v>
      </c>
      <c r="N225" t="s">
        <v>109</v>
      </c>
      <c r="O225" t="s">
        <v>658</v>
      </c>
      <c r="P225">
        <v>4969879</v>
      </c>
      <c r="Q225">
        <v>1</v>
      </c>
      <c r="R225">
        <v>97</v>
      </c>
      <c r="S225" t="s">
        <v>95</v>
      </c>
    </row>
    <row r="226" spans="1:19" x14ac:dyDescent="0.2">
      <c r="A226">
        <v>3110685</v>
      </c>
      <c r="B226" s="49">
        <v>46112</v>
      </c>
      <c r="C226" t="s">
        <v>97</v>
      </c>
      <c r="D226" t="s">
        <v>14</v>
      </c>
      <c r="E226">
        <v>160</v>
      </c>
      <c r="F226">
        <v>0</v>
      </c>
      <c r="G226">
        <v>160</v>
      </c>
      <c r="H226">
        <v>10000</v>
      </c>
      <c r="I226">
        <v>100</v>
      </c>
      <c r="J226" t="s">
        <v>493</v>
      </c>
      <c r="K226" t="s">
        <v>180</v>
      </c>
      <c r="L226" t="s">
        <v>649</v>
      </c>
      <c r="M226" t="s">
        <v>873</v>
      </c>
      <c r="N226" t="s">
        <v>867</v>
      </c>
      <c r="O226" t="s">
        <v>874</v>
      </c>
      <c r="P226">
        <v>4992785</v>
      </c>
      <c r="Q226">
        <v>1</v>
      </c>
      <c r="R226">
        <v>100</v>
      </c>
      <c r="S226" t="s">
        <v>95</v>
      </c>
    </row>
    <row r="227" spans="1:19" x14ac:dyDescent="0.2">
      <c r="A227">
        <v>3096077</v>
      </c>
      <c r="B227" s="49">
        <v>46084</v>
      </c>
      <c r="C227" t="s">
        <v>97</v>
      </c>
      <c r="D227" t="s">
        <v>14</v>
      </c>
      <c r="E227">
        <v>3500</v>
      </c>
      <c r="F227">
        <v>0</v>
      </c>
      <c r="G227">
        <v>3500</v>
      </c>
      <c r="H227">
        <v>10000</v>
      </c>
      <c r="I227">
        <v>100</v>
      </c>
      <c r="J227" t="s">
        <v>493</v>
      </c>
      <c r="K227" t="s">
        <v>180</v>
      </c>
      <c r="L227" t="s">
        <v>857</v>
      </c>
      <c r="M227" t="s">
        <v>857</v>
      </c>
      <c r="N227" t="s">
        <v>109</v>
      </c>
      <c r="O227" t="s">
        <v>835</v>
      </c>
      <c r="P227">
        <v>4977664</v>
      </c>
      <c r="Q227">
        <v>1</v>
      </c>
      <c r="R227">
        <v>100</v>
      </c>
      <c r="S227" t="s">
        <v>95</v>
      </c>
    </row>
    <row r="228" spans="1:19" x14ac:dyDescent="0.2">
      <c r="A228">
        <v>3088390</v>
      </c>
      <c r="B228" s="49">
        <v>46091</v>
      </c>
      <c r="C228" t="s">
        <v>97</v>
      </c>
      <c r="D228" t="s">
        <v>14</v>
      </c>
      <c r="E228">
        <v>1554</v>
      </c>
      <c r="F228">
        <v>0</v>
      </c>
      <c r="G228">
        <v>1554</v>
      </c>
      <c r="H228">
        <v>10000</v>
      </c>
      <c r="I228">
        <v>100</v>
      </c>
      <c r="J228" t="s">
        <v>493</v>
      </c>
      <c r="K228" t="s">
        <v>180</v>
      </c>
      <c r="L228" t="s">
        <v>752</v>
      </c>
      <c r="M228" t="s">
        <v>753</v>
      </c>
      <c r="N228" t="s">
        <v>183</v>
      </c>
      <c r="O228" t="s">
        <v>642</v>
      </c>
      <c r="P228">
        <v>4975456</v>
      </c>
      <c r="Q228">
        <v>1</v>
      </c>
      <c r="R228">
        <v>100</v>
      </c>
      <c r="S228" t="s">
        <v>95</v>
      </c>
    </row>
    <row r="229" spans="1:19" x14ac:dyDescent="0.2">
      <c r="A229">
        <v>3083726</v>
      </c>
      <c r="B229" s="49">
        <v>46102</v>
      </c>
      <c r="C229" t="s">
        <v>97</v>
      </c>
      <c r="D229" t="s">
        <v>14</v>
      </c>
      <c r="E229">
        <v>5700</v>
      </c>
      <c r="F229">
        <v>0</v>
      </c>
      <c r="G229">
        <v>5700</v>
      </c>
      <c r="H229">
        <v>10000</v>
      </c>
      <c r="I229">
        <v>100</v>
      </c>
      <c r="J229" t="s">
        <v>493</v>
      </c>
      <c r="K229" t="s">
        <v>180</v>
      </c>
      <c r="L229" t="s">
        <v>649</v>
      </c>
      <c r="M229" t="s">
        <v>754</v>
      </c>
      <c r="N229" t="s">
        <v>198</v>
      </c>
      <c r="O229" t="s">
        <v>684</v>
      </c>
      <c r="P229">
        <v>4971287</v>
      </c>
      <c r="Q229">
        <v>1</v>
      </c>
      <c r="R229">
        <v>100</v>
      </c>
      <c r="S229" t="s">
        <v>95</v>
      </c>
    </row>
    <row r="230" spans="1:19" x14ac:dyDescent="0.2">
      <c r="A230">
        <v>3083726</v>
      </c>
      <c r="B230" s="49">
        <v>46102</v>
      </c>
      <c r="C230" t="s">
        <v>97</v>
      </c>
      <c r="D230" t="s">
        <v>14</v>
      </c>
      <c r="E230">
        <v>18676.2</v>
      </c>
      <c r="F230">
        <v>0</v>
      </c>
      <c r="G230">
        <v>18676.2</v>
      </c>
      <c r="H230">
        <v>10000</v>
      </c>
      <c r="I230">
        <v>100</v>
      </c>
      <c r="J230" t="s">
        <v>493</v>
      </c>
      <c r="K230" t="s">
        <v>180</v>
      </c>
      <c r="L230" t="s">
        <v>649</v>
      </c>
      <c r="M230" t="s">
        <v>755</v>
      </c>
      <c r="N230" t="s">
        <v>198</v>
      </c>
      <c r="O230" t="s">
        <v>684</v>
      </c>
      <c r="P230">
        <v>4971287</v>
      </c>
      <c r="Q230">
        <v>1</v>
      </c>
      <c r="R230">
        <v>100</v>
      </c>
      <c r="S230" t="s">
        <v>95</v>
      </c>
    </row>
    <row r="231" spans="1:19" x14ac:dyDescent="0.2">
      <c r="A231">
        <v>3110694</v>
      </c>
      <c r="B231" s="49">
        <v>46112</v>
      </c>
      <c r="C231" t="s">
        <v>97</v>
      </c>
      <c r="D231" t="s">
        <v>14</v>
      </c>
      <c r="E231">
        <v>60</v>
      </c>
      <c r="F231">
        <v>0</v>
      </c>
      <c r="G231">
        <v>60</v>
      </c>
      <c r="H231">
        <v>10000</v>
      </c>
      <c r="I231">
        <v>100</v>
      </c>
      <c r="J231" t="s">
        <v>497</v>
      </c>
      <c r="K231" t="s">
        <v>184</v>
      </c>
      <c r="L231" t="s">
        <v>649</v>
      </c>
      <c r="M231" t="s">
        <v>920</v>
      </c>
      <c r="N231" t="s">
        <v>867</v>
      </c>
      <c r="O231" t="s">
        <v>888</v>
      </c>
      <c r="P231">
        <v>4992794</v>
      </c>
      <c r="Q231">
        <v>1</v>
      </c>
      <c r="R231">
        <v>103</v>
      </c>
      <c r="S231" t="s">
        <v>95</v>
      </c>
    </row>
    <row r="232" spans="1:19" x14ac:dyDescent="0.2">
      <c r="A232">
        <v>3081699</v>
      </c>
      <c r="B232" s="49">
        <v>46106</v>
      </c>
      <c r="C232" t="s">
        <v>97</v>
      </c>
      <c r="D232" t="s">
        <v>14</v>
      </c>
      <c r="E232">
        <v>1748.25</v>
      </c>
      <c r="F232">
        <v>0</v>
      </c>
      <c r="G232">
        <v>1748.25</v>
      </c>
      <c r="H232">
        <v>10000</v>
      </c>
      <c r="I232">
        <v>100</v>
      </c>
      <c r="J232" t="s">
        <v>756</v>
      </c>
      <c r="K232" t="s">
        <v>185</v>
      </c>
      <c r="L232" t="s">
        <v>757</v>
      </c>
      <c r="M232" t="s">
        <v>758</v>
      </c>
      <c r="N232" t="s">
        <v>109</v>
      </c>
      <c r="O232" t="s">
        <v>759</v>
      </c>
      <c r="P232">
        <v>4969937</v>
      </c>
      <c r="Q232">
        <v>1</v>
      </c>
      <c r="R232">
        <v>102</v>
      </c>
      <c r="S232" t="s">
        <v>95</v>
      </c>
    </row>
    <row r="233" spans="1:19" x14ac:dyDescent="0.2">
      <c r="A233">
        <v>3105886</v>
      </c>
      <c r="B233" s="49">
        <v>46104</v>
      </c>
      <c r="C233" t="s">
        <v>97</v>
      </c>
      <c r="D233" t="s">
        <v>14</v>
      </c>
      <c r="E233">
        <v>0</v>
      </c>
      <c r="F233">
        <v>137</v>
      </c>
      <c r="G233">
        <v>-137</v>
      </c>
      <c r="H233">
        <v>10000</v>
      </c>
      <c r="I233">
        <v>100</v>
      </c>
      <c r="J233" t="s">
        <v>598</v>
      </c>
      <c r="K233" t="s">
        <v>187</v>
      </c>
      <c r="L233" t="s">
        <v>871</v>
      </c>
      <c r="M233" t="s">
        <v>762</v>
      </c>
      <c r="N233" t="s">
        <v>109</v>
      </c>
      <c r="O233" t="s">
        <v>872</v>
      </c>
      <c r="P233">
        <v>4991191</v>
      </c>
      <c r="Q233">
        <v>1</v>
      </c>
      <c r="R233">
        <v>105</v>
      </c>
      <c r="S233" t="s">
        <v>95</v>
      </c>
    </row>
    <row r="234" spans="1:19" x14ac:dyDescent="0.2">
      <c r="A234">
        <v>3088391</v>
      </c>
      <c r="B234" s="49">
        <v>46101</v>
      </c>
      <c r="C234" t="s">
        <v>97</v>
      </c>
      <c r="D234" t="s">
        <v>14</v>
      </c>
      <c r="E234">
        <v>3302.25</v>
      </c>
      <c r="F234">
        <v>0</v>
      </c>
      <c r="G234">
        <v>3302.25</v>
      </c>
      <c r="H234">
        <v>10000</v>
      </c>
      <c r="I234">
        <v>100</v>
      </c>
      <c r="J234" t="s">
        <v>598</v>
      </c>
      <c r="K234" t="s">
        <v>187</v>
      </c>
      <c r="L234" t="s">
        <v>752</v>
      </c>
      <c r="M234" t="s">
        <v>760</v>
      </c>
      <c r="N234" t="s">
        <v>183</v>
      </c>
      <c r="O234" t="s">
        <v>642</v>
      </c>
      <c r="P234">
        <v>4975457</v>
      </c>
      <c r="Q234">
        <v>1</v>
      </c>
      <c r="R234">
        <v>105</v>
      </c>
      <c r="S234" t="s">
        <v>95</v>
      </c>
    </row>
    <row r="235" spans="1:19" x14ac:dyDescent="0.2">
      <c r="A235">
        <v>3083726</v>
      </c>
      <c r="B235" s="49">
        <v>46102</v>
      </c>
      <c r="C235" t="s">
        <v>97</v>
      </c>
      <c r="D235" t="s">
        <v>14</v>
      </c>
      <c r="E235">
        <v>5600</v>
      </c>
      <c r="F235">
        <v>0</v>
      </c>
      <c r="G235">
        <v>5600</v>
      </c>
      <c r="H235">
        <v>10000</v>
      </c>
      <c r="I235">
        <v>100</v>
      </c>
      <c r="J235" t="s">
        <v>598</v>
      </c>
      <c r="K235" t="s">
        <v>187</v>
      </c>
      <c r="L235" t="s">
        <v>649</v>
      </c>
      <c r="M235" t="s">
        <v>761</v>
      </c>
      <c r="N235" t="s">
        <v>198</v>
      </c>
      <c r="O235" t="s">
        <v>684</v>
      </c>
      <c r="P235">
        <v>4971287</v>
      </c>
      <c r="Q235">
        <v>1</v>
      </c>
      <c r="R235">
        <v>105</v>
      </c>
      <c r="S235" t="s">
        <v>95</v>
      </c>
    </row>
    <row r="236" spans="1:19" x14ac:dyDescent="0.2">
      <c r="A236">
        <v>3081641</v>
      </c>
      <c r="B236" s="49">
        <v>46104</v>
      </c>
      <c r="C236" t="s">
        <v>97</v>
      </c>
      <c r="D236" t="s">
        <v>14</v>
      </c>
      <c r="E236">
        <v>137</v>
      </c>
      <c r="F236">
        <v>0</v>
      </c>
      <c r="G236">
        <v>137</v>
      </c>
      <c r="H236">
        <v>10000</v>
      </c>
      <c r="I236">
        <v>100</v>
      </c>
      <c r="J236" t="s">
        <v>598</v>
      </c>
      <c r="K236" t="s">
        <v>187</v>
      </c>
      <c r="L236" t="s">
        <v>697</v>
      </c>
      <c r="M236" t="s">
        <v>762</v>
      </c>
      <c r="N236" t="s">
        <v>109</v>
      </c>
      <c r="O236" t="s">
        <v>658</v>
      </c>
      <c r="P236">
        <v>4969883</v>
      </c>
      <c r="Q236">
        <v>1</v>
      </c>
      <c r="R236">
        <v>105</v>
      </c>
      <c r="S236" t="s">
        <v>95</v>
      </c>
    </row>
    <row r="237" spans="1:19" x14ac:dyDescent="0.2">
      <c r="A237">
        <v>3097666</v>
      </c>
      <c r="B237" s="49">
        <v>46100</v>
      </c>
      <c r="C237" t="s">
        <v>102</v>
      </c>
      <c r="D237" t="s">
        <v>61</v>
      </c>
      <c r="E237">
        <v>34130.32</v>
      </c>
      <c r="F237">
        <v>0</v>
      </c>
      <c r="G237">
        <v>34130.32</v>
      </c>
      <c r="H237">
        <v>10000</v>
      </c>
      <c r="I237">
        <v>100</v>
      </c>
      <c r="J237" t="s">
        <v>192</v>
      </c>
      <c r="K237" t="s">
        <v>3</v>
      </c>
      <c r="L237" t="s">
        <v>858</v>
      </c>
      <c r="M237" t="s">
        <v>859</v>
      </c>
      <c r="N237" t="s">
        <v>109</v>
      </c>
      <c r="O237" t="s">
        <v>819</v>
      </c>
      <c r="P237">
        <v>4977769</v>
      </c>
      <c r="Q237">
        <v>1</v>
      </c>
      <c r="R237">
        <v>27</v>
      </c>
      <c r="S237" t="s">
        <v>95</v>
      </c>
    </row>
    <row r="238" spans="1:19" x14ac:dyDescent="0.2">
      <c r="A238">
        <v>3063609</v>
      </c>
      <c r="B238" s="49">
        <v>46101</v>
      </c>
      <c r="C238" t="s">
        <v>102</v>
      </c>
      <c r="D238" t="s">
        <v>61</v>
      </c>
      <c r="E238">
        <v>41334.11</v>
      </c>
      <c r="F238">
        <v>0</v>
      </c>
      <c r="G238">
        <v>41334.11</v>
      </c>
      <c r="H238">
        <v>10000</v>
      </c>
      <c r="I238">
        <v>100</v>
      </c>
      <c r="J238" t="s">
        <v>189</v>
      </c>
      <c r="K238" t="s">
        <v>43</v>
      </c>
      <c r="L238" t="s">
        <v>507</v>
      </c>
      <c r="M238" t="s">
        <v>508</v>
      </c>
      <c r="N238" t="s">
        <v>109</v>
      </c>
      <c r="O238" t="s">
        <v>509</v>
      </c>
      <c r="P238">
        <v>4955133</v>
      </c>
      <c r="Q238">
        <v>1</v>
      </c>
      <c r="R238">
        <v>32</v>
      </c>
      <c r="S238" t="s">
        <v>95</v>
      </c>
    </row>
    <row r="239" spans="1:19" x14ac:dyDescent="0.2">
      <c r="A239">
        <v>3081697</v>
      </c>
      <c r="B239" s="49">
        <v>46111</v>
      </c>
      <c r="C239" t="s">
        <v>102</v>
      </c>
      <c r="D239" t="s">
        <v>61</v>
      </c>
      <c r="E239">
        <v>0</v>
      </c>
      <c r="F239">
        <v>2500</v>
      </c>
      <c r="G239">
        <v>-2500</v>
      </c>
      <c r="H239">
        <v>10000</v>
      </c>
      <c r="I239">
        <v>100</v>
      </c>
      <c r="J239" t="s">
        <v>104</v>
      </c>
      <c r="K239" t="s">
        <v>54</v>
      </c>
      <c r="L239" t="s">
        <v>225</v>
      </c>
      <c r="M239" t="s">
        <v>226</v>
      </c>
      <c r="N239" t="s">
        <v>183</v>
      </c>
      <c r="O239" t="s">
        <v>763</v>
      </c>
      <c r="P239">
        <v>4969932</v>
      </c>
      <c r="Q239">
        <v>1</v>
      </c>
      <c r="R239">
        <v>6</v>
      </c>
      <c r="S239" t="s">
        <v>95</v>
      </c>
    </row>
    <row r="240" spans="1:19" x14ac:dyDescent="0.2">
      <c r="A240">
        <v>3081697</v>
      </c>
      <c r="B240" s="49">
        <v>46111</v>
      </c>
      <c r="C240" t="s">
        <v>102</v>
      </c>
      <c r="D240" t="s">
        <v>61</v>
      </c>
      <c r="E240">
        <v>0</v>
      </c>
      <c r="F240">
        <v>4500</v>
      </c>
      <c r="G240">
        <v>-4500</v>
      </c>
      <c r="H240">
        <v>10000</v>
      </c>
      <c r="I240">
        <v>100</v>
      </c>
      <c r="J240" t="s">
        <v>104</v>
      </c>
      <c r="K240" t="s">
        <v>54</v>
      </c>
      <c r="L240" t="s">
        <v>225</v>
      </c>
      <c r="M240" t="s">
        <v>230</v>
      </c>
      <c r="N240" t="s">
        <v>183</v>
      </c>
      <c r="O240" t="s">
        <v>763</v>
      </c>
      <c r="P240">
        <v>4969932</v>
      </c>
      <c r="Q240">
        <v>1</v>
      </c>
      <c r="R240">
        <v>6</v>
      </c>
      <c r="S240" t="s">
        <v>95</v>
      </c>
    </row>
    <row r="241" spans="1:19" x14ac:dyDescent="0.2">
      <c r="A241">
        <v>3081697</v>
      </c>
      <c r="B241" s="49">
        <v>46111</v>
      </c>
      <c r="C241" t="s">
        <v>102</v>
      </c>
      <c r="D241" t="s">
        <v>61</v>
      </c>
      <c r="E241">
        <v>0</v>
      </c>
      <c r="F241">
        <v>2500</v>
      </c>
      <c r="G241">
        <v>-2500</v>
      </c>
      <c r="H241">
        <v>10000</v>
      </c>
      <c r="I241">
        <v>100</v>
      </c>
      <c r="J241" t="s">
        <v>104</v>
      </c>
      <c r="K241" t="s">
        <v>54</v>
      </c>
      <c r="L241" t="s">
        <v>225</v>
      </c>
      <c r="M241" t="s">
        <v>229</v>
      </c>
      <c r="N241" t="s">
        <v>183</v>
      </c>
      <c r="O241" t="s">
        <v>763</v>
      </c>
      <c r="P241">
        <v>4969932</v>
      </c>
      <c r="Q241">
        <v>1</v>
      </c>
      <c r="R241">
        <v>6</v>
      </c>
      <c r="S241" t="s">
        <v>95</v>
      </c>
    </row>
    <row r="242" spans="1:19" x14ac:dyDescent="0.2">
      <c r="A242">
        <v>3081697</v>
      </c>
      <c r="B242" s="49">
        <v>46111</v>
      </c>
      <c r="C242" t="s">
        <v>102</v>
      </c>
      <c r="D242" t="s">
        <v>61</v>
      </c>
      <c r="E242">
        <v>0</v>
      </c>
      <c r="F242">
        <v>25000</v>
      </c>
      <c r="G242">
        <v>-25000</v>
      </c>
      <c r="H242">
        <v>10000</v>
      </c>
      <c r="I242">
        <v>100</v>
      </c>
      <c r="J242" t="s">
        <v>104</v>
      </c>
      <c r="K242" t="s">
        <v>54</v>
      </c>
      <c r="L242" t="s">
        <v>225</v>
      </c>
      <c r="M242" t="s">
        <v>232</v>
      </c>
      <c r="N242" t="s">
        <v>183</v>
      </c>
      <c r="O242" t="s">
        <v>763</v>
      </c>
      <c r="P242">
        <v>4969932</v>
      </c>
      <c r="Q242">
        <v>1</v>
      </c>
      <c r="R242">
        <v>6</v>
      </c>
      <c r="S242" t="s">
        <v>95</v>
      </c>
    </row>
    <row r="243" spans="1:19" x14ac:dyDescent="0.2">
      <c r="A243">
        <v>3081697</v>
      </c>
      <c r="B243" s="49">
        <v>46111</v>
      </c>
      <c r="C243" t="s">
        <v>102</v>
      </c>
      <c r="D243" t="s">
        <v>61</v>
      </c>
      <c r="E243">
        <v>0</v>
      </c>
      <c r="F243">
        <v>14000</v>
      </c>
      <c r="G243">
        <v>-14000</v>
      </c>
      <c r="H243">
        <v>10000</v>
      </c>
      <c r="I243">
        <v>100</v>
      </c>
      <c r="J243" t="s">
        <v>104</v>
      </c>
      <c r="K243" t="s">
        <v>54</v>
      </c>
      <c r="L243" t="s">
        <v>225</v>
      </c>
      <c r="M243" t="s">
        <v>234</v>
      </c>
      <c r="N243" t="s">
        <v>183</v>
      </c>
      <c r="O243" t="s">
        <v>763</v>
      </c>
      <c r="P243">
        <v>4969932</v>
      </c>
      <c r="Q243">
        <v>1</v>
      </c>
      <c r="R243">
        <v>6</v>
      </c>
      <c r="S243" t="s">
        <v>95</v>
      </c>
    </row>
    <row r="244" spans="1:19" x14ac:dyDescent="0.2">
      <c r="A244">
        <v>3081697</v>
      </c>
      <c r="B244" s="49">
        <v>46111</v>
      </c>
      <c r="C244" t="s">
        <v>102</v>
      </c>
      <c r="D244" t="s">
        <v>61</v>
      </c>
      <c r="E244">
        <v>0</v>
      </c>
      <c r="F244">
        <v>14000</v>
      </c>
      <c r="G244">
        <v>-14000</v>
      </c>
      <c r="H244">
        <v>10000</v>
      </c>
      <c r="I244">
        <v>100</v>
      </c>
      <c r="J244" t="s">
        <v>104</v>
      </c>
      <c r="K244" t="s">
        <v>54</v>
      </c>
      <c r="L244" t="s">
        <v>225</v>
      </c>
      <c r="M244" t="s">
        <v>233</v>
      </c>
      <c r="N244" t="s">
        <v>183</v>
      </c>
      <c r="O244" t="s">
        <v>763</v>
      </c>
      <c r="P244">
        <v>4969932</v>
      </c>
      <c r="Q244">
        <v>1</v>
      </c>
      <c r="R244">
        <v>6</v>
      </c>
      <c r="S244" t="s">
        <v>95</v>
      </c>
    </row>
    <row r="245" spans="1:19" x14ac:dyDescent="0.2">
      <c r="A245">
        <v>3081697</v>
      </c>
      <c r="B245" s="49">
        <v>46111</v>
      </c>
      <c r="C245" t="s">
        <v>102</v>
      </c>
      <c r="D245" t="s">
        <v>61</v>
      </c>
      <c r="E245">
        <v>0</v>
      </c>
      <c r="F245">
        <v>14000</v>
      </c>
      <c r="G245">
        <v>-14000</v>
      </c>
      <c r="H245">
        <v>10000</v>
      </c>
      <c r="I245">
        <v>100</v>
      </c>
      <c r="J245" t="s">
        <v>104</v>
      </c>
      <c r="K245" t="s">
        <v>54</v>
      </c>
      <c r="L245" t="s">
        <v>225</v>
      </c>
      <c r="M245" t="s">
        <v>231</v>
      </c>
      <c r="N245" t="s">
        <v>183</v>
      </c>
      <c r="O245" t="s">
        <v>763</v>
      </c>
      <c r="P245">
        <v>4969932</v>
      </c>
      <c r="Q245">
        <v>1</v>
      </c>
      <c r="R245">
        <v>6</v>
      </c>
      <c r="S245" t="s">
        <v>95</v>
      </c>
    </row>
    <row r="246" spans="1:19" x14ac:dyDescent="0.2">
      <c r="A246">
        <v>3021130</v>
      </c>
      <c r="B246" s="49">
        <v>46082</v>
      </c>
      <c r="C246" t="s">
        <v>102</v>
      </c>
      <c r="D246" t="s">
        <v>61</v>
      </c>
      <c r="E246">
        <v>4500</v>
      </c>
      <c r="F246">
        <v>0</v>
      </c>
      <c r="G246">
        <v>4500</v>
      </c>
      <c r="H246">
        <v>10000</v>
      </c>
      <c r="I246">
        <v>100</v>
      </c>
      <c r="J246" t="s">
        <v>104</v>
      </c>
      <c r="K246" t="s">
        <v>54</v>
      </c>
      <c r="L246" t="s">
        <v>225</v>
      </c>
      <c r="M246" t="s">
        <v>230</v>
      </c>
      <c r="N246" t="s">
        <v>227</v>
      </c>
      <c r="O246" t="s">
        <v>228</v>
      </c>
      <c r="P246">
        <v>4921306</v>
      </c>
      <c r="Q246">
        <v>1</v>
      </c>
      <c r="R246">
        <v>6</v>
      </c>
      <c r="S246" t="s">
        <v>95</v>
      </c>
    </row>
    <row r="247" spans="1:19" x14ac:dyDescent="0.2">
      <c r="A247">
        <v>3021130</v>
      </c>
      <c r="B247" s="49">
        <v>46082</v>
      </c>
      <c r="C247" t="s">
        <v>102</v>
      </c>
      <c r="D247" t="s">
        <v>61</v>
      </c>
      <c r="E247">
        <v>2500</v>
      </c>
      <c r="F247">
        <v>0</v>
      </c>
      <c r="G247">
        <v>2500</v>
      </c>
      <c r="H247">
        <v>10000</v>
      </c>
      <c r="I247">
        <v>100</v>
      </c>
      <c r="J247" t="s">
        <v>104</v>
      </c>
      <c r="K247" t="s">
        <v>54</v>
      </c>
      <c r="L247" t="s">
        <v>225</v>
      </c>
      <c r="M247" t="s">
        <v>226</v>
      </c>
      <c r="N247" t="s">
        <v>227</v>
      </c>
      <c r="O247" t="s">
        <v>228</v>
      </c>
      <c r="P247">
        <v>4921306</v>
      </c>
      <c r="Q247">
        <v>1</v>
      </c>
      <c r="R247">
        <v>6</v>
      </c>
      <c r="S247" t="s">
        <v>95</v>
      </c>
    </row>
    <row r="248" spans="1:19" x14ac:dyDescent="0.2">
      <c r="A248">
        <v>3021130</v>
      </c>
      <c r="B248" s="49">
        <v>46082</v>
      </c>
      <c r="C248" t="s">
        <v>102</v>
      </c>
      <c r="D248" t="s">
        <v>61</v>
      </c>
      <c r="E248">
        <v>2500</v>
      </c>
      <c r="F248">
        <v>0</v>
      </c>
      <c r="G248">
        <v>2500</v>
      </c>
      <c r="H248">
        <v>10000</v>
      </c>
      <c r="I248">
        <v>100</v>
      </c>
      <c r="J248" t="s">
        <v>104</v>
      </c>
      <c r="K248" t="s">
        <v>54</v>
      </c>
      <c r="L248" t="s">
        <v>225</v>
      </c>
      <c r="M248" t="s">
        <v>229</v>
      </c>
      <c r="N248" t="s">
        <v>227</v>
      </c>
      <c r="O248" t="s">
        <v>228</v>
      </c>
      <c r="P248">
        <v>4921306</v>
      </c>
      <c r="Q248">
        <v>1</v>
      </c>
      <c r="R248">
        <v>6</v>
      </c>
      <c r="S248" t="s">
        <v>95</v>
      </c>
    </row>
    <row r="249" spans="1:19" x14ac:dyDescent="0.2">
      <c r="A249">
        <v>3021130</v>
      </c>
      <c r="B249" s="49">
        <v>46082</v>
      </c>
      <c r="C249" t="s">
        <v>102</v>
      </c>
      <c r="D249" t="s">
        <v>61</v>
      </c>
      <c r="E249">
        <v>14000</v>
      </c>
      <c r="F249">
        <v>0</v>
      </c>
      <c r="G249">
        <v>14000</v>
      </c>
      <c r="H249">
        <v>10000</v>
      </c>
      <c r="I249">
        <v>100</v>
      </c>
      <c r="J249" t="s">
        <v>104</v>
      </c>
      <c r="K249" t="s">
        <v>54</v>
      </c>
      <c r="L249" t="s">
        <v>225</v>
      </c>
      <c r="M249" t="s">
        <v>231</v>
      </c>
      <c r="N249" t="s">
        <v>227</v>
      </c>
      <c r="O249" t="s">
        <v>228</v>
      </c>
      <c r="P249">
        <v>4921306</v>
      </c>
      <c r="Q249">
        <v>1</v>
      </c>
      <c r="R249">
        <v>6</v>
      </c>
      <c r="S249" t="s">
        <v>95</v>
      </c>
    </row>
    <row r="250" spans="1:19" x14ac:dyDescent="0.2">
      <c r="A250">
        <v>3021130</v>
      </c>
      <c r="B250" s="49">
        <v>46082</v>
      </c>
      <c r="C250" t="s">
        <v>102</v>
      </c>
      <c r="D250" t="s">
        <v>61</v>
      </c>
      <c r="E250">
        <v>14000</v>
      </c>
      <c r="F250">
        <v>0</v>
      </c>
      <c r="G250">
        <v>14000</v>
      </c>
      <c r="H250">
        <v>10000</v>
      </c>
      <c r="I250">
        <v>100</v>
      </c>
      <c r="J250" t="s">
        <v>104</v>
      </c>
      <c r="K250" t="s">
        <v>54</v>
      </c>
      <c r="L250" t="s">
        <v>225</v>
      </c>
      <c r="M250" t="s">
        <v>234</v>
      </c>
      <c r="N250" t="s">
        <v>227</v>
      </c>
      <c r="O250" t="s">
        <v>228</v>
      </c>
      <c r="P250">
        <v>4921306</v>
      </c>
      <c r="Q250">
        <v>1</v>
      </c>
      <c r="R250">
        <v>6</v>
      </c>
      <c r="S250" t="s">
        <v>95</v>
      </c>
    </row>
    <row r="251" spans="1:19" x14ac:dyDescent="0.2">
      <c r="A251">
        <v>3021130</v>
      </c>
      <c r="B251" s="49">
        <v>46082</v>
      </c>
      <c r="C251" t="s">
        <v>102</v>
      </c>
      <c r="D251" t="s">
        <v>61</v>
      </c>
      <c r="E251">
        <v>25000</v>
      </c>
      <c r="F251">
        <v>0</v>
      </c>
      <c r="G251">
        <v>25000</v>
      </c>
      <c r="H251">
        <v>10000</v>
      </c>
      <c r="I251">
        <v>100</v>
      </c>
      <c r="J251" t="s">
        <v>104</v>
      </c>
      <c r="K251" t="s">
        <v>54</v>
      </c>
      <c r="L251" t="s">
        <v>225</v>
      </c>
      <c r="M251" t="s">
        <v>232</v>
      </c>
      <c r="N251" t="s">
        <v>227</v>
      </c>
      <c r="O251" t="s">
        <v>228</v>
      </c>
      <c r="P251">
        <v>4921306</v>
      </c>
      <c r="Q251">
        <v>1</v>
      </c>
      <c r="R251">
        <v>6</v>
      </c>
      <c r="S251" t="s">
        <v>95</v>
      </c>
    </row>
    <row r="252" spans="1:19" x14ac:dyDescent="0.2">
      <c r="A252">
        <v>3021130</v>
      </c>
      <c r="B252" s="49">
        <v>46082</v>
      </c>
      <c r="C252" t="s">
        <v>102</v>
      </c>
      <c r="D252" t="s">
        <v>61</v>
      </c>
      <c r="E252">
        <v>14000</v>
      </c>
      <c r="F252">
        <v>0</v>
      </c>
      <c r="G252">
        <v>14000</v>
      </c>
      <c r="H252">
        <v>10000</v>
      </c>
      <c r="I252">
        <v>100</v>
      </c>
      <c r="J252" t="s">
        <v>104</v>
      </c>
      <c r="K252" t="s">
        <v>54</v>
      </c>
      <c r="L252" t="s">
        <v>225</v>
      </c>
      <c r="M252" t="s">
        <v>233</v>
      </c>
      <c r="N252" t="s">
        <v>227</v>
      </c>
      <c r="O252" t="s">
        <v>228</v>
      </c>
      <c r="P252">
        <v>4921306</v>
      </c>
      <c r="Q252">
        <v>1</v>
      </c>
      <c r="R252">
        <v>6</v>
      </c>
      <c r="S252" t="s">
        <v>95</v>
      </c>
    </row>
    <row r="253" spans="1:19" x14ac:dyDescent="0.2">
      <c r="A253">
        <v>3054360</v>
      </c>
      <c r="B253" s="49">
        <v>46090</v>
      </c>
      <c r="C253" t="s">
        <v>102</v>
      </c>
      <c r="D253" t="s">
        <v>61</v>
      </c>
      <c r="E253">
        <v>1800</v>
      </c>
      <c r="F253">
        <v>0</v>
      </c>
      <c r="G253">
        <v>1800</v>
      </c>
      <c r="H253">
        <v>10000</v>
      </c>
      <c r="I253">
        <v>100</v>
      </c>
      <c r="J253" t="s">
        <v>188</v>
      </c>
      <c r="K253" t="s">
        <v>37</v>
      </c>
      <c r="L253" t="s">
        <v>368</v>
      </c>
      <c r="M253" t="s">
        <v>369</v>
      </c>
      <c r="N253" t="s">
        <v>109</v>
      </c>
      <c r="O253" t="s">
        <v>370</v>
      </c>
      <c r="P253">
        <v>4946957</v>
      </c>
      <c r="Q253">
        <v>1</v>
      </c>
      <c r="R253">
        <v>36</v>
      </c>
      <c r="S253" t="s">
        <v>95</v>
      </c>
    </row>
    <row r="254" spans="1:19" x14ac:dyDescent="0.2">
      <c r="A254">
        <v>3054265</v>
      </c>
      <c r="B254" s="49">
        <v>46090</v>
      </c>
      <c r="C254" t="s">
        <v>102</v>
      </c>
      <c r="D254" t="s">
        <v>61</v>
      </c>
      <c r="E254">
        <v>8000</v>
      </c>
      <c r="F254">
        <v>0</v>
      </c>
      <c r="G254">
        <v>8000</v>
      </c>
      <c r="H254">
        <v>10000</v>
      </c>
      <c r="I254">
        <v>100</v>
      </c>
      <c r="J254" t="s">
        <v>196</v>
      </c>
      <c r="K254" t="s">
        <v>60</v>
      </c>
      <c r="L254" t="s">
        <v>371</v>
      </c>
      <c r="M254" t="s">
        <v>372</v>
      </c>
      <c r="N254" t="s">
        <v>109</v>
      </c>
      <c r="O254" t="s">
        <v>373</v>
      </c>
      <c r="P254">
        <v>4946902</v>
      </c>
      <c r="Q254">
        <v>1</v>
      </c>
      <c r="R254">
        <v>60</v>
      </c>
      <c r="S254" t="s">
        <v>95</v>
      </c>
    </row>
    <row r="255" spans="1:19" x14ac:dyDescent="0.2">
      <c r="A255">
        <v>3054358</v>
      </c>
      <c r="B255" s="49">
        <v>46090</v>
      </c>
      <c r="C255" t="s">
        <v>102</v>
      </c>
      <c r="D255" t="s">
        <v>61</v>
      </c>
      <c r="E255">
        <v>8420</v>
      </c>
      <c r="F255">
        <v>0</v>
      </c>
      <c r="G255">
        <v>8420</v>
      </c>
      <c r="H255">
        <v>10000</v>
      </c>
      <c r="I255">
        <v>100</v>
      </c>
      <c r="J255" t="s">
        <v>374</v>
      </c>
      <c r="K255" t="s">
        <v>66</v>
      </c>
      <c r="L255" t="s">
        <v>375</v>
      </c>
      <c r="M255" t="s">
        <v>376</v>
      </c>
      <c r="N255" t="s">
        <v>109</v>
      </c>
      <c r="O255" t="s">
        <v>370</v>
      </c>
      <c r="P255">
        <v>4946956</v>
      </c>
      <c r="Q255">
        <v>1</v>
      </c>
      <c r="R255">
        <v>65</v>
      </c>
      <c r="S255" t="s">
        <v>95</v>
      </c>
    </row>
    <row r="256" spans="1:19" x14ac:dyDescent="0.2">
      <c r="A256">
        <v>3054287</v>
      </c>
      <c r="B256" s="49">
        <v>46090</v>
      </c>
      <c r="C256" t="s">
        <v>102</v>
      </c>
      <c r="D256" t="s">
        <v>61</v>
      </c>
      <c r="E256">
        <v>8860</v>
      </c>
      <c r="F256">
        <v>0</v>
      </c>
      <c r="G256">
        <v>8860</v>
      </c>
      <c r="H256">
        <v>10000</v>
      </c>
      <c r="I256">
        <v>100</v>
      </c>
      <c r="J256" t="s">
        <v>377</v>
      </c>
      <c r="K256" t="s">
        <v>115</v>
      </c>
      <c r="L256" t="s">
        <v>378</v>
      </c>
      <c r="M256" t="s">
        <v>379</v>
      </c>
      <c r="N256" t="s">
        <v>109</v>
      </c>
      <c r="O256" t="s">
        <v>373</v>
      </c>
      <c r="P256">
        <v>4946912</v>
      </c>
      <c r="Q256">
        <v>1</v>
      </c>
      <c r="R256">
        <v>75</v>
      </c>
      <c r="S256" t="s">
        <v>95</v>
      </c>
    </row>
    <row r="257" spans="1:19" x14ac:dyDescent="0.2">
      <c r="A257">
        <v>3054298</v>
      </c>
      <c r="B257" s="49">
        <v>46090</v>
      </c>
      <c r="C257" t="s">
        <v>102</v>
      </c>
      <c r="D257" t="s">
        <v>61</v>
      </c>
      <c r="E257">
        <v>46000</v>
      </c>
      <c r="F257">
        <v>0</v>
      </c>
      <c r="G257">
        <v>46000</v>
      </c>
      <c r="H257">
        <v>10000</v>
      </c>
      <c r="I257">
        <v>100</v>
      </c>
      <c r="J257" t="s">
        <v>380</v>
      </c>
      <c r="K257" t="s">
        <v>123</v>
      </c>
      <c r="L257" t="s">
        <v>381</v>
      </c>
      <c r="M257" t="s">
        <v>382</v>
      </c>
      <c r="N257" t="s">
        <v>109</v>
      </c>
      <c r="O257" t="s">
        <v>373</v>
      </c>
      <c r="P257">
        <v>4946914</v>
      </c>
      <c r="Q257">
        <v>1</v>
      </c>
      <c r="R257">
        <v>81</v>
      </c>
      <c r="S257" t="s">
        <v>95</v>
      </c>
    </row>
    <row r="258" spans="1:19" x14ac:dyDescent="0.2">
      <c r="A258">
        <v>3053126</v>
      </c>
      <c r="B258" s="49">
        <v>46082</v>
      </c>
      <c r="C258" t="s">
        <v>102</v>
      </c>
      <c r="D258" t="s">
        <v>61</v>
      </c>
      <c r="E258">
        <v>6100</v>
      </c>
      <c r="F258">
        <v>0</v>
      </c>
      <c r="G258">
        <v>6100</v>
      </c>
      <c r="H258">
        <v>10000</v>
      </c>
      <c r="I258">
        <v>100</v>
      </c>
      <c r="J258" t="s">
        <v>383</v>
      </c>
      <c r="K258" t="s">
        <v>137</v>
      </c>
      <c r="L258" t="s">
        <v>384</v>
      </c>
      <c r="M258" t="s">
        <v>385</v>
      </c>
      <c r="N258" t="s">
        <v>109</v>
      </c>
      <c r="O258" t="s">
        <v>386</v>
      </c>
      <c r="P258">
        <v>4945107</v>
      </c>
      <c r="Q258">
        <v>1</v>
      </c>
      <c r="R258">
        <v>91</v>
      </c>
      <c r="S258" t="s">
        <v>95</v>
      </c>
    </row>
    <row r="259" spans="1:19" x14ac:dyDescent="0.2">
      <c r="A259">
        <v>3068044</v>
      </c>
      <c r="B259" s="49">
        <v>46082</v>
      </c>
      <c r="C259" t="s">
        <v>103</v>
      </c>
      <c r="D259" t="s">
        <v>12</v>
      </c>
      <c r="E259">
        <v>0</v>
      </c>
      <c r="F259">
        <v>3700</v>
      </c>
      <c r="G259">
        <v>-3700</v>
      </c>
      <c r="H259">
        <v>10000</v>
      </c>
      <c r="I259">
        <v>100</v>
      </c>
      <c r="J259" t="s">
        <v>192</v>
      </c>
      <c r="K259" t="s">
        <v>3</v>
      </c>
      <c r="L259" t="s">
        <v>235</v>
      </c>
      <c r="M259" t="s">
        <v>235</v>
      </c>
      <c r="N259" t="s">
        <v>183</v>
      </c>
      <c r="O259" t="s">
        <v>510</v>
      </c>
      <c r="P259">
        <v>4958908</v>
      </c>
      <c r="Q259">
        <v>1</v>
      </c>
      <c r="R259">
        <v>27</v>
      </c>
      <c r="S259" t="s">
        <v>95</v>
      </c>
    </row>
    <row r="260" spans="1:19" x14ac:dyDescent="0.2">
      <c r="A260">
        <v>3054422</v>
      </c>
      <c r="B260" s="49">
        <v>46090</v>
      </c>
      <c r="C260" t="s">
        <v>103</v>
      </c>
      <c r="D260" t="s">
        <v>12</v>
      </c>
      <c r="E260">
        <v>1920</v>
      </c>
      <c r="F260">
        <v>0</v>
      </c>
      <c r="G260">
        <v>1920</v>
      </c>
      <c r="H260">
        <v>10000</v>
      </c>
      <c r="I260">
        <v>100</v>
      </c>
      <c r="J260" t="s">
        <v>192</v>
      </c>
      <c r="K260" t="s">
        <v>3</v>
      </c>
      <c r="L260" t="s">
        <v>511</v>
      </c>
      <c r="M260" t="s">
        <v>512</v>
      </c>
      <c r="N260" t="s">
        <v>109</v>
      </c>
      <c r="O260" t="s">
        <v>513</v>
      </c>
      <c r="P260">
        <v>4947020</v>
      </c>
      <c r="Q260">
        <v>1</v>
      </c>
      <c r="R260">
        <v>27</v>
      </c>
      <c r="S260" t="s">
        <v>95</v>
      </c>
    </row>
    <row r="261" spans="1:19" x14ac:dyDescent="0.2">
      <c r="A261">
        <v>3053123</v>
      </c>
      <c r="B261" s="49">
        <v>46082</v>
      </c>
      <c r="C261" t="s">
        <v>103</v>
      </c>
      <c r="D261" t="s">
        <v>12</v>
      </c>
      <c r="E261">
        <v>2500</v>
      </c>
      <c r="F261">
        <v>0</v>
      </c>
      <c r="G261">
        <v>2500</v>
      </c>
      <c r="H261">
        <v>10000</v>
      </c>
      <c r="I261">
        <v>100</v>
      </c>
      <c r="J261" t="s">
        <v>192</v>
      </c>
      <c r="K261" t="s">
        <v>3</v>
      </c>
      <c r="L261" t="s">
        <v>387</v>
      </c>
      <c r="M261" t="s">
        <v>388</v>
      </c>
      <c r="N261" t="s">
        <v>109</v>
      </c>
      <c r="O261" t="s">
        <v>386</v>
      </c>
      <c r="P261">
        <v>4945106</v>
      </c>
      <c r="Q261">
        <v>1</v>
      </c>
      <c r="R261">
        <v>27</v>
      </c>
      <c r="S261" t="s">
        <v>95</v>
      </c>
    </row>
    <row r="262" spans="1:19" x14ac:dyDescent="0.2">
      <c r="A262">
        <v>3043210</v>
      </c>
      <c r="B262" s="49">
        <v>46097</v>
      </c>
      <c r="C262" t="s">
        <v>103</v>
      </c>
      <c r="D262" t="s">
        <v>12</v>
      </c>
      <c r="E262">
        <v>1486.95</v>
      </c>
      <c r="F262">
        <v>0</v>
      </c>
      <c r="G262">
        <v>1486.95</v>
      </c>
      <c r="H262">
        <v>10000</v>
      </c>
      <c r="I262">
        <v>100</v>
      </c>
      <c r="J262" t="s">
        <v>192</v>
      </c>
      <c r="K262" t="s">
        <v>3</v>
      </c>
      <c r="L262" t="s">
        <v>389</v>
      </c>
      <c r="M262" t="s">
        <v>390</v>
      </c>
      <c r="N262" t="s">
        <v>109</v>
      </c>
      <c r="O262" t="s">
        <v>289</v>
      </c>
      <c r="P262">
        <v>4937758</v>
      </c>
      <c r="Q262">
        <v>1</v>
      </c>
      <c r="R262">
        <v>27</v>
      </c>
      <c r="S262" t="s">
        <v>95</v>
      </c>
    </row>
    <row r="263" spans="1:19" x14ac:dyDescent="0.2">
      <c r="A263">
        <v>3009121</v>
      </c>
      <c r="B263" s="49">
        <v>46082</v>
      </c>
      <c r="C263" t="s">
        <v>103</v>
      </c>
      <c r="D263" t="s">
        <v>12</v>
      </c>
      <c r="E263">
        <v>3700</v>
      </c>
      <c r="F263">
        <v>0</v>
      </c>
      <c r="G263">
        <v>3700</v>
      </c>
      <c r="H263">
        <v>10000</v>
      </c>
      <c r="I263">
        <v>100</v>
      </c>
      <c r="J263" t="s">
        <v>192</v>
      </c>
      <c r="K263" t="s">
        <v>3</v>
      </c>
      <c r="L263" t="s">
        <v>235</v>
      </c>
      <c r="M263" t="s">
        <v>235</v>
      </c>
      <c r="N263" t="s">
        <v>183</v>
      </c>
      <c r="O263" t="s">
        <v>236</v>
      </c>
      <c r="P263">
        <v>4411001</v>
      </c>
      <c r="Q263">
        <v>1</v>
      </c>
      <c r="R263">
        <v>27</v>
      </c>
      <c r="S263" t="s">
        <v>95</v>
      </c>
    </row>
    <row r="264" spans="1:19" x14ac:dyDescent="0.2">
      <c r="A264">
        <v>3053096</v>
      </c>
      <c r="B264" s="49">
        <v>46082</v>
      </c>
      <c r="C264" t="s">
        <v>103</v>
      </c>
      <c r="D264" t="s">
        <v>12</v>
      </c>
      <c r="E264">
        <v>95000</v>
      </c>
      <c r="F264">
        <v>0</v>
      </c>
      <c r="G264">
        <v>95000</v>
      </c>
      <c r="H264">
        <v>10000</v>
      </c>
      <c r="I264">
        <v>100</v>
      </c>
      <c r="J264" t="s">
        <v>275</v>
      </c>
      <c r="K264" t="s">
        <v>42</v>
      </c>
      <c r="L264" t="s">
        <v>391</v>
      </c>
      <c r="M264" t="s">
        <v>392</v>
      </c>
      <c r="N264" t="s">
        <v>109</v>
      </c>
      <c r="O264" t="s">
        <v>386</v>
      </c>
      <c r="P264">
        <v>4945097</v>
      </c>
      <c r="Q264">
        <v>1</v>
      </c>
      <c r="R264">
        <v>33</v>
      </c>
      <c r="S264" t="s">
        <v>95</v>
      </c>
    </row>
    <row r="265" spans="1:19" x14ac:dyDescent="0.2">
      <c r="A265">
        <v>3068045</v>
      </c>
      <c r="B265" s="49">
        <v>46082</v>
      </c>
      <c r="C265" t="s">
        <v>103</v>
      </c>
      <c r="D265" t="s">
        <v>12</v>
      </c>
      <c r="E265">
        <v>0</v>
      </c>
      <c r="F265">
        <v>3330</v>
      </c>
      <c r="G265">
        <v>-3330</v>
      </c>
      <c r="H265">
        <v>10000</v>
      </c>
      <c r="I265">
        <v>100</v>
      </c>
      <c r="J265" t="s">
        <v>4</v>
      </c>
      <c r="K265" t="s">
        <v>4</v>
      </c>
      <c r="L265" t="s">
        <v>237</v>
      </c>
      <c r="M265" t="s">
        <v>237</v>
      </c>
      <c r="N265" t="s">
        <v>183</v>
      </c>
      <c r="O265" t="s">
        <v>510</v>
      </c>
      <c r="P265">
        <v>4958909</v>
      </c>
      <c r="Q265">
        <v>1</v>
      </c>
      <c r="R265">
        <v>31</v>
      </c>
      <c r="S265" t="s">
        <v>95</v>
      </c>
    </row>
    <row r="266" spans="1:19" x14ac:dyDescent="0.2">
      <c r="A266">
        <v>3063600</v>
      </c>
      <c r="B266" s="49">
        <v>46082</v>
      </c>
      <c r="C266" t="s">
        <v>103</v>
      </c>
      <c r="D266" t="s">
        <v>12</v>
      </c>
      <c r="E266">
        <v>5850</v>
      </c>
      <c r="F266">
        <v>0</v>
      </c>
      <c r="G266">
        <v>5850</v>
      </c>
      <c r="H266">
        <v>10000</v>
      </c>
      <c r="I266">
        <v>100</v>
      </c>
      <c r="J266" t="s">
        <v>4</v>
      </c>
      <c r="K266" t="s">
        <v>4</v>
      </c>
      <c r="L266" t="s">
        <v>514</v>
      </c>
      <c r="M266" t="s">
        <v>514</v>
      </c>
      <c r="N266" t="s">
        <v>109</v>
      </c>
      <c r="O266" t="s">
        <v>515</v>
      </c>
      <c r="P266">
        <v>4955116</v>
      </c>
      <c r="Q266">
        <v>1</v>
      </c>
      <c r="R266">
        <v>31</v>
      </c>
      <c r="S266" t="s">
        <v>95</v>
      </c>
    </row>
    <row r="267" spans="1:19" x14ac:dyDescent="0.2">
      <c r="A267">
        <v>3009123</v>
      </c>
      <c r="B267" s="49">
        <v>46082</v>
      </c>
      <c r="C267" t="s">
        <v>103</v>
      </c>
      <c r="D267" t="s">
        <v>12</v>
      </c>
      <c r="E267">
        <v>3330</v>
      </c>
      <c r="F267">
        <v>0</v>
      </c>
      <c r="G267">
        <v>3330</v>
      </c>
      <c r="H267">
        <v>10000</v>
      </c>
      <c r="I267">
        <v>100</v>
      </c>
      <c r="J267" t="s">
        <v>4</v>
      </c>
      <c r="K267" t="s">
        <v>4</v>
      </c>
      <c r="L267" t="s">
        <v>237</v>
      </c>
      <c r="M267" t="s">
        <v>237</v>
      </c>
      <c r="N267" t="s">
        <v>183</v>
      </c>
      <c r="O267" t="s">
        <v>236</v>
      </c>
      <c r="P267">
        <v>4411002</v>
      </c>
      <c r="Q267">
        <v>1</v>
      </c>
      <c r="R267">
        <v>31</v>
      </c>
      <c r="S267" t="s">
        <v>95</v>
      </c>
    </row>
    <row r="268" spans="1:19" x14ac:dyDescent="0.2">
      <c r="A268">
        <v>3043233</v>
      </c>
      <c r="B268" s="49">
        <v>46097</v>
      </c>
      <c r="C268" t="s">
        <v>103</v>
      </c>
      <c r="D268" t="s">
        <v>12</v>
      </c>
      <c r="E268">
        <v>4460.8500000000004</v>
      </c>
      <c r="F268">
        <v>0</v>
      </c>
      <c r="G268">
        <v>4460.8500000000004</v>
      </c>
      <c r="H268">
        <v>10000</v>
      </c>
      <c r="I268">
        <v>100</v>
      </c>
      <c r="J268" t="s">
        <v>189</v>
      </c>
      <c r="K268" t="s">
        <v>43</v>
      </c>
      <c r="L268" t="s">
        <v>393</v>
      </c>
      <c r="M268" t="s">
        <v>394</v>
      </c>
      <c r="N268" t="s">
        <v>109</v>
      </c>
      <c r="O268" t="s">
        <v>289</v>
      </c>
      <c r="P268">
        <v>4937762</v>
      </c>
      <c r="Q268">
        <v>1</v>
      </c>
      <c r="R268">
        <v>32</v>
      </c>
      <c r="S268" t="s">
        <v>95</v>
      </c>
    </row>
    <row r="269" spans="1:19" x14ac:dyDescent="0.2">
      <c r="A269">
        <v>3043228</v>
      </c>
      <c r="B269" s="49">
        <v>46097</v>
      </c>
      <c r="C269" t="s">
        <v>103</v>
      </c>
      <c r="D269" t="s">
        <v>12</v>
      </c>
      <c r="E269">
        <v>6592.38</v>
      </c>
      <c r="F269">
        <v>0</v>
      </c>
      <c r="G269">
        <v>6592.38</v>
      </c>
      <c r="H269">
        <v>10000</v>
      </c>
      <c r="I269">
        <v>100</v>
      </c>
      <c r="J269" t="s">
        <v>189</v>
      </c>
      <c r="K269" t="s">
        <v>43</v>
      </c>
      <c r="L269" t="s">
        <v>395</v>
      </c>
      <c r="M269" t="s">
        <v>396</v>
      </c>
      <c r="N269" t="s">
        <v>109</v>
      </c>
      <c r="O269" t="s">
        <v>289</v>
      </c>
      <c r="P269">
        <v>4937761</v>
      </c>
      <c r="Q269">
        <v>1</v>
      </c>
      <c r="R269">
        <v>32</v>
      </c>
      <c r="S269" t="s">
        <v>95</v>
      </c>
    </row>
    <row r="270" spans="1:19" x14ac:dyDescent="0.2">
      <c r="A270">
        <v>3043202</v>
      </c>
      <c r="B270" s="49">
        <v>46085</v>
      </c>
      <c r="C270" t="s">
        <v>103</v>
      </c>
      <c r="D270" t="s">
        <v>12</v>
      </c>
      <c r="E270">
        <v>3740</v>
      </c>
      <c r="F270">
        <v>0</v>
      </c>
      <c r="G270">
        <v>3740</v>
      </c>
      <c r="H270">
        <v>10000</v>
      </c>
      <c r="I270">
        <v>100</v>
      </c>
      <c r="J270" t="s">
        <v>189</v>
      </c>
      <c r="K270" t="s">
        <v>43</v>
      </c>
      <c r="L270" t="s">
        <v>397</v>
      </c>
      <c r="M270" t="s">
        <v>398</v>
      </c>
      <c r="N270" t="s">
        <v>109</v>
      </c>
      <c r="O270" t="s">
        <v>289</v>
      </c>
      <c r="P270">
        <v>4937752</v>
      </c>
      <c r="Q270">
        <v>1</v>
      </c>
      <c r="R270">
        <v>32</v>
      </c>
      <c r="S270" t="s">
        <v>95</v>
      </c>
    </row>
    <row r="271" spans="1:19" x14ac:dyDescent="0.2">
      <c r="A271">
        <v>3094550</v>
      </c>
      <c r="B271" s="49">
        <v>46099</v>
      </c>
      <c r="C271" t="s">
        <v>103</v>
      </c>
      <c r="D271" t="s">
        <v>12</v>
      </c>
      <c r="E271">
        <v>1665</v>
      </c>
      <c r="F271">
        <v>0</v>
      </c>
      <c r="G271">
        <v>1665</v>
      </c>
      <c r="H271">
        <v>10000</v>
      </c>
      <c r="I271">
        <v>100</v>
      </c>
      <c r="J271" t="s">
        <v>191</v>
      </c>
      <c r="K271" t="s">
        <v>44</v>
      </c>
      <c r="L271" t="s">
        <v>860</v>
      </c>
      <c r="M271" t="s">
        <v>861</v>
      </c>
      <c r="N271" t="s">
        <v>109</v>
      </c>
      <c r="O271" t="s">
        <v>862</v>
      </c>
      <c r="P271">
        <v>4977626</v>
      </c>
      <c r="Q271">
        <v>1</v>
      </c>
      <c r="R271">
        <v>2</v>
      </c>
      <c r="S271" t="s">
        <v>95</v>
      </c>
    </row>
    <row r="272" spans="1:19" x14ac:dyDescent="0.2">
      <c r="A272">
        <v>3062380</v>
      </c>
      <c r="B272" s="49">
        <v>46106</v>
      </c>
      <c r="C272" t="s">
        <v>103</v>
      </c>
      <c r="D272" t="s">
        <v>12</v>
      </c>
      <c r="E272">
        <v>6550.27</v>
      </c>
      <c r="F272">
        <v>0</v>
      </c>
      <c r="G272">
        <v>6550.27</v>
      </c>
      <c r="H272">
        <v>10000</v>
      </c>
      <c r="I272">
        <v>100</v>
      </c>
      <c r="J272" t="s">
        <v>98</v>
      </c>
      <c r="K272" t="s">
        <v>29</v>
      </c>
      <c r="L272" t="s">
        <v>516</v>
      </c>
      <c r="M272" t="s">
        <v>517</v>
      </c>
      <c r="N272" t="s">
        <v>109</v>
      </c>
      <c r="O272" t="s">
        <v>518</v>
      </c>
      <c r="P272">
        <v>4947909</v>
      </c>
      <c r="Q272">
        <v>1</v>
      </c>
      <c r="R272">
        <v>3</v>
      </c>
      <c r="S272" t="s">
        <v>95</v>
      </c>
    </row>
    <row r="273" spans="1:19" x14ac:dyDescent="0.2">
      <c r="A273">
        <v>3062403</v>
      </c>
      <c r="B273" s="49">
        <v>46083</v>
      </c>
      <c r="C273" t="s">
        <v>103</v>
      </c>
      <c r="D273" t="s">
        <v>12</v>
      </c>
      <c r="E273">
        <v>1098.73</v>
      </c>
      <c r="F273">
        <v>0</v>
      </c>
      <c r="G273">
        <v>1098.73</v>
      </c>
      <c r="H273">
        <v>10000</v>
      </c>
      <c r="I273">
        <v>100</v>
      </c>
      <c r="J273" t="s">
        <v>202</v>
      </c>
      <c r="K273" t="s">
        <v>56</v>
      </c>
      <c r="L273" t="s">
        <v>519</v>
      </c>
      <c r="M273" t="s">
        <v>519</v>
      </c>
      <c r="N273" t="s">
        <v>109</v>
      </c>
      <c r="O273" t="s">
        <v>520</v>
      </c>
      <c r="P273">
        <v>4955099</v>
      </c>
      <c r="Q273">
        <v>1</v>
      </c>
      <c r="R273">
        <v>4</v>
      </c>
      <c r="S273" t="s">
        <v>95</v>
      </c>
    </row>
    <row r="274" spans="1:19" x14ac:dyDescent="0.2">
      <c r="A274">
        <v>3053157</v>
      </c>
      <c r="B274" s="49">
        <v>46090</v>
      </c>
      <c r="C274" t="s">
        <v>103</v>
      </c>
      <c r="D274" t="s">
        <v>12</v>
      </c>
      <c r="E274">
        <v>4300</v>
      </c>
      <c r="F274">
        <v>0</v>
      </c>
      <c r="G274">
        <v>4300</v>
      </c>
      <c r="H274">
        <v>10000</v>
      </c>
      <c r="I274">
        <v>100</v>
      </c>
      <c r="J274" t="s">
        <v>104</v>
      </c>
      <c r="K274" t="s">
        <v>54</v>
      </c>
      <c r="L274" t="s">
        <v>399</v>
      </c>
      <c r="M274" t="s">
        <v>400</v>
      </c>
      <c r="N274" t="s">
        <v>109</v>
      </c>
      <c r="O274" t="s">
        <v>401</v>
      </c>
      <c r="P274">
        <v>4945805</v>
      </c>
      <c r="Q274">
        <v>1</v>
      </c>
      <c r="R274">
        <v>6</v>
      </c>
      <c r="S274" t="s">
        <v>95</v>
      </c>
    </row>
    <row r="275" spans="1:19" x14ac:dyDescent="0.2">
      <c r="A275">
        <v>3043213</v>
      </c>
      <c r="B275" s="49">
        <v>46097</v>
      </c>
      <c r="C275" t="s">
        <v>103</v>
      </c>
      <c r="D275" t="s">
        <v>12</v>
      </c>
      <c r="E275">
        <v>732.49</v>
      </c>
      <c r="F275">
        <v>0</v>
      </c>
      <c r="G275">
        <v>732.49</v>
      </c>
      <c r="H275">
        <v>10000</v>
      </c>
      <c r="I275">
        <v>100</v>
      </c>
      <c r="J275" t="s">
        <v>104</v>
      </c>
      <c r="K275" t="s">
        <v>54</v>
      </c>
      <c r="L275" t="s">
        <v>402</v>
      </c>
      <c r="M275" t="s">
        <v>403</v>
      </c>
      <c r="N275" t="s">
        <v>109</v>
      </c>
      <c r="O275" t="s">
        <v>289</v>
      </c>
      <c r="P275">
        <v>4937759</v>
      </c>
      <c r="Q275">
        <v>1</v>
      </c>
      <c r="R275">
        <v>6</v>
      </c>
      <c r="S275" t="s">
        <v>95</v>
      </c>
    </row>
    <row r="276" spans="1:19" x14ac:dyDescent="0.2">
      <c r="A276">
        <v>3062381</v>
      </c>
      <c r="B276" s="49">
        <v>46106</v>
      </c>
      <c r="C276" t="s">
        <v>103</v>
      </c>
      <c r="D276" t="s">
        <v>12</v>
      </c>
      <c r="E276">
        <v>5493.65</v>
      </c>
      <c r="F276">
        <v>0</v>
      </c>
      <c r="G276">
        <v>5493.65</v>
      </c>
      <c r="H276">
        <v>10000</v>
      </c>
      <c r="I276">
        <v>100</v>
      </c>
      <c r="J276" t="s">
        <v>521</v>
      </c>
      <c r="K276" t="s">
        <v>5</v>
      </c>
      <c r="L276" t="s">
        <v>522</v>
      </c>
      <c r="M276" t="s">
        <v>517</v>
      </c>
      <c r="N276" t="s">
        <v>109</v>
      </c>
      <c r="O276" t="s">
        <v>518</v>
      </c>
      <c r="P276">
        <v>4947910</v>
      </c>
      <c r="Q276">
        <v>1</v>
      </c>
      <c r="R276">
        <v>7</v>
      </c>
      <c r="S276" t="s">
        <v>95</v>
      </c>
    </row>
    <row r="277" spans="1:19" x14ac:dyDescent="0.2">
      <c r="A277">
        <v>3062378</v>
      </c>
      <c r="B277" s="49">
        <v>46106</v>
      </c>
      <c r="C277" t="s">
        <v>103</v>
      </c>
      <c r="D277" t="s">
        <v>12</v>
      </c>
      <c r="E277">
        <v>2563.6999999999998</v>
      </c>
      <c r="F277">
        <v>0</v>
      </c>
      <c r="G277">
        <v>2563.6999999999998</v>
      </c>
      <c r="H277">
        <v>10000</v>
      </c>
      <c r="I277">
        <v>100</v>
      </c>
      <c r="J277" t="s">
        <v>294</v>
      </c>
      <c r="K277" t="s">
        <v>46</v>
      </c>
      <c r="L277" t="s">
        <v>523</v>
      </c>
      <c r="M277" t="s">
        <v>517</v>
      </c>
      <c r="N277" t="s">
        <v>109</v>
      </c>
      <c r="O277" t="s">
        <v>518</v>
      </c>
      <c r="P277">
        <v>4947907</v>
      </c>
      <c r="Q277">
        <v>1</v>
      </c>
      <c r="R277">
        <v>8</v>
      </c>
      <c r="S277" t="s">
        <v>95</v>
      </c>
    </row>
    <row r="278" spans="1:19" x14ac:dyDescent="0.2">
      <c r="A278">
        <v>3062392</v>
      </c>
      <c r="B278" s="49">
        <v>46091</v>
      </c>
      <c r="C278" t="s">
        <v>103</v>
      </c>
      <c r="D278" t="s">
        <v>12</v>
      </c>
      <c r="E278">
        <v>8747.73</v>
      </c>
      <c r="F278">
        <v>0</v>
      </c>
      <c r="G278">
        <v>8747.73</v>
      </c>
      <c r="H278">
        <v>10000</v>
      </c>
      <c r="I278">
        <v>100</v>
      </c>
      <c r="J278" t="s">
        <v>524</v>
      </c>
      <c r="K278" t="s">
        <v>6</v>
      </c>
      <c r="L278" t="s">
        <v>525</v>
      </c>
      <c r="M278" t="s">
        <v>526</v>
      </c>
      <c r="N278" t="s">
        <v>109</v>
      </c>
      <c r="O278" t="s">
        <v>503</v>
      </c>
      <c r="P278">
        <v>4947928</v>
      </c>
      <c r="Q278">
        <v>1</v>
      </c>
      <c r="R278">
        <v>9</v>
      </c>
      <c r="S278" t="s">
        <v>95</v>
      </c>
    </row>
    <row r="279" spans="1:19" x14ac:dyDescent="0.2">
      <c r="A279">
        <v>3062382</v>
      </c>
      <c r="B279" s="49">
        <v>46106</v>
      </c>
      <c r="C279" t="s">
        <v>103</v>
      </c>
      <c r="D279" t="s">
        <v>12</v>
      </c>
      <c r="E279">
        <v>1098.72</v>
      </c>
      <c r="F279">
        <v>0</v>
      </c>
      <c r="G279">
        <v>1098.72</v>
      </c>
      <c r="H279">
        <v>10000</v>
      </c>
      <c r="I279">
        <v>100</v>
      </c>
      <c r="J279" t="s">
        <v>524</v>
      </c>
      <c r="K279" t="s">
        <v>6</v>
      </c>
      <c r="L279" t="s">
        <v>527</v>
      </c>
      <c r="M279" t="s">
        <v>517</v>
      </c>
      <c r="N279" t="s">
        <v>109</v>
      </c>
      <c r="O279" t="s">
        <v>518</v>
      </c>
      <c r="P279">
        <v>4947911</v>
      </c>
      <c r="Q279">
        <v>1</v>
      </c>
      <c r="R279">
        <v>9</v>
      </c>
      <c r="S279" t="s">
        <v>95</v>
      </c>
    </row>
    <row r="280" spans="1:19" x14ac:dyDescent="0.2">
      <c r="A280">
        <v>3062374</v>
      </c>
      <c r="B280" s="49">
        <v>46106</v>
      </c>
      <c r="C280" t="s">
        <v>103</v>
      </c>
      <c r="D280" t="s">
        <v>12</v>
      </c>
      <c r="E280">
        <v>25270.78</v>
      </c>
      <c r="F280">
        <v>0</v>
      </c>
      <c r="G280">
        <v>25270.78</v>
      </c>
      <c r="H280">
        <v>10000</v>
      </c>
      <c r="I280">
        <v>100</v>
      </c>
      <c r="J280" t="s">
        <v>524</v>
      </c>
      <c r="K280" t="s">
        <v>6</v>
      </c>
      <c r="L280" t="s">
        <v>528</v>
      </c>
      <c r="M280" t="s">
        <v>517</v>
      </c>
      <c r="N280" t="s">
        <v>109</v>
      </c>
      <c r="O280" t="s">
        <v>518</v>
      </c>
      <c r="P280">
        <v>4947903</v>
      </c>
      <c r="Q280">
        <v>1</v>
      </c>
      <c r="R280">
        <v>9</v>
      </c>
      <c r="S280" t="s">
        <v>95</v>
      </c>
    </row>
    <row r="281" spans="1:19" x14ac:dyDescent="0.2">
      <c r="A281">
        <v>3062388</v>
      </c>
      <c r="B281" s="49">
        <v>46091</v>
      </c>
      <c r="C281" t="s">
        <v>103</v>
      </c>
      <c r="D281" t="s">
        <v>12</v>
      </c>
      <c r="E281">
        <v>6550.27</v>
      </c>
      <c r="F281">
        <v>0</v>
      </c>
      <c r="G281">
        <v>6550.27</v>
      </c>
      <c r="H281">
        <v>10000</v>
      </c>
      <c r="I281">
        <v>100</v>
      </c>
      <c r="J281" t="s">
        <v>529</v>
      </c>
      <c r="K281" t="s">
        <v>113</v>
      </c>
      <c r="L281" t="s">
        <v>530</v>
      </c>
      <c r="M281" t="s">
        <v>531</v>
      </c>
      <c r="N281" t="s">
        <v>109</v>
      </c>
      <c r="O281" t="s">
        <v>503</v>
      </c>
      <c r="P281">
        <v>4947924</v>
      </c>
      <c r="Q281">
        <v>1</v>
      </c>
      <c r="R281">
        <v>10</v>
      </c>
      <c r="S281" t="s">
        <v>95</v>
      </c>
    </row>
    <row r="282" spans="1:19" x14ac:dyDescent="0.2">
      <c r="A282">
        <v>3062401</v>
      </c>
      <c r="B282" s="49">
        <v>46100</v>
      </c>
      <c r="C282" t="s">
        <v>103</v>
      </c>
      <c r="D282" t="s">
        <v>12</v>
      </c>
      <c r="E282">
        <v>549.36</v>
      </c>
      <c r="F282">
        <v>0</v>
      </c>
      <c r="G282">
        <v>549.36</v>
      </c>
      <c r="H282">
        <v>10000</v>
      </c>
      <c r="I282">
        <v>100</v>
      </c>
      <c r="J282" t="s">
        <v>404</v>
      </c>
      <c r="K282" t="s">
        <v>26</v>
      </c>
      <c r="L282" t="s">
        <v>532</v>
      </c>
      <c r="M282" t="s">
        <v>533</v>
      </c>
      <c r="N282" t="s">
        <v>109</v>
      </c>
      <c r="O282" t="s">
        <v>520</v>
      </c>
      <c r="P282">
        <v>4955098</v>
      </c>
      <c r="Q282">
        <v>1</v>
      </c>
      <c r="R282">
        <v>12</v>
      </c>
      <c r="S282" t="s">
        <v>95</v>
      </c>
    </row>
    <row r="283" spans="1:19" x14ac:dyDescent="0.2">
      <c r="A283">
        <v>3062376</v>
      </c>
      <c r="B283" s="49">
        <v>46106</v>
      </c>
      <c r="C283" t="s">
        <v>103</v>
      </c>
      <c r="D283" t="s">
        <v>12</v>
      </c>
      <c r="E283">
        <v>732.49</v>
      </c>
      <c r="F283">
        <v>0</v>
      </c>
      <c r="G283">
        <v>732.49</v>
      </c>
      <c r="H283">
        <v>10000</v>
      </c>
      <c r="I283">
        <v>100</v>
      </c>
      <c r="J283" t="s">
        <v>404</v>
      </c>
      <c r="K283" t="s">
        <v>26</v>
      </c>
      <c r="L283" t="s">
        <v>534</v>
      </c>
      <c r="M283" t="s">
        <v>517</v>
      </c>
      <c r="N283" t="s">
        <v>109</v>
      </c>
      <c r="O283" t="s">
        <v>518</v>
      </c>
      <c r="P283">
        <v>4947905</v>
      </c>
      <c r="Q283">
        <v>1</v>
      </c>
      <c r="R283">
        <v>12</v>
      </c>
      <c r="S283" t="s">
        <v>95</v>
      </c>
    </row>
    <row r="284" spans="1:19" x14ac:dyDescent="0.2">
      <c r="A284">
        <v>3043227</v>
      </c>
      <c r="B284" s="49">
        <v>46097</v>
      </c>
      <c r="C284" t="s">
        <v>103</v>
      </c>
      <c r="D284" t="s">
        <v>12</v>
      </c>
      <c r="E284">
        <v>5063.32</v>
      </c>
      <c r="F284">
        <v>0</v>
      </c>
      <c r="G284">
        <v>5063.32</v>
      </c>
      <c r="H284">
        <v>10000</v>
      </c>
      <c r="I284">
        <v>100</v>
      </c>
      <c r="J284" t="s">
        <v>404</v>
      </c>
      <c r="K284" t="s">
        <v>26</v>
      </c>
      <c r="L284" t="s">
        <v>405</v>
      </c>
      <c r="M284" t="s">
        <v>406</v>
      </c>
      <c r="N284" t="s">
        <v>109</v>
      </c>
      <c r="O284" t="s">
        <v>289</v>
      </c>
      <c r="P284">
        <v>4937760</v>
      </c>
      <c r="Q284">
        <v>1</v>
      </c>
      <c r="R284">
        <v>12</v>
      </c>
      <c r="S284" t="s">
        <v>95</v>
      </c>
    </row>
    <row r="285" spans="1:19" x14ac:dyDescent="0.2">
      <c r="A285">
        <v>3062391</v>
      </c>
      <c r="B285" s="49">
        <v>46100</v>
      </c>
      <c r="C285" t="s">
        <v>103</v>
      </c>
      <c r="D285" t="s">
        <v>12</v>
      </c>
      <c r="E285">
        <v>5493.65</v>
      </c>
      <c r="F285">
        <v>0</v>
      </c>
      <c r="G285">
        <v>5493.65</v>
      </c>
      <c r="H285">
        <v>10000</v>
      </c>
      <c r="I285">
        <v>100</v>
      </c>
      <c r="J285" t="s">
        <v>201</v>
      </c>
      <c r="K285" t="s">
        <v>30</v>
      </c>
      <c r="L285" t="s">
        <v>407</v>
      </c>
      <c r="M285" t="s">
        <v>535</v>
      </c>
      <c r="N285" t="s">
        <v>109</v>
      </c>
      <c r="O285" t="s">
        <v>503</v>
      </c>
      <c r="P285">
        <v>4947927</v>
      </c>
      <c r="Q285">
        <v>1</v>
      </c>
      <c r="R285">
        <v>15</v>
      </c>
      <c r="S285" t="s">
        <v>95</v>
      </c>
    </row>
    <row r="286" spans="1:19" x14ac:dyDescent="0.2">
      <c r="A286">
        <v>3062384</v>
      </c>
      <c r="B286" s="49">
        <v>46106</v>
      </c>
      <c r="C286" t="s">
        <v>103</v>
      </c>
      <c r="D286" t="s">
        <v>12</v>
      </c>
      <c r="E286">
        <v>8789.82</v>
      </c>
      <c r="F286">
        <v>0</v>
      </c>
      <c r="G286">
        <v>8789.82</v>
      </c>
      <c r="H286">
        <v>10000</v>
      </c>
      <c r="I286">
        <v>100</v>
      </c>
      <c r="J286" t="s">
        <v>201</v>
      </c>
      <c r="K286" t="s">
        <v>30</v>
      </c>
      <c r="L286" t="s">
        <v>536</v>
      </c>
      <c r="M286" t="s">
        <v>517</v>
      </c>
      <c r="N286" t="s">
        <v>109</v>
      </c>
      <c r="O286" t="s">
        <v>518</v>
      </c>
      <c r="P286">
        <v>4947913</v>
      </c>
      <c r="Q286">
        <v>1</v>
      </c>
      <c r="R286">
        <v>15</v>
      </c>
      <c r="S286" t="s">
        <v>95</v>
      </c>
    </row>
    <row r="287" spans="1:19" x14ac:dyDescent="0.2">
      <c r="A287">
        <v>3062383</v>
      </c>
      <c r="B287" s="49">
        <v>46106</v>
      </c>
      <c r="C287" t="s">
        <v>103</v>
      </c>
      <c r="D287" t="s">
        <v>12</v>
      </c>
      <c r="E287">
        <v>6550.27</v>
      </c>
      <c r="F287">
        <v>0</v>
      </c>
      <c r="G287">
        <v>6550.27</v>
      </c>
      <c r="H287">
        <v>10000</v>
      </c>
      <c r="I287">
        <v>100</v>
      </c>
      <c r="J287" t="s">
        <v>201</v>
      </c>
      <c r="K287" t="s">
        <v>30</v>
      </c>
      <c r="L287" t="s">
        <v>537</v>
      </c>
      <c r="M287" t="s">
        <v>517</v>
      </c>
      <c r="N287" t="s">
        <v>109</v>
      </c>
      <c r="O287" t="s">
        <v>518</v>
      </c>
      <c r="P287">
        <v>4947912</v>
      </c>
      <c r="Q287">
        <v>1</v>
      </c>
      <c r="R287">
        <v>15</v>
      </c>
      <c r="S287" t="s">
        <v>95</v>
      </c>
    </row>
    <row r="288" spans="1:19" x14ac:dyDescent="0.2">
      <c r="A288">
        <v>3043209</v>
      </c>
      <c r="B288" s="49">
        <v>46097</v>
      </c>
      <c r="C288" t="s">
        <v>103</v>
      </c>
      <c r="D288" t="s">
        <v>12</v>
      </c>
      <c r="E288">
        <v>1831.22</v>
      </c>
      <c r="F288">
        <v>0</v>
      </c>
      <c r="G288">
        <v>1831.22</v>
      </c>
      <c r="H288">
        <v>10000</v>
      </c>
      <c r="I288">
        <v>100</v>
      </c>
      <c r="J288" t="s">
        <v>201</v>
      </c>
      <c r="K288" t="s">
        <v>30</v>
      </c>
      <c r="L288" t="s">
        <v>407</v>
      </c>
      <c r="M288" t="s">
        <v>408</v>
      </c>
      <c r="N288" t="s">
        <v>109</v>
      </c>
      <c r="O288" t="s">
        <v>289</v>
      </c>
      <c r="P288">
        <v>4937757</v>
      </c>
      <c r="Q288">
        <v>1</v>
      </c>
      <c r="R288">
        <v>15</v>
      </c>
      <c r="S288" t="s">
        <v>95</v>
      </c>
    </row>
    <row r="289" spans="1:19" x14ac:dyDescent="0.2">
      <c r="A289">
        <v>3106171</v>
      </c>
      <c r="B289" s="49">
        <v>46112</v>
      </c>
      <c r="C289" t="s">
        <v>103</v>
      </c>
      <c r="D289" t="s">
        <v>12</v>
      </c>
      <c r="E289">
        <v>0</v>
      </c>
      <c r="F289">
        <v>1850</v>
      </c>
      <c r="G289">
        <v>-1850</v>
      </c>
      <c r="H289">
        <v>10000</v>
      </c>
      <c r="I289">
        <v>100</v>
      </c>
      <c r="J289" t="s">
        <v>101</v>
      </c>
      <c r="K289" t="s">
        <v>8</v>
      </c>
      <c r="L289" t="s">
        <v>921</v>
      </c>
      <c r="M289" t="s">
        <v>922</v>
      </c>
      <c r="N289" t="s">
        <v>183</v>
      </c>
      <c r="O289" t="s">
        <v>923</v>
      </c>
      <c r="P289">
        <v>4991322</v>
      </c>
      <c r="Q289">
        <v>1</v>
      </c>
      <c r="R289">
        <v>18</v>
      </c>
      <c r="S289" t="s">
        <v>95</v>
      </c>
    </row>
    <row r="290" spans="1:19" x14ac:dyDescent="0.2">
      <c r="A290">
        <v>3063591</v>
      </c>
      <c r="B290" s="49">
        <v>46091</v>
      </c>
      <c r="C290" t="s">
        <v>103</v>
      </c>
      <c r="D290" t="s">
        <v>12</v>
      </c>
      <c r="E290">
        <v>6333.44</v>
      </c>
      <c r="F290">
        <v>0</v>
      </c>
      <c r="G290">
        <v>6333.44</v>
      </c>
      <c r="H290">
        <v>10000</v>
      </c>
      <c r="I290">
        <v>100</v>
      </c>
      <c r="J290" t="s">
        <v>101</v>
      </c>
      <c r="K290" t="s">
        <v>8</v>
      </c>
      <c r="L290" t="s">
        <v>538</v>
      </c>
      <c r="M290" t="s">
        <v>538</v>
      </c>
      <c r="N290" t="s">
        <v>109</v>
      </c>
      <c r="O290" t="s">
        <v>520</v>
      </c>
      <c r="P290">
        <v>4955108</v>
      </c>
      <c r="Q290">
        <v>1</v>
      </c>
      <c r="R290">
        <v>18</v>
      </c>
      <c r="S290" t="s">
        <v>95</v>
      </c>
    </row>
    <row r="291" spans="1:19" x14ac:dyDescent="0.2">
      <c r="A291">
        <v>3009125</v>
      </c>
      <c r="B291" s="49">
        <v>46082</v>
      </c>
      <c r="C291" t="s">
        <v>103</v>
      </c>
      <c r="D291" t="s">
        <v>12</v>
      </c>
      <c r="E291">
        <v>1850</v>
      </c>
      <c r="F291">
        <v>0</v>
      </c>
      <c r="G291">
        <v>1850</v>
      </c>
      <c r="H291">
        <v>10000</v>
      </c>
      <c r="I291">
        <v>100</v>
      </c>
      <c r="J291" t="s">
        <v>101</v>
      </c>
      <c r="K291" t="s">
        <v>8</v>
      </c>
      <c r="L291" t="s">
        <v>238</v>
      </c>
      <c r="M291" t="s">
        <v>238</v>
      </c>
      <c r="N291" t="s">
        <v>183</v>
      </c>
      <c r="O291" t="s">
        <v>236</v>
      </c>
      <c r="P291">
        <v>4411004</v>
      </c>
      <c r="Q291">
        <v>1</v>
      </c>
      <c r="R291">
        <v>18</v>
      </c>
      <c r="S291" t="s">
        <v>95</v>
      </c>
    </row>
    <row r="292" spans="1:19" x14ac:dyDescent="0.2">
      <c r="A292">
        <v>3062379</v>
      </c>
      <c r="B292" s="49">
        <v>46106</v>
      </c>
      <c r="C292" t="s">
        <v>103</v>
      </c>
      <c r="D292" t="s">
        <v>12</v>
      </c>
      <c r="E292">
        <v>6592.38</v>
      </c>
      <c r="F292">
        <v>0</v>
      </c>
      <c r="G292">
        <v>6592.38</v>
      </c>
      <c r="H292">
        <v>10000</v>
      </c>
      <c r="I292">
        <v>100</v>
      </c>
      <c r="J292" t="s">
        <v>190</v>
      </c>
      <c r="K292" t="s">
        <v>48</v>
      </c>
      <c r="L292" t="s">
        <v>539</v>
      </c>
      <c r="M292" t="s">
        <v>517</v>
      </c>
      <c r="N292" t="s">
        <v>109</v>
      </c>
      <c r="O292" t="s">
        <v>518</v>
      </c>
      <c r="P292">
        <v>4947908</v>
      </c>
      <c r="Q292">
        <v>1</v>
      </c>
      <c r="R292">
        <v>19</v>
      </c>
      <c r="S292" t="s">
        <v>95</v>
      </c>
    </row>
    <row r="293" spans="1:19" x14ac:dyDescent="0.2">
      <c r="A293">
        <v>3062377</v>
      </c>
      <c r="B293" s="49">
        <v>46106</v>
      </c>
      <c r="C293" t="s">
        <v>103</v>
      </c>
      <c r="D293" t="s">
        <v>12</v>
      </c>
      <c r="E293">
        <v>4394.92</v>
      </c>
      <c r="F293">
        <v>0</v>
      </c>
      <c r="G293">
        <v>4394.92</v>
      </c>
      <c r="H293">
        <v>10000</v>
      </c>
      <c r="I293">
        <v>100</v>
      </c>
      <c r="J293" t="s">
        <v>190</v>
      </c>
      <c r="K293" t="s">
        <v>48</v>
      </c>
      <c r="L293" t="s">
        <v>540</v>
      </c>
      <c r="M293" t="s">
        <v>517</v>
      </c>
      <c r="N293" t="s">
        <v>109</v>
      </c>
      <c r="O293" t="s">
        <v>518</v>
      </c>
      <c r="P293">
        <v>4947906</v>
      </c>
      <c r="Q293">
        <v>1</v>
      </c>
      <c r="R293">
        <v>19</v>
      </c>
      <c r="S293" t="s">
        <v>95</v>
      </c>
    </row>
    <row r="294" spans="1:19" x14ac:dyDescent="0.2">
      <c r="A294">
        <v>3062373</v>
      </c>
      <c r="B294" s="49">
        <v>46106</v>
      </c>
      <c r="C294" t="s">
        <v>103</v>
      </c>
      <c r="D294" t="s">
        <v>12</v>
      </c>
      <c r="E294">
        <v>3662.43</v>
      </c>
      <c r="F294">
        <v>0</v>
      </c>
      <c r="G294">
        <v>3662.43</v>
      </c>
      <c r="H294">
        <v>10000</v>
      </c>
      <c r="I294">
        <v>100</v>
      </c>
      <c r="J294" t="s">
        <v>190</v>
      </c>
      <c r="K294" t="s">
        <v>48</v>
      </c>
      <c r="L294" t="s">
        <v>541</v>
      </c>
      <c r="M294" t="s">
        <v>517</v>
      </c>
      <c r="N294" t="s">
        <v>109</v>
      </c>
      <c r="O294" t="s">
        <v>518</v>
      </c>
      <c r="P294">
        <v>4947902</v>
      </c>
      <c r="Q294">
        <v>1</v>
      </c>
      <c r="R294">
        <v>19</v>
      </c>
      <c r="S294" t="s">
        <v>95</v>
      </c>
    </row>
    <row r="295" spans="1:19" x14ac:dyDescent="0.2">
      <c r="A295">
        <v>3054356</v>
      </c>
      <c r="B295" s="49">
        <v>46090</v>
      </c>
      <c r="C295" t="s">
        <v>103</v>
      </c>
      <c r="D295" t="s">
        <v>12</v>
      </c>
      <c r="E295">
        <v>8160</v>
      </c>
      <c r="F295">
        <v>0</v>
      </c>
      <c r="G295">
        <v>8160</v>
      </c>
      <c r="H295">
        <v>10000</v>
      </c>
      <c r="I295">
        <v>100</v>
      </c>
      <c r="J295" t="s">
        <v>314</v>
      </c>
      <c r="K295" t="s">
        <v>32</v>
      </c>
      <c r="L295" t="s">
        <v>409</v>
      </c>
      <c r="M295" t="s">
        <v>410</v>
      </c>
      <c r="N295" t="s">
        <v>109</v>
      </c>
      <c r="O295" t="s">
        <v>370</v>
      </c>
      <c r="P295">
        <v>4946954</v>
      </c>
      <c r="Q295">
        <v>1</v>
      </c>
      <c r="R295">
        <v>20</v>
      </c>
      <c r="S295" t="s">
        <v>95</v>
      </c>
    </row>
    <row r="296" spans="1:19" x14ac:dyDescent="0.2">
      <c r="A296">
        <v>3054268</v>
      </c>
      <c r="B296" s="49">
        <v>46090</v>
      </c>
      <c r="C296" t="s">
        <v>103</v>
      </c>
      <c r="D296" t="s">
        <v>12</v>
      </c>
      <c r="E296">
        <v>7700</v>
      </c>
      <c r="F296">
        <v>0</v>
      </c>
      <c r="G296">
        <v>7700</v>
      </c>
      <c r="H296">
        <v>10000</v>
      </c>
      <c r="I296">
        <v>100</v>
      </c>
      <c r="J296" t="s">
        <v>199</v>
      </c>
      <c r="K296" t="s">
        <v>49</v>
      </c>
      <c r="L296" t="s">
        <v>411</v>
      </c>
      <c r="M296" t="s">
        <v>412</v>
      </c>
      <c r="N296" t="s">
        <v>109</v>
      </c>
      <c r="O296" t="s">
        <v>373</v>
      </c>
      <c r="P296">
        <v>4946903</v>
      </c>
      <c r="Q296">
        <v>1</v>
      </c>
      <c r="R296">
        <v>21</v>
      </c>
      <c r="S296" t="s">
        <v>95</v>
      </c>
    </row>
    <row r="297" spans="1:19" x14ac:dyDescent="0.2">
      <c r="A297">
        <v>3062371</v>
      </c>
      <c r="B297" s="49">
        <v>46106</v>
      </c>
      <c r="C297" t="s">
        <v>103</v>
      </c>
      <c r="D297" t="s">
        <v>12</v>
      </c>
      <c r="E297">
        <v>1464.98</v>
      </c>
      <c r="F297">
        <v>0</v>
      </c>
      <c r="G297">
        <v>1464.98</v>
      </c>
      <c r="H297">
        <v>10000</v>
      </c>
      <c r="I297">
        <v>100</v>
      </c>
      <c r="J297" t="s">
        <v>193</v>
      </c>
      <c r="K297" t="s">
        <v>33</v>
      </c>
      <c r="L297" t="s">
        <v>542</v>
      </c>
      <c r="M297" t="s">
        <v>517</v>
      </c>
      <c r="N297" t="s">
        <v>109</v>
      </c>
      <c r="O297" t="s">
        <v>518</v>
      </c>
      <c r="P297">
        <v>4947900</v>
      </c>
      <c r="Q297">
        <v>1</v>
      </c>
      <c r="R297">
        <v>23</v>
      </c>
      <c r="S297" t="s">
        <v>95</v>
      </c>
    </row>
    <row r="298" spans="1:19" x14ac:dyDescent="0.2">
      <c r="A298">
        <v>3062370</v>
      </c>
      <c r="B298" s="49">
        <v>46106</v>
      </c>
      <c r="C298" t="s">
        <v>103</v>
      </c>
      <c r="D298" t="s">
        <v>12</v>
      </c>
      <c r="E298">
        <v>3296.2</v>
      </c>
      <c r="F298">
        <v>0</v>
      </c>
      <c r="G298">
        <v>3296.2</v>
      </c>
      <c r="H298">
        <v>10000</v>
      </c>
      <c r="I298">
        <v>100</v>
      </c>
      <c r="J298" t="s">
        <v>193</v>
      </c>
      <c r="K298" t="s">
        <v>33</v>
      </c>
      <c r="L298" t="s">
        <v>543</v>
      </c>
      <c r="M298" t="s">
        <v>517</v>
      </c>
      <c r="N298" t="s">
        <v>109</v>
      </c>
      <c r="O298" t="s">
        <v>518</v>
      </c>
      <c r="P298">
        <v>4947899</v>
      </c>
      <c r="Q298">
        <v>1</v>
      </c>
      <c r="R298">
        <v>23</v>
      </c>
      <c r="S298" t="s">
        <v>95</v>
      </c>
    </row>
    <row r="299" spans="1:19" x14ac:dyDescent="0.2">
      <c r="A299">
        <v>3106171</v>
      </c>
      <c r="B299" s="49">
        <v>46112</v>
      </c>
      <c r="C299" t="s">
        <v>103</v>
      </c>
      <c r="D299" t="s">
        <v>12</v>
      </c>
      <c r="E299">
        <v>0</v>
      </c>
      <c r="F299">
        <v>1850</v>
      </c>
      <c r="G299">
        <v>-1850</v>
      </c>
      <c r="H299">
        <v>10000</v>
      </c>
      <c r="I299">
        <v>100</v>
      </c>
      <c r="J299" t="s">
        <v>195</v>
      </c>
      <c r="K299" t="s">
        <v>34</v>
      </c>
      <c r="L299" t="s">
        <v>921</v>
      </c>
      <c r="M299" t="s">
        <v>924</v>
      </c>
      <c r="N299" t="s">
        <v>183</v>
      </c>
      <c r="O299" t="s">
        <v>923</v>
      </c>
      <c r="P299">
        <v>4991322</v>
      </c>
      <c r="Q299">
        <v>1</v>
      </c>
      <c r="R299">
        <v>25</v>
      </c>
      <c r="S299" t="s">
        <v>95</v>
      </c>
    </row>
    <row r="300" spans="1:19" x14ac:dyDescent="0.2">
      <c r="A300">
        <v>3088455</v>
      </c>
      <c r="B300" s="49">
        <v>46100</v>
      </c>
      <c r="C300" t="s">
        <v>103</v>
      </c>
      <c r="D300" t="s">
        <v>12</v>
      </c>
      <c r="E300">
        <v>4921.74</v>
      </c>
      <c r="F300">
        <v>0</v>
      </c>
      <c r="G300">
        <v>4921.74</v>
      </c>
      <c r="H300">
        <v>10000</v>
      </c>
      <c r="I300">
        <v>100</v>
      </c>
      <c r="J300" t="s">
        <v>195</v>
      </c>
      <c r="K300" t="s">
        <v>34</v>
      </c>
      <c r="L300" t="s">
        <v>764</v>
      </c>
      <c r="M300" t="s">
        <v>765</v>
      </c>
      <c r="N300" t="s">
        <v>109</v>
      </c>
      <c r="O300" t="s">
        <v>674</v>
      </c>
      <c r="P300">
        <v>4975496</v>
      </c>
      <c r="Q300">
        <v>1</v>
      </c>
      <c r="R300">
        <v>25</v>
      </c>
      <c r="S300" t="s">
        <v>95</v>
      </c>
    </row>
    <row r="301" spans="1:19" x14ac:dyDescent="0.2">
      <c r="A301">
        <v>3063592</v>
      </c>
      <c r="B301" s="49">
        <v>46091</v>
      </c>
      <c r="C301" t="s">
        <v>103</v>
      </c>
      <c r="D301" t="s">
        <v>12</v>
      </c>
      <c r="E301">
        <v>17378.23</v>
      </c>
      <c r="F301">
        <v>0</v>
      </c>
      <c r="G301">
        <v>17378.23</v>
      </c>
      <c r="H301">
        <v>10000</v>
      </c>
      <c r="I301">
        <v>100</v>
      </c>
      <c r="J301" t="s">
        <v>195</v>
      </c>
      <c r="K301" t="s">
        <v>34</v>
      </c>
      <c r="L301" t="s">
        <v>544</v>
      </c>
      <c r="M301" t="s">
        <v>545</v>
      </c>
      <c r="N301" t="s">
        <v>109</v>
      </c>
      <c r="O301" t="s">
        <v>520</v>
      </c>
      <c r="P301">
        <v>4955109</v>
      </c>
      <c r="Q301">
        <v>1</v>
      </c>
      <c r="R301">
        <v>25</v>
      </c>
      <c r="S301" t="s">
        <v>95</v>
      </c>
    </row>
    <row r="302" spans="1:19" x14ac:dyDescent="0.2">
      <c r="A302">
        <v>3009124</v>
      </c>
      <c r="B302" s="49">
        <v>46082</v>
      </c>
      <c r="C302" t="s">
        <v>103</v>
      </c>
      <c r="D302" t="s">
        <v>12</v>
      </c>
      <c r="E302">
        <v>1850</v>
      </c>
      <c r="F302">
        <v>0</v>
      </c>
      <c r="G302">
        <v>1850</v>
      </c>
      <c r="H302">
        <v>10000</v>
      </c>
      <c r="I302">
        <v>100</v>
      </c>
      <c r="J302" t="s">
        <v>195</v>
      </c>
      <c r="K302" t="s">
        <v>34</v>
      </c>
      <c r="L302" t="s">
        <v>239</v>
      </c>
      <c r="M302" t="s">
        <v>239</v>
      </c>
      <c r="N302" t="s">
        <v>183</v>
      </c>
      <c r="O302" t="s">
        <v>236</v>
      </c>
      <c r="P302">
        <v>4411003</v>
      </c>
      <c r="Q302">
        <v>1</v>
      </c>
      <c r="R302">
        <v>25</v>
      </c>
      <c r="S302" t="s">
        <v>95</v>
      </c>
    </row>
    <row r="303" spans="1:19" x14ac:dyDescent="0.2">
      <c r="A303">
        <v>3053182</v>
      </c>
      <c r="B303" s="49">
        <v>46091</v>
      </c>
      <c r="C303" t="s">
        <v>103</v>
      </c>
      <c r="D303" t="s">
        <v>12</v>
      </c>
      <c r="E303">
        <v>7700</v>
      </c>
      <c r="F303">
        <v>0</v>
      </c>
      <c r="G303">
        <v>7700</v>
      </c>
      <c r="H303">
        <v>10000</v>
      </c>
      <c r="I303">
        <v>100</v>
      </c>
      <c r="J303" t="s">
        <v>188</v>
      </c>
      <c r="K303" t="s">
        <v>37</v>
      </c>
      <c r="L303" t="s">
        <v>413</v>
      </c>
      <c r="M303" t="s">
        <v>414</v>
      </c>
      <c r="N303" t="s">
        <v>109</v>
      </c>
      <c r="O303" t="s">
        <v>401</v>
      </c>
      <c r="P303">
        <v>4945811</v>
      </c>
      <c r="Q303">
        <v>1</v>
      </c>
      <c r="R303">
        <v>36</v>
      </c>
      <c r="S303" t="s">
        <v>95</v>
      </c>
    </row>
    <row r="304" spans="1:19" x14ac:dyDescent="0.2">
      <c r="A304">
        <v>3053181</v>
      </c>
      <c r="B304" s="49">
        <v>46091</v>
      </c>
      <c r="C304" t="s">
        <v>103</v>
      </c>
      <c r="D304" t="s">
        <v>12</v>
      </c>
      <c r="E304">
        <v>53000</v>
      </c>
      <c r="F304">
        <v>0</v>
      </c>
      <c r="G304">
        <v>53000</v>
      </c>
      <c r="H304">
        <v>10000</v>
      </c>
      <c r="I304">
        <v>100</v>
      </c>
      <c r="J304" t="s">
        <v>188</v>
      </c>
      <c r="K304" t="s">
        <v>37</v>
      </c>
      <c r="L304" t="s">
        <v>413</v>
      </c>
      <c r="M304" t="s">
        <v>415</v>
      </c>
      <c r="N304" t="s">
        <v>109</v>
      </c>
      <c r="O304" t="s">
        <v>401</v>
      </c>
      <c r="P304">
        <v>4945810</v>
      </c>
      <c r="Q304">
        <v>1</v>
      </c>
      <c r="R304">
        <v>36</v>
      </c>
      <c r="S304" t="s">
        <v>95</v>
      </c>
    </row>
    <row r="305" spans="1:19" x14ac:dyDescent="0.2">
      <c r="A305">
        <v>3053113</v>
      </c>
      <c r="B305" s="49">
        <v>46083</v>
      </c>
      <c r="C305" t="s">
        <v>103</v>
      </c>
      <c r="D305" t="s">
        <v>12</v>
      </c>
      <c r="E305">
        <v>600</v>
      </c>
      <c r="F305">
        <v>0</v>
      </c>
      <c r="G305">
        <v>600</v>
      </c>
      <c r="H305">
        <v>10000</v>
      </c>
      <c r="I305">
        <v>100</v>
      </c>
      <c r="J305" t="s">
        <v>100</v>
      </c>
      <c r="K305" t="s">
        <v>10</v>
      </c>
      <c r="L305" t="s">
        <v>416</v>
      </c>
      <c r="M305" t="s">
        <v>416</v>
      </c>
      <c r="N305" t="s">
        <v>109</v>
      </c>
      <c r="O305" t="s">
        <v>386</v>
      </c>
      <c r="P305">
        <v>4945103</v>
      </c>
      <c r="Q305">
        <v>1</v>
      </c>
      <c r="R305">
        <v>37</v>
      </c>
      <c r="S305" t="s">
        <v>95</v>
      </c>
    </row>
    <row r="306" spans="1:19" x14ac:dyDescent="0.2">
      <c r="A306">
        <v>3053099</v>
      </c>
      <c r="B306" s="49">
        <v>46083</v>
      </c>
      <c r="C306" t="s">
        <v>103</v>
      </c>
      <c r="D306" t="s">
        <v>12</v>
      </c>
      <c r="E306">
        <v>7660</v>
      </c>
      <c r="F306">
        <v>0</v>
      </c>
      <c r="G306">
        <v>7660</v>
      </c>
      <c r="H306">
        <v>10000</v>
      </c>
      <c r="I306">
        <v>100</v>
      </c>
      <c r="J306" t="s">
        <v>100</v>
      </c>
      <c r="K306" t="s">
        <v>10</v>
      </c>
      <c r="L306" t="s">
        <v>417</v>
      </c>
      <c r="M306" t="s">
        <v>418</v>
      </c>
      <c r="N306" t="s">
        <v>109</v>
      </c>
      <c r="O306" t="s">
        <v>386</v>
      </c>
      <c r="P306">
        <v>4945099</v>
      </c>
      <c r="Q306">
        <v>1</v>
      </c>
      <c r="R306">
        <v>37</v>
      </c>
      <c r="S306" t="s">
        <v>95</v>
      </c>
    </row>
    <row r="307" spans="1:19" x14ac:dyDescent="0.2">
      <c r="A307">
        <v>3054230</v>
      </c>
      <c r="B307" s="49">
        <v>46090</v>
      </c>
      <c r="C307" t="s">
        <v>103</v>
      </c>
      <c r="D307" t="s">
        <v>12</v>
      </c>
      <c r="E307">
        <v>7880</v>
      </c>
      <c r="F307">
        <v>0</v>
      </c>
      <c r="G307">
        <v>7880</v>
      </c>
      <c r="H307">
        <v>10000</v>
      </c>
      <c r="I307">
        <v>100</v>
      </c>
      <c r="J307" t="s">
        <v>419</v>
      </c>
      <c r="K307" t="s">
        <v>62</v>
      </c>
      <c r="L307" t="s">
        <v>546</v>
      </c>
      <c r="M307" t="s">
        <v>454</v>
      </c>
      <c r="N307" t="s">
        <v>109</v>
      </c>
      <c r="O307" t="s">
        <v>547</v>
      </c>
      <c r="P307">
        <v>4947917</v>
      </c>
      <c r="Q307">
        <v>1</v>
      </c>
      <c r="R307">
        <v>38</v>
      </c>
      <c r="S307" t="s">
        <v>95</v>
      </c>
    </row>
    <row r="308" spans="1:19" x14ac:dyDescent="0.2">
      <c r="A308">
        <v>3053191</v>
      </c>
      <c r="B308" s="49">
        <v>46090</v>
      </c>
      <c r="C308" t="s">
        <v>103</v>
      </c>
      <c r="D308" t="s">
        <v>12</v>
      </c>
      <c r="E308">
        <v>6300</v>
      </c>
      <c r="F308">
        <v>0</v>
      </c>
      <c r="G308">
        <v>6300</v>
      </c>
      <c r="H308">
        <v>10000</v>
      </c>
      <c r="I308">
        <v>100</v>
      </c>
      <c r="J308" t="s">
        <v>419</v>
      </c>
      <c r="K308" t="s">
        <v>62</v>
      </c>
      <c r="L308" t="s">
        <v>420</v>
      </c>
      <c r="M308" t="s">
        <v>421</v>
      </c>
      <c r="N308" t="s">
        <v>109</v>
      </c>
      <c r="O308" t="s">
        <v>401</v>
      </c>
      <c r="P308">
        <v>4945818</v>
      </c>
      <c r="Q308">
        <v>1</v>
      </c>
      <c r="R308">
        <v>38</v>
      </c>
      <c r="S308" t="s">
        <v>95</v>
      </c>
    </row>
    <row r="309" spans="1:19" x14ac:dyDescent="0.2">
      <c r="A309">
        <v>3053156</v>
      </c>
      <c r="B309" s="49">
        <v>46090</v>
      </c>
      <c r="C309" t="s">
        <v>103</v>
      </c>
      <c r="D309" t="s">
        <v>12</v>
      </c>
      <c r="E309">
        <v>3420</v>
      </c>
      <c r="F309">
        <v>0</v>
      </c>
      <c r="G309">
        <v>3420</v>
      </c>
      <c r="H309">
        <v>10000</v>
      </c>
      <c r="I309">
        <v>100</v>
      </c>
      <c r="J309" t="s">
        <v>331</v>
      </c>
      <c r="K309" t="s">
        <v>38</v>
      </c>
      <c r="L309" t="s">
        <v>422</v>
      </c>
      <c r="M309" t="s">
        <v>423</v>
      </c>
      <c r="N309" t="s">
        <v>109</v>
      </c>
      <c r="O309" t="s">
        <v>401</v>
      </c>
      <c r="P309">
        <v>4945804</v>
      </c>
      <c r="Q309">
        <v>1</v>
      </c>
      <c r="R309">
        <v>39</v>
      </c>
      <c r="S309" t="s">
        <v>95</v>
      </c>
    </row>
    <row r="310" spans="1:19" x14ac:dyDescent="0.2">
      <c r="A310">
        <v>3055780</v>
      </c>
      <c r="B310" s="49">
        <v>46105</v>
      </c>
      <c r="C310" t="s">
        <v>103</v>
      </c>
      <c r="D310" t="s">
        <v>12</v>
      </c>
      <c r="E310">
        <v>1500</v>
      </c>
      <c r="F310">
        <v>0</v>
      </c>
      <c r="G310">
        <v>1500</v>
      </c>
      <c r="H310">
        <v>10000</v>
      </c>
      <c r="I310">
        <v>100</v>
      </c>
      <c r="J310" t="s">
        <v>135</v>
      </c>
      <c r="K310" t="s">
        <v>27</v>
      </c>
      <c r="L310" t="s">
        <v>548</v>
      </c>
      <c r="M310" t="s">
        <v>517</v>
      </c>
      <c r="N310" t="s">
        <v>109</v>
      </c>
      <c r="O310" t="s">
        <v>549</v>
      </c>
      <c r="P310">
        <v>4947040</v>
      </c>
      <c r="Q310">
        <v>1</v>
      </c>
      <c r="R310">
        <v>41</v>
      </c>
      <c r="S310" t="s">
        <v>95</v>
      </c>
    </row>
    <row r="311" spans="1:19" x14ac:dyDescent="0.2">
      <c r="A311">
        <v>3054246</v>
      </c>
      <c r="B311" s="49">
        <v>46090</v>
      </c>
      <c r="C311" t="s">
        <v>103</v>
      </c>
      <c r="D311" t="s">
        <v>12</v>
      </c>
      <c r="E311">
        <v>8420</v>
      </c>
      <c r="F311">
        <v>0</v>
      </c>
      <c r="G311">
        <v>8420</v>
      </c>
      <c r="H311">
        <v>10000</v>
      </c>
      <c r="I311">
        <v>100</v>
      </c>
      <c r="J311" t="s">
        <v>135</v>
      </c>
      <c r="K311" t="s">
        <v>27</v>
      </c>
      <c r="L311" t="s">
        <v>424</v>
      </c>
      <c r="M311" t="s">
        <v>425</v>
      </c>
      <c r="N311" t="s">
        <v>109</v>
      </c>
      <c r="O311" t="s">
        <v>373</v>
      </c>
      <c r="P311">
        <v>4946899</v>
      </c>
      <c r="Q311">
        <v>1</v>
      </c>
      <c r="R311">
        <v>41</v>
      </c>
      <c r="S311" t="s">
        <v>95</v>
      </c>
    </row>
    <row r="312" spans="1:19" x14ac:dyDescent="0.2">
      <c r="A312">
        <v>3094547</v>
      </c>
      <c r="B312" s="49">
        <v>46112</v>
      </c>
      <c r="C312" t="s">
        <v>103</v>
      </c>
      <c r="D312" t="s">
        <v>12</v>
      </c>
      <c r="E312">
        <v>6882</v>
      </c>
      <c r="F312">
        <v>0</v>
      </c>
      <c r="G312">
        <v>6882</v>
      </c>
      <c r="H312">
        <v>10000</v>
      </c>
      <c r="I312">
        <v>100</v>
      </c>
      <c r="J312" t="s">
        <v>426</v>
      </c>
      <c r="K312" t="s">
        <v>39</v>
      </c>
      <c r="L312" t="s">
        <v>863</v>
      </c>
      <c r="M312" t="s">
        <v>517</v>
      </c>
      <c r="N312" t="s">
        <v>109</v>
      </c>
      <c r="O312" t="s">
        <v>864</v>
      </c>
      <c r="P312">
        <v>4977618</v>
      </c>
      <c r="Q312">
        <v>1</v>
      </c>
      <c r="R312">
        <v>43</v>
      </c>
      <c r="S312" t="s">
        <v>95</v>
      </c>
    </row>
    <row r="313" spans="1:19" x14ac:dyDescent="0.2">
      <c r="A313">
        <v>3041877</v>
      </c>
      <c r="B313" s="49">
        <v>46083</v>
      </c>
      <c r="C313" t="s">
        <v>103</v>
      </c>
      <c r="D313" t="s">
        <v>12</v>
      </c>
      <c r="E313">
        <v>9888.56</v>
      </c>
      <c r="F313">
        <v>0</v>
      </c>
      <c r="G313">
        <v>9888.56</v>
      </c>
      <c r="H313">
        <v>10000</v>
      </c>
      <c r="I313">
        <v>100</v>
      </c>
      <c r="J313" t="s">
        <v>426</v>
      </c>
      <c r="K313" t="s">
        <v>39</v>
      </c>
      <c r="L313" t="s">
        <v>427</v>
      </c>
      <c r="M313" t="s">
        <v>428</v>
      </c>
      <c r="N313" t="s">
        <v>109</v>
      </c>
      <c r="O313" t="s">
        <v>263</v>
      </c>
      <c r="P313">
        <v>4937722</v>
      </c>
      <c r="Q313">
        <v>1</v>
      </c>
      <c r="R313">
        <v>43</v>
      </c>
      <c r="S313" t="s">
        <v>95</v>
      </c>
    </row>
    <row r="314" spans="1:19" x14ac:dyDescent="0.2">
      <c r="A314">
        <v>3053166</v>
      </c>
      <c r="B314" s="49">
        <v>46090</v>
      </c>
      <c r="C314" t="s">
        <v>103</v>
      </c>
      <c r="D314" t="s">
        <v>12</v>
      </c>
      <c r="E314">
        <v>2280</v>
      </c>
      <c r="F314">
        <v>0</v>
      </c>
      <c r="G314">
        <v>2280</v>
      </c>
      <c r="H314">
        <v>10000</v>
      </c>
      <c r="I314">
        <v>100</v>
      </c>
      <c r="J314" t="s">
        <v>429</v>
      </c>
      <c r="K314" t="s">
        <v>40</v>
      </c>
      <c r="L314" t="s">
        <v>430</v>
      </c>
      <c r="M314" t="s">
        <v>431</v>
      </c>
      <c r="N314" t="s">
        <v>109</v>
      </c>
      <c r="O314" t="s">
        <v>401</v>
      </c>
      <c r="P314">
        <v>4945807</v>
      </c>
      <c r="Q314">
        <v>1</v>
      </c>
      <c r="R314">
        <v>44</v>
      </c>
      <c r="S314" t="s">
        <v>95</v>
      </c>
    </row>
    <row r="315" spans="1:19" x14ac:dyDescent="0.2">
      <c r="A315">
        <v>3053111</v>
      </c>
      <c r="B315" s="49">
        <v>46083</v>
      </c>
      <c r="C315" t="s">
        <v>103</v>
      </c>
      <c r="D315" t="s">
        <v>12</v>
      </c>
      <c r="E315">
        <v>600</v>
      </c>
      <c r="F315">
        <v>0</v>
      </c>
      <c r="G315">
        <v>600</v>
      </c>
      <c r="H315">
        <v>10000</v>
      </c>
      <c r="I315">
        <v>100</v>
      </c>
      <c r="J315" t="s">
        <v>205</v>
      </c>
      <c r="K315" t="s">
        <v>21</v>
      </c>
      <c r="L315" t="s">
        <v>432</v>
      </c>
      <c r="M315" t="s">
        <v>433</v>
      </c>
      <c r="N315" t="s">
        <v>109</v>
      </c>
      <c r="O315" t="s">
        <v>386</v>
      </c>
      <c r="P315">
        <v>4945102</v>
      </c>
      <c r="Q315">
        <v>1</v>
      </c>
      <c r="R315">
        <v>42</v>
      </c>
      <c r="S315" t="s">
        <v>95</v>
      </c>
    </row>
    <row r="316" spans="1:19" x14ac:dyDescent="0.2">
      <c r="A316">
        <v>3053098</v>
      </c>
      <c r="B316" s="49">
        <v>46083</v>
      </c>
      <c r="C316" t="s">
        <v>103</v>
      </c>
      <c r="D316" t="s">
        <v>12</v>
      </c>
      <c r="E316">
        <v>7040</v>
      </c>
      <c r="F316">
        <v>0</v>
      </c>
      <c r="G316">
        <v>7040</v>
      </c>
      <c r="H316">
        <v>10000</v>
      </c>
      <c r="I316">
        <v>100</v>
      </c>
      <c r="J316" t="s">
        <v>205</v>
      </c>
      <c r="K316" t="s">
        <v>21</v>
      </c>
      <c r="L316" t="s">
        <v>434</v>
      </c>
      <c r="M316" t="s">
        <v>435</v>
      </c>
      <c r="N316" t="s">
        <v>109</v>
      </c>
      <c r="O316" t="s">
        <v>386</v>
      </c>
      <c r="P316">
        <v>4945098</v>
      </c>
      <c r="Q316">
        <v>1</v>
      </c>
      <c r="R316">
        <v>42</v>
      </c>
      <c r="S316" t="s">
        <v>95</v>
      </c>
    </row>
    <row r="317" spans="1:19" x14ac:dyDescent="0.2">
      <c r="A317">
        <v>3063594</v>
      </c>
      <c r="B317" s="49">
        <v>46099</v>
      </c>
      <c r="C317" t="s">
        <v>103</v>
      </c>
      <c r="D317" t="s">
        <v>12</v>
      </c>
      <c r="E317">
        <v>8362</v>
      </c>
      <c r="F317">
        <v>0</v>
      </c>
      <c r="G317">
        <v>8362</v>
      </c>
      <c r="H317">
        <v>10000</v>
      </c>
      <c r="I317">
        <v>100</v>
      </c>
      <c r="J317" t="s">
        <v>334</v>
      </c>
      <c r="K317" t="s">
        <v>41</v>
      </c>
      <c r="L317" t="s">
        <v>550</v>
      </c>
      <c r="M317" t="s">
        <v>551</v>
      </c>
      <c r="N317" t="s">
        <v>109</v>
      </c>
      <c r="O317" t="s">
        <v>520</v>
      </c>
      <c r="P317">
        <v>4955111</v>
      </c>
      <c r="Q317">
        <v>1</v>
      </c>
      <c r="R317">
        <v>47</v>
      </c>
      <c r="S317" t="s">
        <v>95</v>
      </c>
    </row>
    <row r="318" spans="1:19" x14ac:dyDescent="0.2">
      <c r="A318">
        <v>3041884</v>
      </c>
      <c r="B318" s="49">
        <v>46083</v>
      </c>
      <c r="C318" t="s">
        <v>103</v>
      </c>
      <c r="D318" t="s">
        <v>12</v>
      </c>
      <c r="E318">
        <v>3479.31</v>
      </c>
      <c r="F318">
        <v>0</v>
      </c>
      <c r="G318">
        <v>3479.31</v>
      </c>
      <c r="H318">
        <v>10000</v>
      </c>
      <c r="I318">
        <v>100</v>
      </c>
      <c r="J318" t="s">
        <v>334</v>
      </c>
      <c r="K318" t="s">
        <v>41</v>
      </c>
      <c r="L318" t="s">
        <v>436</v>
      </c>
      <c r="M318" t="s">
        <v>437</v>
      </c>
      <c r="N318" t="s">
        <v>109</v>
      </c>
      <c r="O318" t="s">
        <v>263</v>
      </c>
      <c r="P318">
        <v>4937728</v>
      </c>
      <c r="Q318">
        <v>1</v>
      </c>
      <c r="R318">
        <v>47</v>
      </c>
      <c r="S318" t="s">
        <v>95</v>
      </c>
    </row>
    <row r="319" spans="1:19" x14ac:dyDescent="0.2">
      <c r="A319">
        <v>3053115</v>
      </c>
      <c r="B319" s="49">
        <v>46082</v>
      </c>
      <c r="C319" t="s">
        <v>103</v>
      </c>
      <c r="D319" t="s">
        <v>12</v>
      </c>
      <c r="E319">
        <v>750</v>
      </c>
      <c r="F319">
        <v>0</v>
      </c>
      <c r="G319">
        <v>750</v>
      </c>
      <c r="H319">
        <v>10000</v>
      </c>
      <c r="I319">
        <v>100</v>
      </c>
      <c r="J319" t="s">
        <v>336</v>
      </c>
      <c r="K319" t="s">
        <v>55</v>
      </c>
      <c r="L319" t="s">
        <v>438</v>
      </c>
      <c r="M319" t="s">
        <v>438</v>
      </c>
      <c r="N319" t="s">
        <v>109</v>
      </c>
      <c r="O319" t="s">
        <v>386</v>
      </c>
      <c r="P319">
        <v>4945104</v>
      </c>
      <c r="Q319">
        <v>1</v>
      </c>
      <c r="R319">
        <v>48</v>
      </c>
      <c r="S319" t="s">
        <v>95</v>
      </c>
    </row>
    <row r="320" spans="1:19" x14ac:dyDescent="0.2">
      <c r="A320">
        <v>3041878</v>
      </c>
      <c r="B320" s="49">
        <v>46083</v>
      </c>
      <c r="C320" t="s">
        <v>103</v>
      </c>
      <c r="D320" t="s">
        <v>12</v>
      </c>
      <c r="E320">
        <v>17030.3</v>
      </c>
      <c r="F320">
        <v>0</v>
      </c>
      <c r="G320">
        <v>17030.3</v>
      </c>
      <c r="H320">
        <v>10000</v>
      </c>
      <c r="I320">
        <v>100</v>
      </c>
      <c r="J320" t="s">
        <v>336</v>
      </c>
      <c r="K320" t="s">
        <v>55</v>
      </c>
      <c r="L320" t="s">
        <v>439</v>
      </c>
      <c r="M320" t="s">
        <v>440</v>
      </c>
      <c r="N320" t="s">
        <v>109</v>
      </c>
      <c r="O320" t="s">
        <v>263</v>
      </c>
      <c r="P320">
        <v>4937723</v>
      </c>
      <c r="Q320">
        <v>1</v>
      </c>
      <c r="R320">
        <v>48</v>
      </c>
      <c r="S320" t="s">
        <v>95</v>
      </c>
    </row>
    <row r="321" spans="1:19" x14ac:dyDescent="0.2">
      <c r="A321">
        <v>3054236</v>
      </c>
      <c r="B321" s="49">
        <v>46090</v>
      </c>
      <c r="C321" t="s">
        <v>103</v>
      </c>
      <c r="D321" t="s">
        <v>12</v>
      </c>
      <c r="E321">
        <v>7700</v>
      </c>
      <c r="F321">
        <v>0</v>
      </c>
      <c r="G321">
        <v>7700</v>
      </c>
      <c r="H321">
        <v>10000</v>
      </c>
      <c r="I321">
        <v>100</v>
      </c>
      <c r="J321" t="s">
        <v>552</v>
      </c>
      <c r="K321" t="s">
        <v>63</v>
      </c>
      <c r="L321" t="s">
        <v>553</v>
      </c>
      <c r="M321" t="s">
        <v>554</v>
      </c>
      <c r="N321" t="s">
        <v>109</v>
      </c>
      <c r="O321" t="s">
        <v>547</v>
      </c>
      <c r="P321">
        <v>4947921</v>
      </c>
      <c r="Q321">
        <v>1</v>
      </c>
      <c r="R321">
        <v>49</v>
      </c>
      <c r="S321" t="s">
        <v>95</v>
      </c>
    </row>
    <row r="322" spans="1:19" x14ac:dyDescent="0.2">
      <c r="A322">
        <v>3054433</v>
      </c>
      <c r="B322" s="49">
        <v>46098</v>
      </c>
      <c r="C322" t="s">
        <v>103</v>
      </c>
      <c r="D322" t="s">
        <v>12</v>
      </c>
      <c r="E322">
        <v>6550</v>
      </c>
      <c r="F322">
        <v>0</v>
      </c>
      <c r="G322">
        <v>6550</v>
      </c>
      <c r="H322">
        <v>10000</v>
      </c>
      <c r="I322">
        <v>100</v>
      </c>
      <c r="J322" t="s">
        <v>338</v>
      </c>
      <c r="K322" t="s">
        <v>22</v>
      </c>
      <c r="L322" t="s">
        <v>555</v>
      </c>
      <c r="M322" t="s">
        <v>556</v>
      </c>
      <c r="N322" t="s">
        <v>109</v>
      </c>
      <c r="O322" t="s">
        <v>513</v>
      </c>
      <c r="P322">
        <v>4947031</v>
      </c>
      <c r="Q322">
        <v>1</v>
      </c>
      <c r="R322">
        <v>50</v>
      </c>
      <c r="S322" t="s">
        <v>95</v>
      </c>
    </row>
    <row r="323" spans="1:19" x14ac:dyDescent="0.2">
      <c r="A323">
        <v>3053154</v>
      </c>
      <c r="B323" s="49">
        <v>46082</v>
      </c>
      <c r="C323" t="s">
        <v>103</v>
      </c>
      <c r="D323" t="s">
        <v>12</v>
      </c>
      <c r="E323">
        <v>4840</v>
      </c>
      <c r="F323">
        <v>0</v>
      </c>
      <c r="G323">
        <v>4840</v>
      </c>
      <c r="H323">
        <v>10000</v>
      </c>
      <c r="I323">
        <v>100</v>
      </c>
      <c r="J323" t="s">
        <v>338</v>
      </c>
      <c r="K323" t="s">
        <v>22</v>
      </c>
      <c r="L323" t="s">
        <v>441</v>
      </c>
      <c r="M323" t="s">
        <v>442</v>
      </c>
      <c r="N323" t="s">
        <v>109</v>
      </c>
      <c r="O323" t="s">
        <v>401</v>
      </c>
      <c r="P323">
        <v>4945802</v>
      </c>
      <c r="Q323">
        <v>1</v>
      </c>
      <c r="R323">
        <v>50</v>
      </c>
      <c r="S323" t="s">
        <v>95</v>
      </c>
    </row>
    <row r="324" spans="1:19" x14ac:dyDescent="0.2">
      <c r="A324">
        <v>3055786</v>
      </c>
      <c r="B324" s="49">
        <v>46105</v>
      </c>
      <c r="C324" t="s">
        <v>103</v>
      </c>
      <c r="D324" t="s">
        <v>12</v>
      </c>
      <c r="E324">
        <v>1860</v>
      </c>
      <c r="F324">
        <v>0</v>
      </c>
      <c r="G324">
        <v>1860</v>
      </c>
      <c r="H324">
        <v>10000</v>
      </c>
      <c r="I324">
        <v>100</v>
      </c>
      <c r="J324" t="s">
        <v>557</v>
      </c>
      <c r="K324" t="s">
        <v>51</v>
      </c>
      <c r="L324" t="s">
        <v>558</v>
      </c>
      <c r="M324" t="s">
        <v>517</v>
      </c>
      <c r="N324" t="s">
        <v>109</v>
      </c>
      <c r="O324" t="s">
        <v>549</v>
      </c>
      <c r="P324">
        <v>4947043</v>
      </c>
      <c r="Q324">
        <v>1</v>
      </c>
      <c r="R324">
        <v>51</v>
      </c>
      <c r="S324" t="s">
        <v>95</v>
      </c>
    </row>
    <row r="325" spans="1:19" x14ac:dyDescent="0.2">
      <c r="A325">
        <v>3054432</v>
      </c>
      <c r="B325" s="49">
        <v>46098</v>
      </c>
      <c r="C325" t="s">
        <v>103</v>
      </c>
      <c r="D325" t="s">
        <v>12</v>
      </c>
      <c r="E325">
        <v>2300</v>
      </c>
      <c r="F325">
        <v>0</v>
      </c>
      <c r="G325">
        <v>2300</v>
      </c>
      <c r="H325">
        <v>10000</v>
      </c>
      <c r="I325">
        <v>100</v>
      </c>
      <c r="J325" t="s">
        <v>559</v>
      </c>
      <c r="K325" t="s">
        <v>53</v>
      </c>
      <c r="L325" t="s">
        <v>560</v>
      </c>
      <c r="M325" t="s">
        <v>561</v>
      </c>
      <c r="N325" t="s">
        <v>109</v>
      </c>
      <c r="O325" t="s">
        <v>513</v>
      </c>
      <c r="P325">
        <v>4947030</v>
      </c>
      <c r="Q325">
        <v>1</v>
      </c>
      <c r="R325">
        <v>57</v>
      </c>
      <c r="S325" t="s">
        <v>95</v>
      </c>
    </row>
    <row r="326" spans="1:19" x14ac:dyDescent="0.2">
      <c r="A326">
        <v>3054431</v>
      </c>
      <c r="B326" s="49">
        <v>46098</v>
      </c>
      <c r="C326" t="s">
        <v>103</v>
      </c>
      <c r="D326" t="s">
        <v>12</v>
      </c>
      <c r="E326">
        <v>400</v>
      </c>
      <c r="F326">
        <v>0</v>
      </c>
      <c r="G326">
        <v>400</v>
      </c>
      <c r="H326">
        <v>10000</v>
      </c>
      <c r="I326">
        <v>100</v>
      </c>
      <c r="J326" t="s">
        <v>559</v>
      </c>
      <c r="K326" t="s">
        <v>53</v>
      </c>
      <c r="L326" t="s">
        <v>560</v>
      </c>
      <c r="M326" t="s">
        <v>562</v>
      </c>
      <c r="N326" t="s">
        <v>109</v>
      </c>
      <c r="O326" t="s">
        <v>513</v>
      </c>
      <c r="P326">
        <v>4947029</v>
      </c>
      <c r="Q326">
        <v>1</v>
      </c>
      <c r="R326">
        <v>57</v>
      </c>
      <c r="S326" t="s">
        <v>95</v>
      </c>
    </row>
    <row r="327" spans="1:19" x14ac:dyDescent="0.2">
      <c r="A327">
        <v>3054427</v>
      </c>
      <c r="B327" s="49">
        <v>46098</v>
      </c>
      <c r="C327" t="s">
        <v>103</v>
      </c>
      <c r="D327" t="s">
        <v>12</v>
      </c>
      <c r="E327">
        <v>7100</v>
      </c>
      <c r="F327">
        <v>0</v>
      </c>
      <c r="G327">
        <v>7100</v>
      </c>
      <c r="H327">
        <v>10000</v>
      </c>
      <c r="I327">
        <v>100</v>
      </c>
      <c r="J327" t="s">
        <v>559</v>
      </c>
      <c r="K327" t="s">
        <v>53</v>
      </c>
      <c r="L327" t="s">
        <v>563</v>
      </c>
      <c r="M327" t="s">
        <v>564</v>
      </c>
      <c r="N327" t="s">
        <v>109</v>
      </c>
      <c r="O327" t="s">
        <v>513</v>
      </c>
      <c r="P327">
        <v>4947025</v>
      </c>
      <c r="Q327">
        <v>1</v>
      </c>
      <c r="R327">
        <v>57</v>
      </c>
      <c r="S327" t="s">
        <v>95</v>
      </c>
    </row>
    <row r="328" spans="1:19" x14ac:dyDescent="0.2">
      <c r="A328">
        <v>3054423</v>
      </c>
      <c r="B328" s="49">
        <v>46090</v>
      </c>
      <c r="C328" t="s">
        <v>103</v>
      </c>
      <c r="D328" t="s">
        <v>12</v>
      </c>
      <c r="E328">
        <v>7300</v>
      </c>
      <c r="F328">
        <v>0</v>
      </c>
      <c r="G328">
        <v>7300</v>
      </c>
      <c r="H328">
        <v>10000</v>
      </c>
      <c r="I328">
        <v>100</v>
      </c>
      <c r="J328" t="s">
        <v>443</v>
      </c>
      <c r="K328" t="s">
        <v>57</v>
      </c>
      <c r="L328" t="s">
        <v>565</v>
      </c>
      <c r="M328" t="s">
        <v>566</v>
      </c>
      <c r="N328" t="s">
        <v>109</v>
      </c>
      <c r="O328" t="s">
        <v>513</v>
      </c>
      <c r="P328">
        <v>4947021</v>
      </c>
      <c r="Q328">
        <v>1</v>
      </c>
      <c r="R328">
        <v>59</v>
      </c>
      <c r="S328" t="s">
        <v>95</v>
      </c>
    </row>
    <row r="329" spans="1:19" x14ac:dyDescent="0.2">
      <c r="A329">
        <v>3053105</v>
      </c>
      <c r="B329" s="49">
        <v>46083</v>
      </c>
      <c r="C329" t="s">
        <v>103</v>
      </c>
      <c r="D329" t="s">
        <v>12</v>
      </c>
      <c r="E329">
        <v>4500</v>
      </c>
      <c r="F329">
        <v>0</v>
      </c>
      <c r="G329">
        <v>4500</v>
      </c>
      <c r="H329">
        <v>10000</v>
      </c>
      <c r="I329">
        <v>100</v>
      </c>
      <c r="J329" t="s">
        <v>443</v>
      </c>
      <c r="K329" t="s">
        <v>57</v>
      </c>
      <c r="L329" t="s">
        <v>444</v>
      </c>
      <c r="M329" t="s">
        <v>445</v>
      </c>
      <c r="N329" t="s">
        <v>109</v>
      </c>
      <c r="O329" t="s">
        <v>386</v>
      </c>
      <c r="P329">
        <v>4945100</v>
      </c>
      <c r="Q329">
        <v>1</v>
      </c>
      <c r="R329">
        <v>59</v>
      </c>
      <c r="S329" t="s">
        <v>95</v>
      </c>
    </row>
    <row r="330" spans="1:19" x14ac:dyDescent="0.2">
      <c r="A330">
        <v>3054250</v>
      </c>
      <c r="B330" s="49">
        <v>46090</v>
      </c>
      <c r="C330" t="s">
        <v>103</v>
      </c>
      <c r="D330" t="s">
        <v>12</v>
      </c>
      <c r="E330">
        <v>9140</v>
      </c>
      <c r="F330">
        <v>0</v>
      </c>
      <c r="G330">
        <v>9140</v>
      </c>
      <c r="H330">
        <v>10000</v>
      </c>
      <c r="I330">
        <v>100</v>
      </c>
      <c r="J330" t="s">
        <v>196</v>
      </c>
      <c r="K330" t="s">
        <v>60</v>
      </c>
      <c r="L330" t="s">
        <v>446</v>
      </c>
      <c r="M330" t="s">
        <v>447</v>
      </c>
      <c r="N330" t="s">
        <v>109</v>
      </c>
      <c r="O330" t="s">
        <v>373</v>
      </c>
      <c r="P330">
        <v>4946900</v>
      </c>
      <c r="Q330">
        <v>1</v>
      </c>
      <c r="R330">
        <v>60</v>
      </c>
      <c r="S330" t="s">
        <v>95</v>
      </c>
    </row>
    <row r="331" spans="1:19" x14ac:dyDescent="0.2">
      <c r="A331">
        <v>3054426</v>
      </c>
      <c r="B331" s="49">
        <v>46098</v>
      </c>
      <c r="C331" t="s">
        <v>103</v>
      </c>
      <c r="D331" t="s">
        <v>12</v>
      </c>
      <c r="E331">
        <v>7100</v>
      </c>
      <c r="F331">
        <v>0</v>
      </c>
      <c r="G331">
        <v>7100</v>
      </c>
      <c r="H331">
        <v>10000</v>
      </c>
      <c r="I331">
        <v>100</v>
      </c>
      <c r="J331" t="s">
        <v>567</v>
      </c>
      <c r="K331" t="s">
        <v>58</v>
      </c>
      <c r="L331" t="s">
        <v>568</v>
      </c>
      <c r="M331" t="s">
        <v>569</v>
      </c>
      <c r="N331" t="s">
        <v>109</v>
      </c>
      <c r="O331" t="s">
        <v>513</v>
      </c>
      <c r="P331">
        <v>4947024</v>
      </c>
      <c r="Q331">
        <v>1</v>
      </c>
      <c r="R331">
        <v>61</v>
      </c>
      <c r="S331" t="s">
        <v>95</v>
      </c>
    </row>
    <row r="332" spans="1:19" x14ac:dyDescent="0.2">
      <c r="A332">
        <v>3054276</v>
      </c>
      <c r="B332" s="49">
        <v>46090</v>
      </c>
      <c r="C332" t="s">
        <v>103</v>
      </c>
      <c r="D332" t="s">
        <v>12</v>
      </c>
      <c r="E332">
        <v>1200</v>
      </c>
      <c r="F332">
        <v>0</v>
      </c>
      <c r="G332">
        <v>1200</v>
      </c>
      <c r="H332">
        <v>10000</v>
      </c>
      <c r="I332">
        <v>100</v>
      </c>
      <c r="J332" t="s">
        <v>448</v>
      </c>
      <c r="K332" t="s">
        <v>59</v>
      </c>
      <c r="L332" t="s">
        <v>449</v>
      </c>
      <c r="M332" t="s">
        <v>449</v>
      </c>
      <c r="N332" t="s">
        <v>109</v>
      </c>
      <c r="O332" t="s">
        <v>373</v>
      </c>
      <c r="P332">
        <v>4946906</v>
      </c>
      <c r="Q332">
        <v>1</v>
      </c>
      <c r="R332">
        <v>62</v>
      </c>
      <c r="S332" t="s">
        <v>95</v>
      </c>
    </row>
    <row r="333" spans="1:19" x14ac:dyDescent="0.2">
      <c r="A333">
        <v>3054233</v>
      </c>
      <c r="B333" s="49">
        <v>46090</v>
      </c>
      <c r="C333" t="s">
        <v>103</v>
      </c>
      <c r="D333" t="s">
        <v>12</v>
      </c>
      <c r="E333">
        <v>7300</v>
      </c>
      <c r="F333">
        <v>0</v>
      </c>
      <c r="G333">
        <v>7300</v>
      </c>
      <c r="H333">
        <v>10000</v>
      </c>
      <c r="I333">
        <v>100</v>
      </c>
      <c r="J333" t="s">
        <v>448</v>
      </c>
      <c r="K333" t="s">
        <v>59</v>
      </c>
      <c r="L333" t="s">
        <v>570</v>
      </c>
      <c r="M333" t="s">
        <v>571</v>
      </c>
      <c r="N333" t="s">
        <v>109</v>
      </c>
      <c r="O333" t="s">
        <v>547</v>
      </c>
      <c r="P333">
        <v>4947919</v>
      </c>
      <c r="Q333">
        <v>1</v>
      </c>
      <c r="R333">
        <v>62</v>
      </c>
      <c r="S333" t="s">
        <v>95</v>
      </c>
    </row>
    <row r="334" spans="1:19" x14ac:dyDescent="0.2">
      <c r="A334">
        <v>3054357</v>
      </c>
      <c r="B334" s="49">
        <v>46090</v>
      </c>
      <c r="C334" t="s">
        <v>103</v>
      </c>
      <c r="D334" t="s">
        <v>12</v>
      </c>
      <c r="E334">
        <v>10020</v>
      </c>
      <c r="F334">
        <v>0</v>
      </c>
      <c r="G334">
        <v>10020</v>
      </c>
      <c r="H334">
        <v>10000</v>
      </c>
      <c r="I334">
        <v>100</v>
      </c>
      <c r="J334" t="s">
        <v>374</v>
      </c>
      <c r="K334" t="s">
        <v>66</v>
      </c>
      <c r="L334" t="s">
        <v>450</v>
      </c>
      <c r="M334" t="s">
        <v>451</v>
      </c>
      <c r="N334" t="s">
        <v>109</v>
      </c>
      <c r="O334" t="s">
        <v>370</v>
      </c>
      <c r="P334">
        <v>4946955</v>
      </c>
      <c r="Q334">
        <v>1</v>
      </c>
      <c r="R334">
        <v>65</v>
      </c>
      <c r="S334" t="s">
        <v>95</v>
      </c>
    </row>
    <row r="335" spans="1:19" x14ac:dyDescent="0.2">
      <c r="A335">
        <v>3053188</v>
      </c>
      <c r="B335" s="49">
        <v>46090</v>
      </c>
      <c r="C335" t="s">
        <v>103</v>
      </c>
      <c r="D335" t="s">
        <v>12</v>
      </c>
      <c r="E335">
        <v>7700</v>
      </c>
      <c r="F335">
        <v>0</v>
      </c>
      <c r="G335">
        <v>7700</v>
      </c>
      <c r="H335">
        <v>10000</v>
      </c>
      <c r="I335">
        <v>100</v>
      </c>
      <c r="J335" t="s">
        <v>452</v>
      </c>
      <c r="K335" t="s">
        <v>64</v>
      </c>
      <c r="L335" t="s">
        <v>453</v>
      </c>
      <c r="M335" t="s">
        <v>454</v>
      </c>
      <c r="N335" t="s">
        <v>109</v>
      </c>
      <c r="O335" t="s">
        <v>401</v>
      </c>
      <c r="P335">
        <v>4945815</v>
      </c>
      <c r="Q335">
        <v>1</v>
      </c>
      <c r="R335">
        <v>64</v>
      </c>
      <c r="S335" t="s">
        <v>95</v>
      </c>
    </row>
    <row r="336" spans="1:19" x14ac:dyDescent="0.2">
      <c r="A336">
        <v>3055782</v>
      </c>
      <c r="B336" s="49">
        <v>46105</v>
      </c>
      <c r="C336" t="s">
        <v>103</v>
      </c>
      <c r="D336" t="s">
        <v>12</v>
      </c>
      <c r="E336">
        <v>2110</v>
      </c>
      <c r="F336">
        <v>0</v>
      </c>
      <c r="G336">
        <v>2110</v>
      </c>
      <c r="H336">
        <v>10000</v>
      </c>
      <c r="I336">
        <v>100</v>
      </c>
      <c r="J336" t="s">
        <v>206</v>
      </c>
      <c r="K336" t="s">
        <v>74</v>
      </c>
      <c r="L336" t="s">
        <v>572</v>
      </c>
      <c r="M336" t="s">
        <v>517</v>
      </c>
      <c r="N336" t="s">
        <v>109</v>
      </c>
      <c r="O336" t="s">
        <v>549</v>
      </c>
      <c r="P336">
        <v>4947041</v>
      </c>
      <c r="Q336">
        <v>1</v>
      </c>
      <c r="R336">
        <v>71</v>
      </c>
      <c r="S336" t="s">
        <v>95</v>
      </c>
    </row>
    <row r="337" spans="1:19" x14ac:dyDescent="0.2">
      <c r="A337">
        <v>3054285</v>
      </c>
      <c r="B337" s="49">
        <v>46090</v>
      </c>
      <c r="C337" t="s">
        <v>103</v>
      </c>
      <c r="D337" t="s">
        <v>12</v>
      </c>
      <c r="E337">
        <v>1800</v>
      </c>
      <c r="F337">
        <v>0</v>
      </c>
      <c r="G337">
        <v>1800</v>
      </c>
      <c r="H337">
        <v>10000</v>
      </c>
      <c r="I337">
        <v>100</v>
      </c>
      <c r="J337" t="s">
        <v>455</v>
      </c>
      <c r="K337" t="s">
        <v>75</v>
      </c>
      <c r="L337" t="s">
        <v>456</v>
      </c>
      <c r="M337" t="s">
        <v>456</v>
      </c>
      <c r="N337" t="s">
        <v>109</v>
      </c>
      <c r="O337" t="s">
        <v>373</v>
      </c>
      <c r="P337">
        <v>4946911</v>
      </c>
      <c r="Q337">
        <v>1</v>
      </c>
      <c r="R337">
        <v>72</v>
      </c>
      <c r="S337" t="s">
        <v>95</v>
      </c>
    </row>
    <row r="338" spans="1:19" x14ac:dyDescent="0.2">
      <c r="A338">
        <v>3054281</v>
      </c>
      <c r="B338" s="49">
        <v>46090</v>
      </c>
      <c r="C338" t="s">
        <v>103</v>
      </c>
      <c r="D338" t="s">
        <v>12</v>
      </c>
      <c r="E338">
        <v>500</v>
      </c>
      <c r="F338">
        <v>0</v>
      </c>
      <c r="G338">
        <v>500</v>
      </c>
      <c r="H338">
        <v>10000</v>
      </c>
      <c r="I338">
        <v>100</v>
      </c>
      <c r="J338" t="s">
        <v>344</v>
      </c>
      <c r="K338" t="s">
        <v>110</v>
      </c>
      <c r="L338" t="s">
        <v>457</v>
      </c>
      <c r="M338" t="s">
        <v>457</v>
      </c>
      <c r="N338" t="s">
        <v>109</v>
      </c>
      <c r="O338" t="s">
        <v>373</v>
      </c>
      <c r="P338">
        <v>4946908</v>
      </c>
      <c r="Q338">
        <v>1</v>
      </c>
      <c r="R338">
        <v>74</v>
      </c>
      <c r="S338" t="s">
        <v>95</v>
      </c>
    </row>
    <row r="339" spans="1:19" x14ac:dyDescent="0.2">
      <c r="A339">
        <v>3053190</v>
      </c>
      <c r="B339" s="49">
        <v>46090</v>
      </c>
      <c r="C339" t="s">
        <v>103</v>
      </c>
      <c r="D339" t="s">
        <v>12</v>
      </c>
      <c r="E339">
        <v>9680</v>
      </c>
      <c r="F339">
        <v>0</v>
      </c>
      <c r="G339">
        <v>9680</v>
      </c>
      <c r="H339">
        <v>10000</v>
      </c>
      <c r="I339">
        <v>100</v>
      </c>
      <c r="J339" t="s">
        <v>344</v>
      </c>
      <c r="K339" t="s">
        <v>110</v>
      </c>
      <c r="L339" t="s">
        <v>458</v>
      </c>
      <c r="M339" t="s">
        <v>459</v>
      </c>
      <c r="N339" t="s">
        <v>109</v>
      </c>
      <c r="O339" t="s">
        <v>401</v>
      </c>
      <c r="P339">
        <v>4945817</v>
      </c>
      <c r="Q339">
        <v>1</v>
      </c>
      <c r="R339">
        <v>74</v>
      </c>
      <c r="S339" t="s">
        <v>95</v>
      </c>
    </row>
    <row r="340" spans="1:19" x14ac:dyDescent="0.2">
      <c r="A340">
        <v>3053167</v>
      </c>
      <c r="B340" s="49">
        <v>46090</v>
      </c>
      <c r="C340" t="s">
        <v>103</v>
      </c>
      <c r="D340" t="s">
        <v>12</v>
      </c>
      <c r="E340">
        <v>3180</v>
      </c>
      <c r="F340">
        <v>0</v>
      </c>
      <c r="G340">
        <v>3180</v>
      </c>
      <c r="H340">
        <v>10000</v>
      </c>
      <c r="I340">
        <v>100</v>
      </c>
      <c r="J340" t="s">
        <v>344</v>
      </c>
      <c r="K340" t="s">
        <v>110</v>
      </c>
      <c r="L340" t="s">
        <v>460</v>
      </c>
      <c r="M340" t="s">
        <v>460</v>
      </c>
      <c r="N340" t="s">
        <v>109</v>
      </c>
      <c r="O340" t="s">
        <v>401</v>
      </c>
      <c r="P340">
        <v>4945808</v>
      </c>
      <c r="Q340">
        <v>1</v>
      </c>
      <c r="R340">
        <v>74</v>
      </c>
      <c r="S340" t="s">
        <v>95</v>
      </c>
    </row>
    <row r="341" spans="1:19" x14ac:dyDescent="0.2">
      <c r="A341">
        <v>3088456</v>
      </c>
      <c r="B341" s="49">
        <v>46100</v>
      </c>
      <c r="C341" t="s">
        <v>103</v>
      </c>
      <c r="D341" t="s">
        <v>12</v>
      </c>
      <c r="E341">
        <v>4394.92</v>
      </c>
      <c r="F341">
        <v>0</v>
      </c>
      <c r="G341">
        <v>4394.92</v>
      </c>
      <c r="H341">
        <v>10000</v>
      </c>
      <c r="I341">
        <v>100</v>
      </c>
      <c r="J341" t="s">
        <v>377</v>
      </c>
      <c r="K341" t="s">
        <v>115</v>
      </c>
      <c r="L341" t="s">
        <v>766</v>
      </c>
      <c r="M341" t="s">
        <v>767</v>
      </c>
      <c r="N341" t="s">
        <v>109</v>
      </c>
      <c r="O341" t="s">
        <v>674</v>
      </c>
      <c r="P341">
        <v>4975497</v>
      </c>
      <c r="Q341">
        <v>1</v>
      </c>
      <c r="R341">
        <v>75</v>
      </c>
      <c r="S341" t="s">
        <v>95</v>
      </c>
    </row>
    <row r="342" spans="1:19" x14ac:dyDescent="0.2">
      <c r="A342">
        <v>3053120</v>
      </c>
      <c r="B342" s="49">
        <v>46082</v>
      </c>
      <c r="C342" t="s">
        <v>103</v>
      </c>
      <c r="D342" t="s">
        <v>12</v>
      </c>
      <c r="E342">
        <v>1000</v>
      </c>
      <c r="F342">
        <v>0</v>
      </c>
      <c r="G342">
        <v>1000</v>
      </c>
      <c r="H342">
        <v>10000</v>
      </c>
      <c r="I342">
        <v>100</v>
      </c>
      <c r="J342" t="s">
        <v>377</v>
      </c>
      <c r="K342" t="s">
        <v>115</v>
      </c>
      <c r="L342" t="s">
        <v>461</v>
      </c>
      <c r="M342" t="s">
        <v>461</v>
      </c>
      <c r="N342" t="s">
        <v>109</v>
      </c>
      <c r="O342" t="s">
        <v>386</v>
      </c>
      <c r="P342">
        <v>4945105</v>
      </c>
      <c r="Q342">
        <v>1</v>
      </c>
      <c r="R342">
        <v>75</v>
      </c>
      <c r="S342" t="s">
        <v>95</v>
      </c>
    </row>
    <row r="343" spans="1:19" x14ac:dyDescent="0.2">
      <c r="A343">
        <v>3054241</v>
      </c>
      <c r="B343" s="49">
        <v>46090</v>
      </c>
      <c r="C343" t="s">
        <v>103</v>
      </c>
      <c r="D343" t="s">
        <v>12</v>
      </c>
      <c r="E343">
        <v>6500</v>
      </c>
      <c r="F343">
        <v>0</v>
      </c>
      <c r="G343">
        <v>6500</v>
      </c>
      <c r="H343">
        <v>10000</v>
      </c>
      <c r="I343">
        <v>100</v>
      </c>
      <c r="J343" t="s">
        <v>573</v>
      </c>
      <c r="K343" t="s">
        <v>117</v>
      </c>
      <c r="L343" t="s">
        <v>574</v>
      </c>
      <c r="M343" t="s">
        <v>564</v>
      </c>
      <c r="N343" t="s">
        <v>109</v>
      </c>
      <c r="O343" t="s">
        <v>547</v>
      </c>
      <c r="P343">
        <v>4947922</v>
      </c>
      <c r="Q343">
        <v>1</v>
      </c>
      <c r="R343">
        <v>76</v>
      </c>
      <c r="S343" t="s">
        <v>95</v>
      </c>
    </row>
    <row r="344" spans="1:19" x14ac:dyDescent="0.2">
      <c r="A344">
        <v>3055809</v>
      </c>
      <c r="B344" s="49">
        <v>46090</v>
      </c>
      <c r="C344" t="s">
        <v>103</v>
      </c>
      <c r="D344" t="s">
        <v>12</v>
      </c>
      <c r="E344">
        <v>2540</v>
      </c>
      <c r="F344">
        <v>0</v>
      </c>
      <c r="G344">
        <v>2540</v>
      </c>
      <c r="H344">
        <v>10000</v>
      </c>
      <c r="I344">
        <v>100</v>
      </c>
      <c r="J344" t="s">
        <v>462</v>
      </c>
      <c r="K344" t="s">
        <v>118</v>
      </c>
      <c r="L344" t="s">
        <v>575</v>
      </c>
      <c r="M344" t="s">
        <v>575</v>
      </c>
      <c r="N344" t="s">
        <v>109</v>
      </c>
      <c r="O344" t="s">
        <v>576</v>
      </c>
      <c r="P344">
        <v>4947059</v>
      </c>
      <c r="Q344">
        <v>1</v>
      </c>
      <c r="R344">
        <v>77</v>
      </c>
      <c r="S344" t="s">
        <v>95</v>
      </c>
    </row>
    <row r="345" spans="1:19" x14ac:dyDescent="0.2">
      <c r="A345">
        <v>3054275</v>
      </c>
      <c r="B345" s="49">
        <v>46090</v>
      </c>
      <c r="C345" t="s">
        <v>103</v>
      </c>
      <c r="D345" t="s">
        <v>12</v>
      </c>
      <c r="E345">
        <v>6040</v>
      </c>
      <c r="F345">
        <v>0</v>
      </c>
      <c r="G345">
        <v>6040</v>
      </c>
      <c r="H345">
        <v>10000</v>
      </c>
      <c r="I345">
        <v>100</v>
      </c>
      <c r="J345" t="s">
        <v>462</v>
      </c>
      <c r="K345" t="s">
        <v>118</v>
      </c>
      <c r="L345" t="s">
        <v>463</v>
      </c>
      <c r="M345" t="s">
        <v>464</v>
      </c>
      <c r="N345" t="s">
        <v>109</v>
      </c>
      <c r="O345" t="s">
        <v>373</v>
      </c>
      <c r="P345">
        <v>4946905</v>
      </c>
      <c r="Q345">
        <v>1</v>
      </c>
      <c r="R345">
        <v>77</v>
      </c>
      <c r="S345" t="s">
        <v>95</v>
      </c>
    </row>
    <row r="346" spans="1:19" x14ac:dyDescent="0.2">
      <c r="A346">
        <v>3053128</v>
      </c>
      <c r="B346" s="49">
        <v>46082</v>
      </c>
      <c r="C346" t="s">
        <v>103</v>
      </c>
      <c r="D346" t="s">
        <v>12</v>
      </c>
      <c r="E346">
        <v>7040</v>
      </c>
      <c r="F346">
        <v>0</v>
      </c>
      <c r="G346">
        <v>7040</v>
      </c>
      <c r="H346">
        <v>10000</v>
      </c>
      <c r="I346">
        <v>100</v>
      </c>
      <c r="J346" t="s">
        <v>462</v>
      </c>
      <c r="K346" t="s">
        <v>118</v>
      </c>
      <c r="L346" t="s">
        <v>465</v>
      </c>
      <c r="M346" t="s">
        <v>466</v>
      </c>
      <c r="N346" t="s">
        <v>109</v>
      </c>
      <c r="O346" t="s">
        <v>386</v>
      </c>
      <c r="P346">
        <v>4945108</v>
      </c>
      <c r="Q346">
        <v>1</v>
      </c>
      <c r="R346">
        <v>77</v>
      </c>
      <c r="S346" t="s">
        <v>95</v>
      </c>
    </row>
    <row r="347" spans="1:19" x14ac:dyDescent="0.2">
      <c r="A347">
        <v>3055784</v>
      </c>
      <c r="B347" s="49">
        <v>46105</v>
      </c>
      <c r="C347" t="s">
        <v>103</v>
      </c>
      <c r="D347" t="s">
        <v>12</v>
      </c>
      <c r="E347">
        <v>37640</v>
      </c>
      <c r="F347">
        <v>0</v>
      </c>
      <c r="G347">
        <v>37640</v>
      </c>
      <c r="H347">
        <v>10000</v>
      </c>
      <c r="I347">
        <v>100</v>
      </c>
      <c r="J347" t="s">
        <v>577</v>
      </c>
      <c r="K347" t="s">
        <v>119</v>
      </c>
      <c r="L347" t="s">
        <v>578</v>
      </c>
      <c r="M347" t="s">
        <v>517</v>
      </c>
      <c r="N347" t="s">
        <v>109</v>
      </c>
      <c r="O347" t="s">
        <v>549</v>
      </c>
      <c r="P347">
        <v>4947042</v>
      </c>
      <c r="Q347">
        <v>1</v>
      </c>
      <c r="R347">
        <v>78</v>
      </c>
      <c r="S347" t="s">
        <v>95</v>
      </c>
    </row>
    <row r="348" spans="1:19" x14ac:dyDescent="0.2">
      <c r="A348">
        <v>3054430</v>
      </c>
      <c r="B348" s="49">
        <v>46098</v>
      </c>
      <c r="C348" t="s">
        <v>103</v>
      </c>
      <c r="D348" t="s">
        <v>12</v>
      </c>
      <c r="E348">
        <v>500</v>
      </c>
      <c r="F348">
        <v>0</v>
      </c>
      <c r="G348">
        <v>500</v>
      </c>
      <c r="H348">
        <v>10000</v>
      </c>
      <c r="I348">
        <v>100</v>
      </c>
      <c r="J348" t="s">
        <v>577</v>
      </c>
      <c r="K348" t="s">
        <v>119</v>
      </c>
      <c r="L348" t="s">
        <v>579</v>
      </c>
      <c r="M348" t="s">
        <v>579</v>
      </c>
      <c r="N348" t="s">
        <v>109</v>
      </c>
      <c r="O348" t="s">
        <v>513</v>
      </c>
      <c r="P348">
        <v>4947028</v>
      </c>
      <c r="Q348">
        <v>1</v>
      </c>
      <c r="R348">
        <v>78</v>
      </c>
      <c r="S348" t="s">
        <v>95</v>
      </c>
    </row>
    <row r="349" spans="1:19" x14ac:dyDescent="0.2">
      <c r="A349">
        <v>3054428</v>
      </c>
      <c r="B349" s="49">
        <v>46098</v>
      </c>
      <c r="C349" t="s">
        <v>103</v>
      </c>
      <c r="D349" t="s">
        <v>12</v>
      </c>
      <c r="E349">
        <v>7880</v>
      </c>
      <c r="F349">
        <v>0</v>
      </c>
      <c r="G349">
        <v>7880</v>
      </c>
      <c r="H349">
        <v>10000</v>
      </c>
      <c r="I349">
        <v>100</v>
      </c>
      <c r="J349" t="s">
        <v>577</v>
      </c>
      <c r="K349" t="s">
        <v>119</v>
      </c>
      <c r="L349" t="s">
        <v>580</v>
      </c>
      <c r="M349" t="s">
        <v>581</v>
      </c>
      <c r="N349" t="s">
        <v>109</v>
      </c>
      <c r="O349" t="s">
        <v>513</v>
      </c>
      <c r="P349">
        <v>4947026</v>
      </c>
      <c r="Q349">
        <v>1</v>
      </c>
      <c r="R349">
        <v>78</v>
      </c>
      <c r="S349" t="s">
        <v>95</v>
      </c>
    </row>
    <row r="350" spans="1:19" x14ac:dyDescent="0.2">
      <c r="A350">
        <v>3054283</v>
      </c>
      <c r="B350" s="49">
        <v>46090</v>
      </c>
      <c r="C350" t="s">
        <v>103</v>
      </c>
      <c r="D350" t="s">
        <v>12</v>
      </c>
      <c r="E350">
        <v>4000</v>
      </c>
      <c r="F350">
        <v>0</v>
      </c>
      <c r="G350">
        <v>4000</v>
      </c>
      <c r="H350">
        <v>10000</v>
      </c>
      <c r="I350">
        <v>100</v>
      </c>
      <c r="J350" t="s">
        <v>203</v>
      </c>
      <c r="K350" t="s">
        <v>120</v>
      </c>
      <c r="L350" t="s">
        <v>467</v>
      </c>
      <c r="M350" t="s">
        <v>467</v>
      </c>
      <c r="N350" t="s">
        <v>109</v>
      </c>
      <c r="O350" t="s">
        <v>373</v>
      </c>
      <c r="P350">
        <v>4946909</v>
      </c>
      <c r="Q350">
        <v>1</v>
      </c>
      <c r="R350">
        <v>79</v>
      </c>
      <c r="S350" t="s">
        <v>95</v>
      </c>
    </row>
    <row r="351" spans="1:19" x14ac:dyDescent="0.2">
      <c r="A351">
        <v>3054272</v>
      </c>
      <c r="B351" s="49">
        <v>46090</v>
      </c>
      <c r="C351" t="s">
        <v>103</v>
      </c>
      <c r="D351" t="s">
        <v>12</v>
      </c>
      <c r="E351">
        <v>7340</v>
      </c>
      <c r="F351">
        <v>0</v>
      </c>
      <c r="G351">
        <v>7340</v>
      </c>
      <c r="H351">
        <v>10000</v>
      </c>
      <c r="I351">
        <v>100</v>
      </c>
      <c r="J351" t="s">
        <v>203</v>
      </c>
      <c r="K351" t="s">
        <v>120</v>
      </c>
      <c r="L351" t="s">
        <v>468</v>
      </c>
      <c r="M351" t="s">
        <v>469</v>
      </c>
      <c r="N351" t="s">
        <v>109</v>
      </c>
      <c r="O351" t="s">
        <v>373</v>
      </c>
      <c r="P351">
        <v>4946904</v>
      </c>
      <c r="Q351">
        <v>1</v>
      </c>
      <c r="R351">
        <v>79</v>
      </c>
      <c r="S351" t="s">
        <v>95</v>
      </c>
    </row>
    <row r="352" spans="1:19" x14ac:dyDescent="0.2">
      <c r="A352">
        <v>3054425</v>
      </c>
      <c r="B352" s="49">
        <v>46098</v>
      </c>
      <c r="C352" t="s">
        <v>103</v>
      </c>
      <c r="D352" t="s">
        <v>12</v>
      </c>
      <c r="E352">
        <v>6500</v>
      </c>
      <c r="F352">
        <v>0</v>
      </c>
      <c r="G352">
        <v>6500</v>
      </c>
      <c r="H352">
        <v>10000</v>
      </c>
      <c r="I352">
        <v>100</v>
      </c>
      <c r="J352" t="s">
        <v>380</v>
      </c>
      <c r="K352" t="s">
        <v>123</v>
      </c>
      <c r="L352" t="s">
        <v>582</v>
      </c>
      <c r="M352" t="s">
        <v>495</v>
      </c>
      <c r="N352" t="s">
        <v>109</v>
      </c>
      <c r="O352" t="s">
        <v>513</v>
      </c>
      <c r="P352">
        <v>4947023</v>
      </c>
      <c r="Q352">
        <v>1</v>
      </c>
      <c r="R352">
        <v>81</v>
      </c>
      <c r="S352" t="s">
        <v>95</v>
      </c>
    </row>
    <row r="353" spans="1:19" x14ac:dyDescent="0.2">
      <c r="A353">
        <v>3054424</v>
      </c>
      <c r="B353" s="49">
        <v>46098</v>
      </c>
      <c r="C353" t="s">
        <v>103</v>
      </c>
      <c r="D353" t="s">
        <v>12</v>
      </c>
      <c r="E353">
        <v>8000</v>
      </c>
      <c r="F353">
        <v>0</v>
      </c>
      <c r="G353">
        <v>8000</v>
      </c>
      <c r="H353">
        <v>10000</v>
      </c>
      <c r="I353">
        <v>100</v>
      </c>
      <c r="J353" t="s">
        <v>346</v>
      </c>
      <c r="K353" t="s">
        <v>124</v>
      </c>
      <c r="L353" t="s">
        <v>583</v>
      </c>
      <c r="M353" t="s">
        <v>454</v>
      </c>
      <c r="N353" t="s">
        <v>109</v>
      </c>
      <c r="O353" t="s">
        <v>513</v>
      </c>
      <c r="P353">
        <v>4947022</v>
      </c>
      <c r="Q353">
        <v>1</v>
      </c>
      <c r="R353">
        <v>82</v>
      </c>
      <c r="S353" t="s">
        <v>95</v>
      </c>
    </row>
    <row r="354" spans="1:19" x14ac:dyDescent="0.2">
      <c r="A354">
        <v>3054290</v>
      </c>
      <c r="B354" s="49">
        <v>46090</v>
      </c>
      <c r="C354" t="s">
        <v>103</v>
      </c>
      <c r="D354" t="s">
        <v>12</v>
      </c>
      <c r="E354">
        <v>730</v>
      </c>
      <c r="F354">
        <v>0</v>
      </c>
      <c r="G354">
        <v>730</v>
      </c>
      <c r="H354">
        <v>10000</v>
      </c>
      <c r="I354">
        <v>100</v>
      </c>
      <c r="J354" t="s">
        <v>350</v>
      </c>
      <c r="K354" t="s">
        <v>125</v>
      </c>
      <c r="L354" t="s">
        <v>470</v>
      </c>
      <c r="M354" t="s">
        <v>470</v>
      </c>
      <c r="N354" t="s">
        <v>109</v>
      </c>
      <c r="O354" t="s">
        <v>373</v>
      </c>
      <c r="P354">
        <v>4946913</v>
      </c>
      <c r="Q354">
        <v>1</v>
      </c>
      <c r="R354">
        <v>83</v>
      </c>
      <c r="S354" t="s">
        <v>95</v>
      </c>
    </row>
    <row r="355" spans="1:19" x14ac:dyDescent="0.2">
      <c r="A355">
        <v>3053158</v>
      </c>
      <c r="B355" s="49">
        <v>46090</v>
      </c>
      <c r="C355" t="s">
        <v>103</v>
      </c>
      <c r="D355" t="s">
        <v>12</v>
      </c>
      <c r="E355">
        <v>6500</v>
      </c>
      <c r="F355">
        <v>0</v>
      </c>
      <c r="G355">
        <v>6500</v>
      </c>
      <c r="H355">
        <v>10000</v>
      </c>
      <c r="I355">
        <v>100</v>
      </c>
      <c r="J355" t="s">
        <v>350</v>
      </c>
      <c r="K355" t="s">
        <v>125</v>
      </c>
      <c r="L355" t="s">
        <v>471</v>
      </c>
      <c r="M355" t="s">
        <v>472</v>
      </c>
      <c r="N355" t="s">
        <v>109</v>
      </c>
      <c r="O355" t="s">
        <v>401</v>
      </c>
      <c r="P355">
        <v>4945806</v>
      </c>
      <c r="Q355">
        <v>1</v>
      </c>
      <c r="R355">
        <v>83</v>
      </c>
      <c r="S355" t="s">
        <v>95</v>
      </c>
    </row>
    <row r="356" spans="1:19" x14ac:dyDescent="0.2">
      <c r="A356">
        <v>3053132</v>
      </c>
      <c r="B356" s="49">
        <v>46082</v>
      </c>
      <c r="C356" t="s">
        <v>103</v>
      </c>
      <c r="D356" t="s">
        <v>12</v>
      </c>
      <c r="E356">
        <v>4500</v>
      </c>
      <c r="F356">
        <v>0</v>
      </c>
      <c r="G356">
        <v>4500</v>
      </c>
      <c r="H356">
        <v>10000</v>
      </c>
      <c r="I356">
        <v>100</v>
      </c>
      <c r="J356" t="s">
        <v>350</v>
      </c>
      <c r="K356" t="s">
        <v>125</v>
      </c>
      <c r="L356" t="s">
        <v>471</v>
      </c>
      <c r="M356" t="s">
        <v>473</v>
      </c>
      <c r="N356" t="s">
        <v>109</v>
      </c>
      <c r="O356" t="s">
        <v>386</v>
      </c>
      <c r="P356">
        <v>4945109</v>
      </c>
      <c r="Q356">
        <v>1</v>
      </c>
      <c r="R356">
        <v>83</v>
      </c>
      <c r="S356" t="s">
        <v>95</v>
      </c>
    </row>
    <row r="357" spans="1:19" x14ac:dyDescent="0.2">
      <c r="A357">
        <v>3054257</v>
      </c>
      <c r="B357" s="49">
        <v>46090</v>
      </c>
      <c r="C357" t="s">
        <v>103</v>
      </c>
      <c r="D357" t="s">
        <v>12</v>
      </c>
      <c r="E357">
        <v>11260</v>
      </c>
      <c r="F357">
        <v>0</v>
      </c>
      <c r="G357">
        <v>11260</v>
      </c>
      <c r="H357">
        <v>10000</v>
      </c>
      <c r="I357">
        <v>100</v>
      </c>
      <c r="J357" t="s">
        <v>474</v>
      </c>
      <c r="K357" t="s">
        <v>127</v>
      </c>
      <c r="L357" t="s">
        <v>475</v>
      </c>
      <c r="M357" t="s">
        <v>476</v>
      </c>
      <c r="N357" t="s">
        <v>109</v>
      </c>
      <c r="O357" t="s">
        <v>373</v>
      </c>
      <c r="P357">
        <v>4946901</v>
      </c>
      <c r="Q357">
        <v>1</v>
      </c>
      <c r="R357">
        <v>84</v>
      </c>
      <c r="S357" t="s">
        <v>95</v>
      </c>
    </row>
    <row r="358" spans="1:19" x14ac:dyDescent="0.2">
      <c r="A358">
        <v>3063595</v>
      </c>
      <c r="B358" s="49">
        <v>46099</v>
      </c>
      <c r="C358" t="s">
        <v>103</v>
      </c>
      <c r="D358" t="s">
        <v>12</v>
      </c>
      <c r="E358">
        <v>7252</v>
      </c>
      <c r="F358">
        <v>0</v>
      </c>
      <c r="G358">
        <v>7252</v>
      </c>
      <c r="H358">
        <v>10000</v>
      </c>
      <c r="I358">
        <v>100</v>
      </c>
      <c r="J358" t="s">
        <v>477</v>
      </c>
      <c r="K358" t="s">
        <v>128</v>
      </c>
      <c r="L358" t="s">
        <v>584</v>
      </c>
      <c r="M358" t="s">
        <v>551</v>
      </c>
      <c r="N358" t="s">
        <v>109</v>
      </c>
      <c r="O358" t="s">
        <v>520</v>
      </c>
      <c r="P358">
        <v>4955112</v>
      </c>
      <c r="Q358">
        <v>1</v>
      </c>
      <c r="R358">
        <v>85</v>
      </c>
      <c r="S358" t="s">
        <v>95</v>
      </c>
    </row>
    <row r="359" spans="1:19" x14ac:dyDescent="0.2">
      <c r="A359">
        <v>3062375</v>
      </c>
      <c r="B359" s="49">
        <v>46106</v>
      </c>
      <c r="C359" t="s">
        <v>103</v>
      </c>
      <c r="D359" t="s">
        <v>12</v>
      </c>
      <c r="E359">
        <v>1831.22</v>
      </c>
      <c r="F359">
        <v>0</v>
      </c>
      <c r="G359">
        <v>1831.22</v>
      </c>
      <c r="H359">
        <v>10000</v>
      </c>
      <c r="I359">
        <v>100</v>
      </c>
      <c r="J359" t="s">
        <v>477</v>
      </c>
      <c r="K359" t="s">
        <v>128</v>
      </c>
      <c r="L359" t="s">
        <v>585</v>
      </c>
      <c r="M359" t="s">
        <v>517</v>
      </c>
      <c r="N359" t="s">
        <v>109</v>
      </c>
      <c r="O359" t="s">
        <v>518</v>
      </c>
      <c r="P359">
        <v>4947904</v>
      </c>
      <c r="Q359">
        <v>1</v>
      </c>
      <c r="R359">
        <v>85</v>
      </c>
      <c r="S359" t="s">
        <v>95</v>
      </c>
    </row>
    <row r="360" spans="1:19" x14ac:dyDescent="0.2">
      <c r="A360">
        <v>3043234</v>
      </c>
      <c r="B360" s="49">
        <v>46097</v>
      </c>
      <c r="C360" t="s">
        <v>103</v>
      </c>
      <c r="D360" t="s">
        <v>12</v>
      </c>
      <c r="E360">
        <v>1831.22</v>
      </c>
      <c r="F360">
        <v>0</v>
      </c>
      <c r="G360">
        <v>1831.22</v>
      </c>
      <c r="H360">
        <v>10000</v>
      </c>
      <c r="I360">
        <v>100</v>
      </c>
      <c r="J360" t="s">
        <v>477</v>
      </c>
      <c r="K360" t="s">
        <v>128</v>
      </c>
      <c r="L360" t="s">
        <v>478</v>
      </c>
      <c r="M360" t="s">
        <v>479</v>
      </c>
      <c r="N360" t="s">
        <v>109</v>
      </c>
      <c r="O360" t="s">
        <v>289</v>
      </c>
      <c r="P360">
        <v>4937763</v>
      </c>
      <c r="Q360">
        <v>1</v>
      </c>
      <c r="R360">
        <v>85</v>
      </c>
      <c r="S360" t="s">
        <v>95</v>
      </c>
    </row>
    <row r="361" spans="1:19" x14ac:dyDescent="0.2">
      <c r="A361">
        <v>3054231</v>
      </c>
      <c r="B361" s="49">
        <v>46090</v>
      </c>
      <c r="C361" t="s">
        <v>103</v>
      </c>
      <c r="D361" t="s">
        <v>12</v>
      </c>
      <c r="E361">
        <v>8660</v>
      </c>
      <c r="F361">
        <v>0</v>
      </c>
      <c r="G361">
        <v>8660</v>
      </c>
      <c r="H361">
        <v>10000</v>
      </c>
      <c r="I361">
        <v>100</v>
      </c>
      <c r="J361" t="s">
        <v>353</v>
      </c>
      <c r="K361" t="s">
        <v>129</v>
      </c>
      <c r="L361" t="s">
        <v>586</v>
      </c>
      <c r="M361" t="s">
        <v>564</v>
      </c>
      <c r="N361" t="s">
        <v>109</v>
      </c>
      <c r="O361" t="s">
        <v>547</v>
      </c>
      <c r="P361">
        <v>4947918</v>
      </c>
      <c r="Q361">
        <v>1</v>
      </c>
      <c r="R361">
        <v>87</v>
      </c>
      <c r="S361" t="s">
        <v>95</v>
      </c>
    </row>
    <row r="362" spans="1:19" x14ac:dyDescent="0.2">
      <c r="A362">
        <v>3041879</v>
      </c>
      <c r="B362" s="49">
        <v>46083</v>
      </c>
      <c r="C362" t="s">
        <v>103</v>
      </c>
      <c r="D362" t="s">
        <v>12</v>
      </c>
      <c r="E362">
        <v>4944.28</v>
      </c>
      <c r="F362">
        <v>0</v>
      </c>
      <c r="G362">
        <v>4944.28</v>
      </c>
      <c r="H362">
        <v>10000</v>
      </c>
      <c r="I362">
        <v>100</v>
      </c>
      <c r="J362" t="s">
        <v>194</v>
      </c>
      <c r="K362" t="s">
        <v>134</v>
      </c>
      <c r="L362" t="s">
        <v>480</v>
      </c>
      <c r="M362" t="s">
        <v>481</v>
      </c>
      <c r="N362" t="s">
        <v>109</v>
      </c>
      <c r="O362" t="s">
        <v>263</v>
      </c>
      <c r="P362">
        <v>4937724</v>
      </c>
      <c r="Q362">
        <v>1</v>
      </c>
      <c r="R362">
        <v>89</v>
      </c>
      <c r="S362" t="s">
        <v>95</v>
      </c>
    </row>
    <row r="363" spans="1:19" x14ac:dyDescent="0.2">
      <c r="A363">
        <v>3054234</v>
      </c>
      <c r="B363" s="49">
        <v>46090</v>
      </c>
      <c r="C363" t="s">
        <v>103</v>
      </c>
      <c r="D363" t="s">
        <v>12</v>
      </c>
      <c r="E363">
        <v>7400</v>
      </c>
      <c r="F363">
        <v>0</v>
      </c>
      <c r="G363">
        <v>7400</v>
      </c>
      <c r="H363">
        <v>10000</v>
      </c>
      <c r="I363">
        <v>100</v>
      </c>
      <c r="J363" t="s">
        <v>587</v>
      </c>
      <c r="K363" t="s">
        <v>136</v>
      </c>
      <c r="L363" t="s">
        <v>588</v>
      </c>
      <c r="M363" t="s">
        <v>589</v>
      </c>
      <c r="N363" t="s">
        <v>109</v>
      </c>
      <c r="O363" t="s">
        <v>547</v>
      </c>
      <c r="P363">
        <v>4947920</v>
      </c>
      <c r="Q363">
        <v>1</v>
      </c>
      <c r="R363">
        <v>90</v>
      </c>
      <c r="S363" t="s">
        <v>95</v>
      </c>
    </row>
    <row r="364" spans="1:19" x14ac:dyDescent="0.2">
      <c r="A364">
        <v>3053185</v>
      </c>
      <c r="B364" s="49">
        <v>46091</v>
      </c>
      <c r="C364" t="s">
        <v>103</v>
      </c>
      <c r="D364" t="s">
        <v>12</v>
      </c>
      <c r="E364">
        <v>1800</v>
      </c>
      <c r="F364">
        <v>0</v>
      </c>
      <c r="G364">
        <v>1800</v>
      </c>
      <c r="H364">
        <v>10000</v>
      </c>
      <c r="I364">
        <v>100</v>
      </c>
      <c r="J364" t="s">
        <v>383</v>
      </c>
      <c r="K364" t="s">
        <v>137</v>
      </c>
      <c r="L364" t="s">
        <v>482</v>
      </c>
      <c r="M364" t="s">
        <v>483</v>
      </c>
      <c r="N364" t="s">
        <v>109</v>
      </c>
      <c r="O364" t="s">
        <v>401</v>
      </c>
      <c r="P364">
        <v>4945813</v>
      </c>
      <c r="Q364">
        <v>1</v>
      </c>
      <c r="R364">
        <v>91</v>
      </c>
      <c r="S364" t="s">
        <v>95</v>
      </c>
    </row>
    <row r="365" spans="1:19" x14ac:dyDescent="0.2">
      <c r="A365">
        <v>3053183</v>
      </c>
      <c r="B365" s="49">
        <v>46091</v>
      </c>
      <c r="C365" t="s">
        <v>103</v>
      </c>
      <c r="D365" t="s">
        <v>12</v>
      </c>
      <c r="E365">
        <v>7040</v>
      </c>
      <c r="F365">
        <v>0</v>
      </c>
      <c r="G365">
        <v>7040</v>
      </c>
      <c r="H365">
        <v>10000</v>
      </c>
      <c r="I365">
        <v>100</v>
      </c>
      <c r="J365" t="s">
        <v>383</v>
      </c>
      <c r="K365" t="s">
        <v>137</v>
      </c>
      <c r="L365" t="s">
        <v>484</v>
      </c>
      <c r="M365" t="s">
        <v>485</v>
      </c>
      <c r="N365" t="s">
        <v>109</v>
      </c>
      <c r="O365" t="s">
        <v>401</v>
      </c>
      <c r="P365">
        <v>4945812</v>
      </c>
      <c r="Q365">
        <v>1</v>
      </c>
      <c r="R365">
        <v>91</v>
      </c>
      <c r="S365" t="s">
        <v>95</v>
      </c>
    </row>
    <row r="366" spans="1:19" x14ac:dyDescent="0.2">
      <c r="A366">
        <v>3054284</v>
      </c>
      <c r="B366" s="49">
        <v>46090</v>
      </c>
      <c r="C366" t="s">
        <v>103</v>
      </c>
      <c r="D366" t="s">
        <v>12</v>
      </c>
      <c r="E366">
        <v>6500</v>
      </c>
      <c r="F366">
        <v>0</v>
      </c>
      <c r="G366">
        <v>6500</v>
      </c>
      <c r="H366">
        <v>10000</v>
      </c>
      <c r="I366">
        <v>100</v>
      </c>
      <c r="J366" t="s">
        <v>486</v>
      </c>
      <c r="K366" t="s">
        <v>172</v>
      </c>
      <c r="L366" t="s">
        <v>487</v>
      </c>
      <c r="M366" t="s">
        <v>488</v>
      </c>
      <c r="N366" t="s">
        <v>109</v>
      </c>
      <c r="O366" t="s">
        <v>373</v>
      </c>
      <c r="P366">
        <v>4946910</v>
      </c>
      <c r="Q366">
        <v>1</v>
      </c>
      <c r="R366">
        <v>93</v>
      </c>
      <c r="S366" t="s">
        <v>95</v>
      </c>
    </row>
    <row r="367" spans="1:19" x14ac:dyDescent="0.2">
      <c r="A367">
        <v>3054251</v>
      </c>
      <c r="B367" s="49">
        <v>46090</v>
      </c>
      <c r="C367" t="s">
        <v>103</v>
      </c>
      <c r="D367" t="s">
        <v>12</v>
      </c>
      <c r="E367">
        <v>11260</v>
      </c>
      <c r="F367">
        <v>0</v>
      </c>
      <c r="G367">
        <v>11260</v>
      </c>
      <c r="H367">
        <v>10000</v>
      </c>
      <c r="I367">
        <v>100</v>
      </c>
      <c r="J367" t="s">
        <v>486</v>
      </c>
      <c r="K367" t="s">
        <v>172</v>
      </c>
      <c r="L367" t="s">
        <v>590</v>
      </c>
      <c r="M367" t="s">
        <v>554</v>
      </c>
      <c r="N367" t="s">
        <v>109</v>
      </c>
      <c r="O367" t="s">
        <v>547</v>
      </c>
      <c r="P367">
        <v>4947923</v>
      </c>
      <c r="Q367">
        <v>1</v>
      </c>
      <c r="R367">
        <v>93</v>
      </c>
      <c r="S367" t="s">
        <v>95</v>
      </c>
    </row>
    <row r="368" spans="1:19" x14ac:dyDescent="0.2">
      <c r="A368">
        <v>3062393</v>
      </c>
      <c r="B368" s="49">
        <v>46093</v>
      </c>
      <c r="C368" t="s">
        <v>103</v>
      </c>
      <c r="D368" t="s">
        <v>12</v>
      </c>
      <c r="E368">
        <v>6550.27</v>
      </c>
      <c r="F368">
        <v>0</v>
      </c>
      <c r="G368">
        <v>6550.27</v>
      </c>
      <c r="H368">
        <v>10000</v>
      </c>
      <c r="I368">
        <v>100</v>
      </c>
      <c r="J368" t="s">
        <v>266</v>
      </c>
      <c r="K368" t="s">
        <v>175</v>
      </c>
      <c r="L368" t="s">
        <v>591</v>
      </c>
      <c r="M368" t="s">
        <v>592</v>
      </c>
      <c r="N368" t="s">
        <v>109</v>
      </c>
      <c r="O368" t="s">
        <v>503</v>
      </c>
      <c r="P368">
        <v>4947929</v>
      </c>
      <c r="Q368">
        <v>1</v>
      </c>
      <c r="R368">
        <v>95</v>
      </c>
      <c r="S368" t="s">
        <v>95</v>
      </c>
    </row>
    <row r="369" spans="1:19" x14ac:dyDescent="0.2">
      <c r="A369">
        <v>3062372</v>
      </c>
      <c r="B369" s="49">
        <v>46106</v>
      </c>
      <c r="C369" t="s">
        <v>103</v>
      </c>
      <c r="D369" t="s">
        <v>12</v>
      </c>
      <c r="E369">
        <v>2929.84</v>
      </c>
      <c r="F369">
        <v>0</v>
      </c>
      <c r="G369">
        <v>2929.84</v>
      </c>
      <c r="H369">
        <v>10000</v>
      </c>
      <c r="I369">
        <v>100</v>
      </c>
      <c r="J369" t="s">
        <v>266</v>
      </c>
      <c r="K369" t="s">
        <v>175</v>
      </c>
      <c r="L369" t="s">
        <v>593</v>
      </c>
      <c r="M369" t="s">
        <v>517</v>
      </c>
      <c r="N369" t="s">
        <v>109</v>
      </c>
      <c r="O369" t="s">
        <v>518</v>
      </c>
      <c r="P369">
        <v>4947901</v>
      </c>
      <c r="Q369">
        <v>1</v>
      </c>
      <c r="R369">
        <v>95</v>
      </c>
      <c r="S369" t="s">
        <v>95</v>
      </c>
    </row>
    <row r="370" spans="1:19" x14ac:dyDescent="0.2">
      <c r="A370">
        <v>3063593</v>
      </c>
      <c r="B370" s="49">
        <v>46091</v>
      </c>
      <c r="C370" t="s">
        <v>103</v>
      </c>
      <c r="D370" t="s">
        <v>12</v>
      </c>
      <c r="E370">
        <v>20609.59</v>
      </c>
      <c r="F370">
        <v>0</v>
      </c>
      <c r="G370">
        <v>20609.59</v>
      </c>
      <c r="H370">
        <v>10000</v>
      </c>
      <c r="I370">
        <v>100</v>
      </c>
      <c r="J370" t="s">
        <v>365</v>
      </c>
      <c r="K370" t="s">
        <v>176</v>
      </c>
      <c r="L370" t="s">
        <v>594</v>
      </c>
      <c r="M370" t="s">
        <v>594</v>
      </c>
      <c r="N370" t="s">
        <v>109</v>
      </c>
      <c r="O370" t="s">
        <v>520</v>
      </c>
      <c r="P370">
        <v>4955110</v>
      </c>
      <c r="Q370">
        <v>1</v>
      </c>
      <c r="R370">
        <v>98</v>
      </c>
      <c r="S370" t="s">
        <v>95</v>
      </c>
    </row>
    <row r="371" spans="1:19" x14ac:dyDescent="0.2">
      <c r="A371">
        <v>3053109</v>
      </c>
      <c r="B371" s="49">
        <v>46083</v>
      </c>
      <c r="C371" t="s">
        <v>103</v>
      </c>
      <c r="D371" t="s">
        <v>12</v>
      </c>
      <c r="E371">
        <v>13900</v>
      </c>
      <c r="F371">
        <v>0</v>
      </c>
      <c r="G371">
        <v>13900</v>
      </c>
      <c r="H371">
        <v>10000</v>
      </c>
      <c r="I371">
        <v>100</v>
      </c>
      <c r="J371" t="s">
        <v>365</v>
      </c>
      <c r="K371" t="s">
        <v>176</v>
      </c>
      <c r="L371" t="s">
        <v>489</v>
      </c>
      <c r="M371" t="s">
        <v>490</v>
      </c>
      <c r="N371" t="s">
        <v>109</v>
      </c>
      <c r="O371" t="s">
        <v>386</v>
      </c>
      <c r="P371">
        <v>4945101</v>
      </c>
      <c r="Q371">
        <v>1</v>
      </c>
      <c r="R371">
        <v>98</v>
      </c>
      <c r="S371" t="s">
        <v>95</v>
      </c>
    </row>
    <row r="372" spans="1:19" x14ac:dyDescent="0.2">
      <c r="A372">
        <v>3094548</v>
      </c>
      <c r="B372" s="49">
        <v>46112</v>
      </c>
      <c r="C372" t="s">
        <v>103</v>
      </c>
      <c r="D372" t="s">
        <v>12</v>
      </c>
      <c r="E372">
        <v>7252</v>
      </c>
      <c r="F372">
        <v>0</v>
      </c>
      <c r="G372">
        <v>7252</v>
      </c>
      <c r="H372">
        <v>10000</v>
      </c>
      <c r="I372">
        <v>100</v>
      </c>
      <c r="J372" t="s">
        <v>491</v>
      </c>
      <c r="K372" t="s">
        <v>177</v>
      </c>
      <c r="L372" t="s">
        <v>865</v>
      </c>
      <c r="M372" t="s">
        <v>517</v>
      </c>
      <c r="N372" t="s">
        <v>109</v>
      </c>
      <c r="O372" t="s">
        <v>864</v>
      </c>
      <c r="P372">
        <v>4977619</v>
      </c>
      <c r="Q372">
        <v>1</v>
      </c>
      <c r="R372">
        <v>99</v>
      </c>
      <c r="S372" t="s">
        <v>95</v>
      </c>
    </row>
    <row r="373" spans="1:19" x14ac:dyDescent="0.2">
      <c r="A373">
        <v>3053155</v>
      </c>
      <c r="B373" s="49">
        <v>46090</v>
      </c>
      <c r="C373" t="s">
        <v>103</v>
      </c>
      <c r="D373" t="s">
        <v>12</v>
      </c>
      <c r="E373">
        <v>5300</v>
      </c>
      <c r="F373">
        <v>0</v>
      </c>
      <c r="G373">
        <v>5300</v>
      </c>
      <c r="H373">
        <v>10000</v>
      </c>
      <c r="I373">
        <v>100</v>
      </c>
      <c r="J373" t="s">
        <v>491</v>
      </c>
      <c r="K373" t="s">
        <v>177</v>
      </c>
      <c r="L373" t="s">
        <v>492</v>
      </c>
      <c r="M373" t="s">
        <v>492</v>
      </c>
      <c r="N373" t="s">
        <v>109</v>
      </c>
      <c r="O373" t="s">
        <v>401</v>
      </c>
      <c r="P373">
        <v>4945803</v>
      </c>
      <c r="Q373">
        <v>1</v>
      </c>
      <c r="R373">
        <v>99</v>
      </c>
      <c r="S373" t="s">
        <v>95</v>
      </c>
    </row>
    <row r="374" spans="1:19" x14ac:dyDescent="0.2">
      <c r="A374">
        <v>3053187</v>
      </c>
      <c r="B374" s="49">
        <v>46091</v>
      </c>
      <c r="C374" t="s">
        <v>103</v>
      </c>
      <c r="D374" t="s">
        <v>12</v>
      </c>
      <c r="E374">
        <v>5950</v>
      </c>
      <c r="F374">
        <v>0</v>
      </c>
      <c r="G374">
        <v>5950</v>
      </c>
      <c r="H374">
        <v>10000</v>
      </c>
      <c r="I374">
        <v>100</v>
      </c>
      <c r="J374" t="s">
        <v>493</v>
      </c>
      <c r="K374" t="s">
        <v>180</v>
      </c>
      <c r="L374" t="s">
        <v>494</v>
      </c>
      <c r="M374" t="s">
        <v>495</v>
      </c>
      <c r="N374" t="s">
        <v>109</v>
      </c>
      <c r="O374" t="s">
        <v>401</v>
      </c>
      <c r="P374">
        <v>4945814</v>
      </c>
      <c r="Q374">
        <v>1</v>
      </c>
      <c r="R374">
        <v>100</v>
      </c>
      <c r="S374" t="s">
        <v>95</v>
      </c>
    </row>
    <row r="375" spans="1:19" x14ac:dyDescent="0.2">
      <c r="A375">
        <v>3053168</v>
      </c>
      <c r="B375" s="49">
        <v>46091</v>
      </c>
      <c r="C375" t="s">
        <v>103</v>
      </c>
      <c r="D375" t="s">
        <v>12</v>
      </c>
      <c r="E375">
        <v>1500</v>
      </c>
      <c r="F375">
        <v>0</v>
      </c>
      <c r="G375">
        <v>1500</v>
      </c>
      <c r="H375">
        <v>10000</v>
      </c>
      <c r="I375">
        <v>100</v>
      </c>
      <c r="J375" t="s">
        <v>493</v>
      </c>
      <c r="K375" t="s">
        <v>180</v>
      </c>
      <c r="L375" t="s">
        <v>496</v>
      </c>
      <c r="M375" t="s">
        <v>496</v>
      </c>
      <c r="N375" t="s">
        <v>109</v>
      </c>
      <c r="O375" t="s">
        <v>401</v>
      </c>
      <c r="P375">
        <v>4945809</v>
      </c>
      <c r="Q375">
        <v>1</v>
      </c>
      <c r="R375">
        <v>100</v>
      </c>
      <c r="S375" t="s">
        <v>95</v>
      </c>
    </row>
    <row r="376" spans="1:19" x14ac:dyDescent="0.2">
      <c r="A376">
        <v>3068052</v>
      </c>
      <c r="B376" s="49">
        <v>46101</v>
      </c>
      <c r="C376" t="s">
        <v>103</v>
      </c>
      <c r="D376" t="s">
        <v>12</v>
      </c>
      <c r="E376">
        <v>2563.6999999999998</v>
      </c>
      <c r="F376">
        <v>0</v>
      </c>
      <c r="G376">
        <v>2563.6999999999998</v>
      </c>
      <c r="H376">
        <v>10000</v>
      </c>
      <c r="I376">
        <v>100</v>
      </c>
      <c r="J376" t="s">
        <v>595</v>
      </c>
      <c r="K376" t="s">
        <v>182</v>
      </c>
      <c r="L376" t="s">
        <v>596</v>
      </c>
      <c r="M376" t="s">
        <v>596</v>
      </c>
      <c r="N376" t="s">
        <v>109</v>
      </c>
      <c r="O376" t="s">
        <v>597</v>
      </c>
      <c r="P376">
        <v>4958915</v>
      </c>
      <c r="Q376">
        <v>1</v>
      </c>
      <c r="R376">
        <v>104</v>
      </c>
      <c r="S376" t="s">
        <v>95</v>
      </c>
    </row>
    <row r="377" spans="1:19" x14ac:dyDescent="0.2">
      <c r="A377">
        <v>3054279</v>
      </c>
      <c r="B377" s="49">
        <v>46090</v>
      </c>
      <c r="C377" t="s">
        <v>103</v>
      </c>
      <c r="D377" t="s">
        <v>12</v>
      </c>
      <c r="E377">
        <v>1800</v>
      </c>
      <c r="F377">
        <v>0</v>
      </c>
      <c r="G377">
        <v>1800</v>
      </c>
      <c r="H377">
        <v>10000</v>
      </c>
      <c r="I377">
        <v>100</v>
      </c>
      <c r="J377" t="s">
        <v>497</v>
      </c>
      <c r="K377" t="s">
        <v>184</v>
      </c>
      <c r="L377" t="s">
        <v>498</v>
      </c>
      <c r="M377" t="s">
        <v>498</v>
      </c>
      <c r="N377" t="s">
        <v>109</v>
      </c>
      <c r="O377" t="s">
        <v>373</v>
      </c>
      <c r="P377">
        <v>4946907</v>
      </c>
      <c r="Q377">
        <v>1</v>
      </c>
      <c r="R377">
        <v>103</v>
      </c>
      <c r="S377" t="s">
        <v>95</v>
      </c>
    </row>
    <row r="378" spans="1:19" x14ac:dyDescent="0.2">
      <c r="A378">
        <v>3053189</v>
      </c>
      <c r="B378" s="49">
        <v>46090</v>
      </c>
      <c r="C378" t="s">
        <v>103</v>
      </c>
      <c r="D378" t="s">
        <v>12</v>
      </c>
      <c r="E378">
        <v>9680</v>
      </c>
      <c r="F378">
        <v>0</v>
      </c>
      <c r="G378">
        <v>9680</v>
      </c>
      <c r="H378">
        <v>10000</v>
      </c>
      <c r="I378">
        <v>100</v>
      </c>
      <c r="J378" t="s">
        <v>497</v>
      </c>
      <c r="K378" t="s">
        <v>184</v>
      </c>
      <c r="L378" t="s">
        <v>499</v>
      </c>
      <c r="M378" t="s">
        <v>500</v>
      </c>
      <c r="N378" t="s">
        <v>109</v>
      </c>
      <c r="O378" t="s">
        <v>401</v>
      </c>
      <c r="P378">
        <v>4945816</v>
      </c>
      <c r="Q378">
        <v>1</v>
      </c>
      <c r="R378">
        <v>103</v>
      </c>
      <c r="S378" t="s">
        <v>95</v>
      </c>
    </row>
    <row r="379" spans="1:19" x14ac:dyDescent="0.2">
      <c r="A379">
        <v>3054429</v>
      </c>
      <c r="B379" s="49">
        <v>46098</v>
      </c>
      <c r="C379" t="s">
        <v>103</v>
      </c>
      <c r="D379" t="s">
        <v>12</v>
      </c>
      <c r="E379">
        <v>6940</v>
      </c>
      <c r="F379">
        <v>0</v>
      </c>
      <c r="G379">
        <v>6940</v>
      </c>
      <c r="H379">
        <v>10000</v>
      </c>
      <c r="I379">
        <v>100</v>
      </c>
      <c r="J379" t="s">
        <v>598</v>
      </c>
      <c r="K379" t="s">
        <v>187</v>
      </c>
      <c r="L379" t="s">
        <v>599</v>
      </c>
      <c r="M379" t="s">
        <v>454</v>
      </c>
      <c r="N379" t="s">
        <v>109</v>
      </c>
      <c r="O379" t="s">
        <v>513</v>
      </c>
      <c r="P379">
        <v>4947027</v>
      </c>
      <c r="Q379">
        <v>1</v>
      </c>
      <c r="R379">
        <v>105</v>
      </c>
      <c r="S379" t="s">
        <v>95</v>
      </c>
    </row>
    <row r="380" spans="1:19" x14ac:dyDescent="0.2">
      <c r="A380">
        <v>3105978</v>
      </c>
      <c r="B380" s="49">
        <v>46094</v>
      </c>
      <c r="C380" t="s">
        <v>106</v>
      </c>
      <c r="D380" t="s">
        <v>25</v>
      </c>
      <c r="E380">
        <v>330.61</v>
      </c>
      <c r="F380">
        <v>0</v>
      </c>
      <c r="G380">
        <v>330.61</v>
      </c>
      <c r="H380">
        <v>10000</v>
      </c>
      <c r="I380">
        <v>100</v>
      </c>
      <c r="J380" t="s">
        <v>192</v>
      </c>
      <c r="K380" t="s">
        <v>3</v>
      </c>
      <c r="L380" t="s">
        <v>925</v>
      </c>
      <c r="M380" t="s">
        <v>925</v>
      </c>
      <c r="N380" t="s">
        <v>109</v>
      </c>
      <c r="O380" t="s">
        <v>926</v>
      </c>
      <c r="P380">
        <v>4991234</v>
      </c>
      <c r="Q380">
        <v>1</v>
      </c>
      <c r="R380">
        <v>27</v>
      </c>
      <c r="S380" t="s">
        <v>95</v>
      </c>
    </row>
    <row r="381" spans="1:19" x14ac:dyDescent="0.2">
      <c r="A381">
        <v>3083223</v>
      </c>
      <c r="B381" s="49">
        <v>46087</v>
      </c>
      <c r="C381" t="s">
        <v>106</v>
      </c>
      <c r="D381" t="s">
        <v>25</v>
      </c>
      <c r="E381">
        <v>377.77</v>
      </c>
      <c r="F381">
        <v>0</v>
      </c>
      <c r="G381">
        <v>377.77</v>
      </c>
      <c r="H381">
        <v>10000</v>
      </c>
      <c r="I381">
        <v>100</v>
      </c>
      <c r="J381" t="s">
        <v>192</v>
      </c>
      <c r="K381" t="s">
        <v>3</v>
      </c>
      <c r="L381" t="s">
        <v>768</v>
      </c>
      <c r="M381" t="s">
        <v>769</v>
      </c>
      <c r="N381" t="s">
        <v>183</v>
      </c>
      <c r="O381" t="s">
        <v>770</v>
      </c>
      <c r="P381">
        <v>4970785</v>
      </c>
      <c r="Q381">
        <v>1</v>
      </c>
      <c r="R381">
        <v>27</v>
      </c>
      <c r="S381" t="s">
        <v>95</v>
      </c>
    </row>
    <row r="382" spans="1:19" x14ac:dyDescent="0.2">
      <c r="A382">
        <v>3068293</v>
      </c>
      <c r="B382" s="49">
        <v>46098</v>
      </c>
      <c r="C382" t="s">
        <v>106</v>
      </c>
      <c r="D382" t="s">
        <v>25</v>
      </c>
      <c r="E382">
        <v>2075.6999999999998</v>
      </c>
      <c r="F382">
        <v>0</v>
      </c>
      <c r="G382">
        <v>2075.6999999999998</v>
      </c>
      <c r="H382">
        <v>10000</v>
      </c>
      <c r="I382">
        <v>100</v>
      </c>
      <c r="J382" t="s">
        <v>192</v>
      </c>
      <c r="K382" t="s">
        <v>3</v>
      </c>
      <c r="L382" t="s">
        <v>600</v>
      </c>
      <c r="M382" t="s">
        <v>601</v>
      </c>
      <c r="N382" t="s">
        <v>109</v>
      </c>
      <c r="O382" t="s">
        <v>602</v>
      </c>
      <c r="P382">
        <v>4958930</v>
      </c>
      <c r="Q382">
        <v>1</v>
      </c>
      <c r="R382">
        <v>27</v>
      </c>
      <c r="S382" t="s">
        <v>95</v>
      </c>
    </row>
    <row r="383" spans="1:19" x14ac:dyDescent="0.2">
      <c r="A383">
        <v>3068044</v>
      </c>
      <c r="B383" s="49">
        <v>46082</v>
      </c>
      <c r="C383" t="s">
        <v>106</v>
      </c>
      <c r="D383" t="s">
        <v>25</v>
      </c>
      <c r="E383">
        <v>3700</v>
      </c>
      <c r="F383">
        <v>0</v>
      </c>
      <c r="G383">
        <v>3700</v>
      </c>
      <c r="H383">
        <v>10000</v>
      </c>
      <c r="I383">
        <v>100</v>
      </c>
      <c r="J383" t="s">
        <v>192</v>
      </c>
      <c r="K383" t="s">
        <v>3</v>
      </c>
      <c r="L383" t="s">
        <v>235</v>
      </c>
      <c r="M383" t="s">
        <v>235</v>
      </c>
      <c r="N383" t="s">
        <v>183</v>
      </c>
      <c r="O383" t="s">
        <v>510</v>
      </c>
      <c r="P383">
        <v>4958908</v>
      </c>
      <c r="Q383">
        <v>1</v>
      </c>
      <c r="R383">
        <v>27</v>
      </c>
      <c r="S383" t="s">
        <v>95</v>
      </c>
    </row>
    <row r="384" spans="1:19" x14ac:dyDescent="0.2">
      <c r="A384">
        <v>3009126</v>
      </c>
      <c r="B384" s="49">
        <v>46082</v>
      </c>
      <c r="C384" t="s">
        <v>106</v>
      </c>
      <c r="D384" t="s">
        <v>25</v>
      </c>
      <c r="E384">
        <v>2300</v>
      </c>
      <c r="F384">
        <v>0</v>
      </c>
      <c r="G384">
        <v>2300</v>
      </c>
      <c r="H384">
        <v>10000</v>
      </c>
      <c r="I384">
        <v>100</v>
      </c>
      <c r="J384" t="s">
        <v>121</v>
      </c>
      <c r="K384" t="s">
        <v>121</v>
      </c>
      <c r="L384" t="s">
        <v>240</v>
      </c>
      <c r="M384" t="s">
        <v>240</v>
      </c>
      <c r="N384" t="s">
        <v>183</v>
      </c>
      <c r="O384" t="s">
        <v>236</v>
      </c>
      <c r="P384">
        <v>4411005</v>
      </c>
      <c r="Q384">
        <v>1</v>
      </c>
      <c r="R384">
        <v>29</v>
      </c>
      <c r="S384" t="s">
        <v>95</v>
      </c>
    </row>
    <row r="385" spans="1:19" x14ac:dyDescent="0.2">
      <c r="A385">
        <v>3067805</v>
      </c>
      <c r="B385" s="49">
        <v>46092</v>
      </c>
      <c r="C385" t="s">
        <v>106</v>
      </c>
      <c r="D385" t="s">
        <v>25</v>
      </c>
      <c r="E385">
        <v>6580</v>
      </c>
      <c r="F385">
        <v>0</v>
      </c>
      <c r="G385">
        <v>6580</v>
      </c>
      <c r="H385">
        <v>10000</v>
      </c>
      <c r="I385">
        <v>100</v>
      </c>
      <c r="J385" t="s">
        <v>116</v>
      </c>
      <c r="K385" t="s">
        <v>116</v>
      </c>
      <c r="L385" t="s">
        <v>603</v>
      </c>
      <c r="M385" t="s">
        <v>604</v>
      </c>
      <c r="N385" t="s">
        <v>109</v>
      </c>
      <c r="O385" t="s">
        <v>605</v>
      </c>
      <c r="P385">
        <v>4957712</v>
      </c>
      <c r="Q385">
        <v>1</v>
      </c>
      <c r="R385">
        <v>30</v>
      </c>
      <c r="S385" t="s">
        <v>95</v>
      </c>
    </row>
    <row r="386" spans="1:19" x14ac:dyDescent="0.2">
      <c r="A386">
        <v>3088418</v>
      </c>
      <c r="B386" s="49">
        <v>46111</v>
      </c>
      <c r="C386" t="s">
        <v>106</v>
      </c>
      <c r="D386" t="s">
        <v>25</v>
      </c>
      <c r="E386">
        <v>5449.29</v>
      </c>
      <c r="F386">
        <v>0</v>
      </c>
      <c r="G386">
        <v>5449.29</v>
      </c>
      <c r="H386">
        <v>10000</v>
      </c>
      <c r="I386">
        <v>100</v>
      </c>
      <c r="J386" t="s">
        <v>4</v>
      </c>
      <c r="K386" t="s">
        <v>4</v>
      </c>
      <c r="L386" t="s">
        <v>771</v>
      </c>
      <c r="M386" t="s">
        <v>771</v>
      </c>
      <c r="N386" t="s">
        <v>109</v>
      </c>
      <c r="O386" t="s">
        <v>772</v>
      </c>
      <c r="P386">
        <v>4975479</v>
      </c>
      <c r="Q386">
        <v>1</v>
      </c>
      <c r="R386">
        <v>31</v>
      </c>
      <c r="S386" t="s">
        <v>95</v>
      </c>
    </row>
    <row r="387" spans="1:19" x14ac:dyDescent="0.2">
      <c r="A387">
        <v>3084867</v>
      </c>
      <c r="B387" s="49">
        <v>46106</v>
      </c>
      <c r="C387" t="s">
        <v>106</v>
      </c>
      <c r="D387" t="s">
        <v>25</v>
      </c>
      <c r="E387">
        <v>769.12</v>
      </c>
      <c r="F387">
        <v>0</v>
      </c>
      <c r="G387">
        <v>769.12</v>
      </c>
      <c r="H387">
        <v>10000</v>
      </c>
      <c r="I387">
        <v>100</v>
      </c>
      <c r="J387" t="s">
        <v>4</v>
      </c>
      <c r="K387" t="s">
        <v>4</v>
      </c>
      <c r="L387" t="s">
        <v>773</v>
      </c>
      <c r="M387" t="s">
        <v>774</v>
      </c>
      <c r="N387" t="s">
        <v>109</v>
      </c>
      <c r="O387" t="s">
        <v>775</v>
      </c>
      <c r="P387">
        <v>4971301</v>
      </c>
      <c r="Q387">
        <v>1</v>
      </c>
      <c r="R387">
        <v>31</v>
      </c>
      <c r="S387" t="s">
        <v>95</v>
      </c>
    </row>
    <row r="388" spans="1:19" x14ac:dyDescent="0.2">
      <c r="A388">
        <v>3083637</v>
      </c>
      <c r="B388" s="49">
        <v>46105</v>
      </c>
      <c r="C388" t="s">
        <v>106</v>
      </c>
      <c r="D388" t="s">
        <v>25</v>
      </c>
      <c r="E388">
        <v>111.21</v>
      </c>
      <c r="F388">
        <v>0</v>
      </c>
      <c r="G388">
        <v>111.21</v>
      </c>
      <c r="H388">
        <v>10000</v>
      </c>
      <c r="I388">
        <v>100</v>
      </c>
      <c r="J388" t="s">
        <v>4</v>
      </c>
      <c r="K388" t="s">
        <v>4</v>
      </c>
      <c r="L388" t="s">
        <v>776</v>
      </c>
      <c r="M388" t="s">
        <v>777</v>
      </c>
      <c r="N388" t="s">
        <v>109</v>
      </c>
      <c r="O388" t="s">
        <v>778</v>
      </c>
      <c r="P388">
        <v>4971194</v>
      </c>
      <c r="Q388">
        <v>1</v>
      </c>
      <c r="R388">
        <v>31</v>
      </c>
      <c r="S388" t="s">
        <v>95</v>
      </c>
    </row>
    <row r="389" spans="1:19" x14ac:dyDescent="0.2">
      <c r="A389">
        <v>3068045</v>
      </c>
      <c r="B389" s="49">
        <v>46082</v>
      </c>
      <c r="C389" t="s">
        <v>106</v>
      </c>
      <c r="D389" t="s">
        <v>25</v>
      </c>
      <c r="E389">
        <v>3330</v>
      </c>
      <c r="F389">
        <v>0</v>
      </c>
      <c r="G389">
        <v>3330</v>
      </c>
      <c r="H389">
        <v>10000</v>
      </c>
      <c r="I389">
        <v>100</v>
      </c>
      <c r="J389" t="s">
        <v>4</v>
      </c>
      <c r="K389" t="s">
        <v>4</v>
      </c>
      <c r="L389" t="s">
        <v>237</v>
      </c>
      <c r="M389" t="s">
        <v>237</v>
      </c>
      <c r="N389" t="s">
        <v>183</v>
      </c>
      <c r="O389" t="s">
        <v>510</v>
      </c>
      <c r="P389">
        <v>4958909</v>
      </c>
      <c r="Q389">
        <v>1</v>
      </c>
      <c r="R389">
        <v>31</v>
      </c>
      <c r="S389" t="s">
        <v>95</v>
      </c>
    </row>
    <row r="390" spans="1:19" x14ac:dyDescent="0.2">
      <c r="A390">
        <v>3068030</v>
      </c>
      <c r="B390" s="49">
        <v>46093</v>
      </c>
      <c r="C390" t="s">
        <v>106</v>
      </c>
      <c r="D390" t="s">
        <v>25</v>
      </c>
      <c r="E390">
        <v>2960</v>
      </c>
      <c r="F390">
        <v>0</v>
      </c>
      <c r="G390">
        <v>2960</v>
      </c>
      <c r="H390">
        <v>10000</v>
      </c>
      <c r="I390">
        <v>100</v>
      </c>
      <c r="J390" t="s">
        <v>4</v>
      </c>
      <c r="K390" t="s">
        <v>4</v>
      </c>
      <c r="L390" t="s">
        <v>606</v>
      </c>
      <c r="M390" t="s">
        <v>607</v>
      </c>
      <c r="N390" t="s">
        <v>109</v>
      </c>
      <c r="O390" t="s">
        <v>608</v>
      </c>
      <c r="P390">
        <v>4958900</v>
      </c>
      <c r="Q390">
        <v>1</v>
      </c>
      <c r="R390">
        <v>31</v>
      </c>
      <c r="S390" t="s">
        <v>95</v>
      </c>
    </row>
    <row r="391" spans="1:19" x14ac:dyDescent="0.2">
      <c r="A391">
        <v>3068008</v>
      </c>
      <c r="B391" s="49">
        <v>46101</v>
      </c>
      <c r="C391" t="s">
        <v>106</v>
      </c>
      <c r="D391" t="s">
        <v>25</v>
      </c>
      <c r="E391">
        <v>713.26</v>
      </c>
      <c r="F391">
        <v>0</v>
      </c>
      <c r="G391">
        <v>713.26</v>
      </c>
      <c r="H391">
        <v>10000</v>
      </c>
      <c r="I391">
        <v>100</v>
      </c>
      <c r="J391" t="s">
        <v>4</v>
      </c>
      <c r="K391" t="s">
        <v>4</v>
      </c>
      <c r="L391" t="s">
        <v>609</v>
      </c>
      <c r="M391" t="s">
        <v>609</v>
      </c>
      <c r="N391" t="s">
        <v>109</v>
      </c>
      <c r="O391" t="s">
        <v>605</v>
      </c>
      <c r="P391">
        <v>4958848</v>
      </c>
      <c r="Q391">
        <v>1</v>
      </c>
      <c r="R391">
        <v>31</v>
      </c>
      <c r="S391" t="s">
        <v>95</v>
      </c>
    </row>
    <row r="392" spans="1:19" x14ac:dyDescent="0.2">
      <c r="A392">
        <v>3025689</v>
      </c>
      <c r="B392" s="49">
        <v>46084</v>
      </c>
      <c r="C392" t="s">
        <v>106</v>
      </c>
      <c r="D392" t="s">
        <v>25</v>
      </c>
      <c r="E392">
        <v>6679.17</v>
      </c>
      <c r="F392">
        <v>0</v>
      </c>
      <c r="G392">
        <v>6679.17</v>
      </c>
      <c r="H392">
        <v>10000</v>
      </c>
      <c r="I392">
        <v>100</v>
      </c>
      <c r="J392" t="s">
        <v>4</v>
      </c>
      <c r="K392" t="s">
        <v>4</v>
      </c>
      <c r="L392" t="s">
        <v>241</v>
      </c>
      <c r="M392" t="s">
        <v>242</v>
      </c>
      <c r="N392" t="s">
        <v>183</v>
      </c>
      <c r="O392" t="s">
        <v>243</v>
      </c>
      <c r="P392">
        <v>4924425</v>
      </c>
      <c r="Q392">
        <v>1</v>
      </c>
      <c r="R392">
        <v>31</v>
      </c>
      <c r="S392" t="s">
        <v>95</v>
      </c>
    </row>
    <row r="393" spans="1:19" x14ac:dyDescent="0.2">
      <c r="A393">
        <v>3021154</v>
      </c>
      <c r="B393" s="49">
        <v>46090</v>
      </c>
      <c r="C393" t="s">
        <v>106</v>
      </c>
      <c r="D393" t="s">
        <v>25</v>
      </c>
      <c r="E393">
        <v>1281.8499999999999</v>
      </c>
      <c r="F393">
        <v>0</v>
      </c>
      <c r="G393">
        <v>1281.8499999999999</v>
      </c>
      <c r="H393">
        <v>10000</v>
      </c>
      <c r="I393">
        <v>100</v>
      </c>
      <c r="J393" t="s">
        <v>4</v>
      </c>
      <c r="K393" t="s">
        <v>4</v>
      </c>
      <c r="L393" t="s">
        <v>244</v>
      </c>
      <c r="M393" t="s">
        <v>244</v>
      </c>
      <c r="N393" t="s">
        <v>227</v>
      </c>
      <c r="O393" t="s">
        <v>245</v>
      </c>
      <c r="P393">
        <v>4921314</v>
      </c>
      <c r="Q393">
        <v>1</v>
      </c>
      <c r="R393">
        <v>31</v>
      </c>
      <c r="S393" t="s">
        <v>95</v>
      </c>
    </row>
    <row r="394" spans="1:19" x14ac:dyDescent="0.2">
      <c r="A394">
        <v>3009129</v>
      </c>
      <c r="B394" s="49">
        <v>46082</v>
      </c>
      <c r="C394" t="s">
        <v>106</v>
      </c>
      <c r="D394" t="s">
        <v>25</v>
      </c>
      <c r="E394">
        <v>9885</v>
      </c>
      <c r="F394">
        <v>0</v>
      </c>
      <c r="G394">
        <v>9885</v>
      </c>
      <c r="H394">
        <v>10000</v>
      </c>
      <c r="I394">
        <v>100</v>
      </c>
      <c r="J394" t="s">
        <v>189</v>
      </c>
      <c r="K394" t="s">
        <v>43</v>
      </c>
      <c r="L394" t="s">
        <v>246</v>
      </c>
      <c r="M394" t="s">
        <v>246</v>
      </c>
      <c r="N394" t="s">
        <v>183</v>
      </c>
      <c r="O394" t="s">
        <v>236</v>
      </c>
      <c r="P394">
        <v>4411008</v>
      </c>
      <c r="Q394">
        <v>1</v>
      </c>
      <c r="R394">
        <v>32</v>
      </c>
      <c r="S394" t="s">
        <v>95</v>
      </c>
    </row>
    <row r="395" spans="1:19" x14ac:dyDescent="0.2">
      <c r="A395">
        <v>3009134</v>
      </c>
      <c r="B395" s="49">
        <v>46082</v>
      </c>
      <c r="C395" t="s">
        <v>106</v>
      </c>
      <c r="D395" t="s">
        <v>25</v>
      </c>
      <c r="E395">
        <v>700</v>
      </c>
      <c r="F395">
        <v>0</v>
      </c>
      <c r="G395">
        <v>700</v>
      </c>
      <c r="H395">
        <v>10000</v>
      </c>
      <c r="I395">
        <v>100</v>
      </c>
      <c r="J395" t="s">
        <v>191</v>
      </c>
      <c r="K395" t="s">
        <v>44</v>
      </c>
      <c r="L395" t="s">
        <v>247</v>
      </c>
      <c r="M395" t="s">
        <v>248</v>
      </c>
      <c r="N395" t="s">
        <v>183</v>
      </c>
      <c r="O395" t="s">
        <v>236</v>
      </c>
      <c r="P395">
        <v>4411011</v>
      </c>
      <c r="Q395">
        <v>1</v>
      </c>
      <c r="R395">
        <v>2</v>
      </c>
      <c r="S395" t="s">
        <v>95</v>
      </c>
    </row>
    <row r="396" spans="1:19" x14ac:dyDescent="0.2">
      <c r="A396">
        <v>3009134</v>
      </c>
      <c r="B396" s="49">
        <v>46082</v>
      </c>
      <c r="C396" t="s">
        <v>106</v>
      </c>
      <c r="D396" t="s">
        <v>25</v>
      </c>
      <c r="E396">
        <v>700</v>
      </c>
      <c r="F396">
        <v>0</v>
      </c>
      <c r="G396">
        <v>700</v>
      </c>
      <c r="H396">
        <v>10000</v>
      </c>
      <c r="I396">
        <v>100</v>
      </c>
      <c r="J396" t="s">
        <v>98</v>
      </c>
      <c r="K396" t="s">
        <v>29</v>
      </c>
      <c r="L396" t="s">
        <v>247</v>
      </c>
      <c r="M396" t="s">
        <v>249</v>
      </c>
      <c r="N396" t="s">
        <v>183</v>
      </c>
      <c r="O396" t="s">
        <v>236</v>
      </c>
      <c r="P396">
        <v>4411011</v>
      </c>
      <c r="Q396">
        <v>1</v>
      </c>
      <c r="R396">
        <v>3</v>
      </c>
      <c r="S396" t="s">
        <v>95</v>
      </c>
    </row>
    <row r="397" spans="1:19" x14ac:dyDescent="0.2">
      <c r="A397">
        <v>3009134</v>
      </c>
      <c r="B397" s="49">
        <v>46082</v>
      </c>
      <c r="C397" t="s">
        <v>106</v>
      </c>
      <c r="D397" t="s">
        <v>25</v>
      </c>
      <c r="E397">
        <v>700</v>
      </c>
      <c r="F397">
        <v>0</v>
      </c>
      <c r="G397">
        <v>700</v>
      </c>
      <c r="H397">
        <v>10000</v>
      </c>
      <c r="I397">
        <v>100</v>
      </c>
      <c r="J397" t="s">
        <v>202</v>
      </c>
      <c r="K397" t="s">
        <v>56</v>
      </c>
      <c r="L397" t="s">
        <v>247</v>
      </c>
      <c r="M397" t="s">
        <v>250</v>
      </c>
      <c r="N397" t="s">
        <v>183</v>
      </c>
      <c r="O397" t="s">
        <v>236</v>
      </c>
      <c r="P397">
        <v>4411011</v>
      </c>
      <c r="Q397">
        <v>1</v>
      </c>
      <c r="R397">
        <v>4</v>
      </c>
      <c r="S397" t="s">
        <v>95</v>
      </c>
    </row>
    <row r="398" spans="1:19" x14ac:dyDescent="0.2">
      <c r="A398">
        <v>3110687</v>
      </c>
      <c r="B398" s="49">
        <v>46112</v>
      </c>
      <c r="C398" t="s">
        <v>106</v>
      </c>
      <c r="D398" t="s">
        <v>25</v>
      </c>
      <c r="E398">
        <v>520</v>
      </c>
      <c r="F398">
        <v>0</v>
      </c>
      <c r="G398">
        <v>520</v>
      </c>
      <c r="H398">
        <v>10000</v>
      </c>
      <c r="I398">
        <v>100</v>
      </c>
      <c r="J398" t="s">
        <v>186</v>
      </c>
      <c r="K398" t="s">
        <v>45</v>
      </c>
      <c r="L398" t="s">
        <v>649</v>
      </c>
      <c r="M398" t="s">
        <v>927</v>
      </c>
      <c r="N398" t="s">
        <v>867</v>
      </c>
      <c r="O398" t="s">
        <v>928</v>
      </c>
      <c r="P398">
        <v>4992787</v>
      </c>
      <c r="Q398">
        <v>1</v>
      </c>
      <c r="R398">
        <v>5</v>
      </c>
      <c r="S398" t="s">
        <v>95</v>
      </c>
    </row>
    <row r="399" spans="1:19" x14ac:dyDescent="0.2">
      <c r="A399">
        <v>3110687</v>
      </c>
      <c r="B399" s="49">
        <v>46112</v>
      </c>
      <c r="C399" t="s">
        <v>106</v>
      </c>
      <c r="D399" t="s">
        <v>25</v>
      </c>
      <c r="E399">
        <v>400</v>
      </c>
      <c r="F399">
        <v>0</v>
      </c>
      <c r="G399">
        <v>400</v>
      </c>
      <c r="H399">
        <v>10000</v>
      </c>
      <c r="I399">
        <v>100</v>
      </c>
      <c r="J399" t="s">
        <v>186</v>
      </c>
      <c r="K399" t="s">
        <v>45</v>
      </c>
      <c r="L399" t="s">
        <v>649</v>
      </c>
      <c r="M399" t="s">
        <v>927</v>
      </c>
      <c r="N399" t="s">
        <v>867</v>
      </c>
      <c r="O399" t="s">
        <v>928</v>
      </c>
      <c r="P399">
        <v>4992787</v>
      </c>
      <c r="Q399">
        <v>1</v>
      </c>
      <c r="R399">
        <v>5</v>
      </c>
      <c r="S399" t="s">
        <v>95</v>
      </c>
    </row>
    <row r="400" spans="1:19" x14ac:dyDescent="0.2">
      <c r="A400">
        <v>3068031</v>
      </c>
      <c r="B400" s="49">
        <v>46092</v>
      </c>
      <c r="C400" t="s">
        <v>106</v>
      </c>
      <c r="D400" t="s">
        <v>25</v>
      </c>
      <c r="E400">
        <v>1739</v>
      </c>
      <c r="F400">
        <v>0</v>
      </c>
      <c r="G400">
        <v>1739</v>
      </c>
      <c r="H400">
        <v>10000</v>
      </c>
      <c r="I400">
        <v>100</v>
      </c>
      <c r="J400" t="s">
        <v>186</v>
      </c>
      <c r="K400" t="s">
        <v>45</v>
      </c>
      <c r="L400" t="s">
        <v>610</v>
      </c>
      <c r="M400" t="s">
        <v>611</v>
      </c>
      <c r="N400" t="s">
        <v>109</v>
      </c>
      <c r="O400" t="s">
        <v>608</v>
      </c>
      <c r="P400">
        <v>4958901</v>
      </c>
      <c r="Q400">
        <v>1</v>
      </c>
      <c r="R400">
        <v>5</v>
      </c>
      <c r="S400" t="s">
        <v>95</v>
      </c>
    </row>
    <row r="401" spans="1:19" x14ac:dyDescent="0.2">
      <c r="A401">
        <v>3067945</v>
      </c>
      <c r="B401" s="49">
        <v>46085</v>
      </c>
      <c r="C401" t="s">
        <v>106</v>
      </c>
      <c r="D401" t="s">
        <v>25</v>
      </c>
      <c r="E401">
        <v>1648.1</v>
      </c>
      <c r="F401">
        <v>0</v>
      </c>
      <c r="G401">
        <v>1648.1</v>
      </c>
      <c r="H401">
        <v>10000</v>
      </c>
      <c r="I401">
        <v>100</v>
      </c>
      <c r="J401" t="s">
        <v>186</v>
      </c>
      <c r="K401" t="s">
        <v>45</v>
      </c>
      <c r="L401" t="s">
        <v>612</v>
      </c>
      <c r="M401" t="s">
        <v>613</v>
      </c>
      <c r="N401" t="s">
        <v>109</v>
      </c>
      <c r="O401" t="s">
        <v>605</v>
      </c>
      <c r="P401">
        <v>4957762</v>
      </c>
      <c r="Q401">
        <v>1</v>
      </c>
      <c r="R401">
        <v>5</v>
      </c>
      <c r="S401" t="s">
        <v>95</v>
      </c>
    </row>
    <row r="402" spans="1:19" x14ac:dyDescent="0.2">
      <c r="A402">
        <v>3009128</v>
      </c>
      <c r="B402" s="49">
        <v>46082</v>
      </c>
      <c r="C402" t="s">
        <v>106</v>
      </c>
      <c r="D402" t="s">
        <v>25</v>
      </c>
      <c r="E402">
        <v>2960</v>
      </c>
      <c r="F402">
        <v>0</v>
      </c>
      <c r="G402">
        <v>2960</v>
      </c>
      <c r="H402">
        <v>10000</v>
      </c>
      <c r="I402">
        <v>100</v>
      </c>
      <c r="J402" t="s">
        <v>186</v>
      </c>
      <c r="K402" t="s">
        <v>45</v>
      </c>
      <c r="L402" t="s">
        <v>251</v>
      </c>
      <c r="M402" t="s">
        <v>251</v>
      </c>
      <c r="N402" t="s">
        <v>183</v>
      </c>
      <c r="O402" t="s">
        <v>236</v>
      </c>
      <c r="P402">
        <v>4411007</v>
      </c>
      <c r="Q402">
        <v>1</v>
      </c>
      <c r="R402">
        <v>5</v>
      </c>
      <c r="S402" t="s">
        <v>95</v>
      </c>
    </row>
    <row r="403" spans="1:19" x14ac:dyDescent="0.2">
      <c r="A403">
        <v>3083712</v>
      </c>
      <c r="B403" s="49">
        <v>46111</v>
      </c>
      <c r="C403" t="s">
        <v>106</v>
      </c>
      <c r="D403" t="s">
        <v>25</v>
      </c>
      <c r="E403">
        <v>926.75</v>
      </c>
      <c r="F403">
        <v>0</v>
      </c>
      <c r="G403">
        <v>926.75</v>
      </c>
      <c r="H403">
        <v>10000</v>
      </c>
      <c r="I403">
        <v>100</v>
      </c>
      <c r="J403" t="s">
        <v>404</v>
      </c>
      <c r="K403" t="s">
        <v>26</v>
      </c>
      <c r="L403" t="s">
        <v>779</v>
      </c>
      <c r="M403" t="s">
        <v>780</v>
      </c>
      <c r="N403" t="s">
        <v>109</v>
      </c>
      <c r="O403" t="s">
        <v>775</v>
      </c>
      <c r="P403">
        <v>4971283</v>
      </c>
      <c r="Q403">
        <v>1</v>
      </c>
      <c r="R403">
        <v>12</v>
      </c>
      <c r="S403" t="s">
        <v>95</v>
      </c>
    </row>
    <row r="404" spans="1:19" x14ac:dyDescent="0.2">
      <c r="A404">
        <v>3107978</v>
      </c>
      <c r="B404" s="49">
        <v>46111</v>
      </c>
      <c r="C404" t="s">
        <v>106</v>
      </c>
      <c r="D404" t="s">
        <v>25</v>
      </c>
      <c r="E404">
        <v>0</v>
      </c>
      <c r="F404">
        <v>926.75</v>
      </c>
      <c r="G404">
        <v>-926.75</v>
      </c>
      <c r="H404">
        <v>10000</v>
      </c>
      <c r="I404">
        <v>100</v>
      </c>
      <c r="J404" t="s">
        <v>302</v>
      </c>
      <c r="K404" t="s">
        <v>7</v>
      </c>
      <c r="L404" t="s">
        <v>779</v>
      </c>
      <c r="M404" t="s">
        <v>779</v>
      </c>
      <c r="N404" t="s">
        <v>109</v>
      </c>
      <c r="O404" t="s">
        <v>929</v>
      </c>
      <c r="P404">
        <v>4992085</v>
      </c>
      <c r="Q404">
        <v>1</v>
      </c>
      <c r="R404">
        <v>13</v>
      </c>
      <c r="S404" t="s">
        <v>95</v>
      </c>
    </row>
    <row r="405" spans="1:19" x14ac:dyDescent="0.2">
      <c r="A405">
        <v>3107976</v>
      </c>
      <c r="B405" s="49">
        <v>46105</v>
      </c>
      <c r="C405" t="s">
        <v>106</v>
      </c>
      <c r="D405" t="s">
        <v>25</v>
      </c>
      <c r="E405">
        <v>0</v>
      </c>
      <c r="F405">
        <v>111.21</v>
      </c>
      <c r="G405">
        <v>-111.21</v>
      </c>
      <c r="H405">
        <v>10000</v>
      </c>
      <c r="I405">
        <v>100</v>
      </c>
      <c r="J405" t="s">
        <v>302</v>
      </c>
      <c r="K405" t="s">
        <v>7</v>
      </c>
      <c r="L405" t="s">
        <v>776</v>
      </c>
      <c r="M405" t="s">
        <v>776</v>
      </c>
      <c r="N405" t="s">
        <v>109</v>
      </c>
      <c r="O405" t="s">
        <v>929</v>
      </c>
      <c r="P405">
        <v>4992084</v>
      </c>
      <c r="Q405">
        <v>1</v>
      </c>
      <c r="R405">
        <v>13</v>
      </c>
      <c r="S405" t="s">
        <v>95</v>
      </c>
    </row>
    <row r="406" spans="1:19" x14ac:dyDescent="0.2">
      <c r="A406">
        <v>3107975</v>
      </c>
      <c r="B406" s="49">
        <v>46090</v>
      </c>
      <c r="C406" t="s">
        <v>106</v>
      </c>
      <c r="D406" t="s">
        <v>25</v>
      </c>
      <c r="E406">
        <v>0</v>
      </c>
      <c r="F406">
        <v>3534.69</v>
      </c>
      <c r="G406">
        <v>-3534.69</v>
      </c>
      <c r="H406">
        <v>10000</v>
      </c>
      <c r="I406">
        <v>100</v>
      </c>
      <c r="J406" t="s">
        <v>302</v>
      </c>
      <c r="K406" t="s">
        <v>7</v>
      </c>
      <c r="L406" t="s">
        <v>614</v>
      </c>
      <c r="M406" t="s">
        <v>614</v>
      </c>
      <c r="N406" t="s">
        <v>109</v>
      </c>
      <c r="O406" t="s">
        <v>929</v>
      </c>
      <c r="P406">
        <v>4992082</v>
      </c>
      <c r="Q406">
        <v>1</v>
      </c>
      <c r="R406">
        <v>13</v>
      </c>
      <c r="S406" t="s">
        <v>95</v>
      </c>
    </row>
    <row r="407" spans="1:19" x14ac:dyDescent="0.2">
      <c r="A407">
        <v>3107974</v>
      </c>
      <c r="B407" s="49">
        <v>46090</v>
      </c>
      <c r="C407" t="s">
        <v>106</v>
      </c>
      <c r="D407" t="s">
        <v>25</v>
      </c>
      <c r="E407">
        <v>0</v>
      </c>
      <c r="F407">
        <v>4935</v>
      </c>
      <c r="G407">
        <v>-4935</v>
      </c>
      <c r="H407">
        <v>10000</v>
      </c>
      <c r="I407">
        <v>100</v>
      </c>
      <c r="J407" t="s">
        <v>302</v>
      </c>
      <c r="K407" t="s">
        <v>7</v>
      </c>
      <c r="L407" t="s">
        <v>620</v>
      </c>
      <c r="M407" t="s">
        <v>621</v>
      </c>
      <c r="N407" t="s">
        <v>109</v>
      </c>
      <c r="O407" t="s">
        <v>929</v>
      </c>
      <c r="P407">
        <v>4992081</v>
      </c>
      <c r="Q407">
        <v>1</v>
      </c>
      <c r="R407">
        <v>13</v>
      </c>
      <c r="S407" t="s">
        <v>95</v>
      </c>
    </row>
    <row r="408" spans="1:19" x14ac:dyDescent="0.2">
      <c r="A408">
        <v>3107972</v>
      </c>
      <c r="B408" s="49">
        <v>46099</v>
      </c>
      <c r="C408" t="s">
        <v>106</v>
      </c>
      <c r="D408" t="s">
        <v>25</v>
      </c>
      <c r="E408">
        <v>0</v>
      </c>
      <c r="F408">
        <v>1977.58</v>
      </c>
      <c r="G408">
        <v>-1977.58</v>
      </c>
      <c r="H408">
        <v>10000</v>
      </c>
      <c r="I408">
        <v>100</v>
      </c>
      <c r="J408" t="s">
        <v>302</v>
      </c>
      <c r="K408" t="s">
        <v>7</v>
      </c>
      <c r="L408" t="s">
        <v>618</v>
      </c>
      <c r="M408" t="s">
        <v>618</v>
      </c>
      <c r="N408" t="s">
        <v>109</v>
      </c>
      <c r="O408" t="s">
        <v>929</v>
      </c>
      <c r="P408">
        <v>4992080</v>
      </c>
      <c r="Q408">
        <v>1</v>
      </c>
      <c r="R408">
        <v>13</v>
      </c>
      <c r="S408" t="s">
        <v>95</v>
      </c>
    </row>
    <row r="409" spans="1:19" x14ac:dyDescent="0.2">
      <c r="A409">
        <v>3107968</v>
      </c>
      <c r="B409" s="49">
        <v>46090</v>
      </c>
      <c r="C409" t="s">
        <v>106</v>
      </c>
      <c r="D409" t="s">
        <v>25</v>
      </c>
      <c r="E409">
        <v>0</v>
      </c>
      <c r="F409">
        <v>1528</v>
      </c>
      <c r="G409">
        <v>-1528</v>
      </c>
      <c r="H409">
        <v>10000</v>
      </c>
      <c r="I409">
        <v>100</v>
      </c>
      <c r="J409" t="s">
        <v>302</v>
      </c>
      <c r="K409" t="s">
        <v>7</v>
      </c>
      <c r="L409" t="s">
        <v>620</v>
      </c>
      <c r="M409" t="s">
        <v>622</v>
      </c>
      <c r="N409" t="s">
        <v>109</v>
      </c>
      <c r="O409" t="s">
        <v>929</v>
      </c>
      <c r="P409">
        <v>4992079</v>
      </c>
      <c r="Q409">
        <v>1</v>
      </c>
      <c r="R409">
        <v>13</v>
      </c>
      <c r="S409" t="s">
        <v>95</v>
      </c>
    </row>
    <row r="410" spans="1:19" x14ac:dyDescent="0.2">
      <c r="A410">
        <v>3107967</v>
      </c>
      <c r="B410" s="49">
        <v>46090</v>
      </c>
      <c r="C410" t="s">
        <v>106</v>
      </c>
      <c r="D410" t="s">
        <v>25</v>
      </c>
      <c r="E410">
        <v>0</v>
      </c>
      <c r="F410">
        <v>1528</v>
      </c>
      <c r="G410">
        <v>-1528</v>
      </c>
      <c r="H410">
        <v>10000</v>
      </c>
      <c r="I410">
        <v>100</v>
      </c>
      <c r="J410" t="s">
        <v>302</v>
      </c>
      <c r="K410" t="s">
        <v>7</v>
      </c>
      <c r="L410" t="s">
        <v>620</v>
      </c>
      <c r="M410" t="s">
        <v>622</v>
      </c>
      <c r="N410" t="s">
        <v>109</v>
      </c>
      <c r="O410" t="s">
        <v>929</v>
      </c>
      <c r="P410">
        <v>4992075</v>
      </c>
      <c r="Q410">
        <v>1</v>
      </c>
      <c r="R410">
        <v>13</v>
      </c>
      <c r="S410" t="s">
        <v>95</v>
      </c>
    </row>
    <row r="411" spans="1:19" x14ac:dyDescent="0.2">
      <c r="A411">
        <v>3088470</v>
      </c>
      <c r="B411" s="49">
        <v>46108</v>
      </c>
      <c r="C411" t="s">
        <v>106</v>
      </c>
      <c r="D411" t="s">
        <v>25</v>
      </c>
      <c r="E411">
        <v>2075.7199999999998</v>
      </c>
      <c r="F411">
        <v>0</v>
      </c>
      <c r="G411">
        <v>2075.7199999999998</v>
      </c>
      <c r="H411">
        <v>10000</v>
      </c>
      <c r="I411">
        <v>100</v>
      </c>
      <c r="J411" t="s">
        <v>302</v>
      </c>
      <c r="K411" t="s">
        <v>7</v>
      </c>
      <c r="L411" t="s">
        <v>781</v>
      </c>
      <c r="M411" t="s">
        <v>782</v>
      </c>
      <c r="N411" t="s">
        <v>109</v>
      </c>
      <c r="O411" t="s">
        <v>674</v>
      </c>
      <c r="P411">
        <v>4975511</v>
      </c>
      <c r="Q411">
        <v>1</v>
      </c>
      <c r="R411">
        <v>13</v>
      </c>
      <c r="S411" t="s">
        <v>95</v>
      </c>
    </row>
    <row r="412" spans="1:19" x14ac:dyDescent="0.2">
      <c r="A412">
        <v>3084867</v>
      </c>
      <c r="B412" s="49">
        <v>46106</v>
      </c>
      <c r="C412" t="s">
        <v>106</v>
      </c>
      <c r="D412" t="s">
        <v>25</v>
      </c>
      <c r="E412">
        <v>384.55</v>
      </c>
      <c r="F412">
        <v>0</v>
      </c>
      <c r="G412">
        <v>384.55</v>
      </c>
      <c r="H412">
        <v>10000</v>
      </c>
      <c r="I412">
        <v>100</v>
      </c>
      <c r="J412" t="s">
        <v>302</v>
      </c>
      <c r="K412" t="s">
        <v>7</v>
      </c>
      <c r="L412" t="s">
        <v>773</v>
      </c>
      <c r="M412" t="s">
        <v>783</v>
      </c>
      <c r="N412" t="s">
        <v>109</v>
      </c>
      <c r="O412" t="s">
        <v>775</v>
      </c>
      <c r="P412">
        <v>4971301</v>
      </c>
      <c r="Q412">
        <v>1</v>
      </c>
      <c r="R412">
        <v>13</v>
      </c>
      <c r="S412" t="s">
        <v>95</v>
      </c>
    </row>
    <row r="413" spans="1:19" x14ac:dyDescent="0.2">
      <c r="A413">
        <v>3084178</v>
      </c>
      <c r="B413" s="49">
        <v>46099</v>
      </c>
      <c r="C413" t="s">
        <v>106</v>
      </c>
      <c r="D413" t="s">
        <v>25</v>
      </c>
      <c r="E413">
        <v>1155.1300000000001</v>
      </c>
      <c r="F413">
        <v>0</v>
      </c>
      <c r="G413">
        <v>1155.1300000000001</v>
      </c>
      <c r="H413">
        <v>10000</v>
      </c>
      <c r="I413">
        <v>100</v>
      </c>
      <c r="J413" t="s">
        <v>302</v>
      </c>
      <c r="K413" t="s">
        <v>7</v>
      </c>
      <c r="L413" t="s">
        <v>784</v>
      </c>
      <c r="M413" t="s">
        <v>784</v>
      </c>
      <c r="N413" t="s">
        <v>109</v>
      </c>
      <c r="O413" t="s">
        <v>775</v>
      </c>
      <c r="P413">
        <v>4971296</v>
      </c>
      <c r="Q413">
        <v>1</v>
      </c>
      <c r="R413">
        <v>13</v>
      </c>
      <c r="S413" t="s">
        <v>95</v>
      </c>
    </row>
    <row r="414" spans="1:19" x14ac:dyDescent="0.2">
      <c r="A414">
        <v>3083727</v>
      </c>
      <c r="B414" s="49">
        <v>46099</v>
      </c>
      <c r="C414" t="s">
        <v>106</v>
      </c>
      <c r="D414" t="s">
        <v>25</v>
      </c>
      <c r="E414">
        <v>269.64</v>
      </c>
      <c r="F414">
        <v>0</v>
      </c>
      <c r="G414">
        <v>269.64</v>
      </c>
      <c r="H414">
        <v>10000</v>
      </c>
      <c r="I414">
        <v>100</v>
      </c>
      <c r="J414" t="s">
        <v>302</v>
      </c>
      <c r="K414" t="s">
        <v>7</v>
      </c>
      <c r="L414" t="s">
        <v>785</v>
      </c>
      <c r="M414" t="s">
        <v>786</v>
      </c>
      <c r="N414" t="s">
        <v>109</v>
      </c>
      <c r="O414" t="s">
        <v>775</v>
      </c>
      <c r="P414">
        <v>4971290</v>
      </c>
      <c r="Q414">
        <v>1</v>
      </c>
      <c r="R414">
        <v>13</v>
      </c>
      <c r="S414" t="s">
        <v>95</v>
      </c>
    </row>
    <row r="415" spans="1:19" x14ac:dyDescent="0.2">
      <c r="A415">
        <v>3083712</v>
      </c>
      <c r="B415" s="49">
        <v>46111</v>
      </c>
      <c r="C415" t="s">
        <v>106</v>
      </c>
      <c r="D415" t="s">
        <v>25</v>
      </c>
      <c r="E415">
        <v>926.75</v>
      </c>
      <c r="F415">
        <v>0</v>
      </c>
      <c r="G415">
        <v>926.75</v>
      </c>
      <c r="H415">
        <v>10000</v>
      </c>
      <c r="I415">
        <v>100</v>
      </c>
      <c r="J415" t="s">
        <v>302</v>
      </c>
      <c r="K415" t="s">
        <v>7</v>
      </c>
      <c r="L415" t="s">
        <v>779</v>
      </c>
      <c r="M415" t="s">
        <v>787</v>
      </c>
      <c r="N415" t="s">
        <v>109</v>
      </c>
      <c r="O415" t="s">
        <v>775</v>
      </c>
      <c r="P415">
        <v>4971283</v>
      </c>
      <c r="Q415">
        <v>1</v>
      </c>
      <c r="R415">
        <v>13</v>
      </c>
      <c r="S415" t="s">
        <v>95</v>
      </c>
    </row>
    <row r="416" spans="1:19" x14ac:dyDescent="0.2">
      <c r="A416">
        <v>3083637</v>
      </c>
      <c r="B416" s="49">
        <v>46105</v>
      </c>
      <c r="C416" t="s">
        <v>106</v>
      </c>
      <c r="D416" t="s">
        <v>25</v>
      </c>
      <c r="E416">
        <v>111.21</v>
      </c>
      <c r="F416">
        <v>0</v>
      </c>
      <c r="G416">
        <v>111.21</v>
      </c>
      <c r="H416">
        <v>10000</v>
      </c>
      <c r="I416">
        <v>100</v>
      </c>
      <c r="J416" t="s">
        <v>302</v>
      </c>
      <c r="K416" t="s">
        <v>7</v>
      </c>
      <c r="L416" t="s">
        <v>776</v>
      </c>
      <c r="M416" t="s">
        <v>788</v>
      </c>
      <c r="N416" t="s">
        <v>109</v>
      </c>
      <c r="O416" t="s">
        <v>778</v>
      </c>
      <c r="P416">
        <v>4971194</v>
      </c>
      <c r="Q416">
        <v>1</v>
      </c>
      <c r="R416">
        <v>13</v>
      </c>
      <c r="S416" t="s">
        <v>95</v>
      </c>
    </row>
    <row r="417" spans="1:19" x14ac:dyDescent="0.2">
      <c r="A417">
        <v>3067927</v>
      </c>
      <c r="B417" s="49">
        <v>46090</v>
      </c>
      <c r="C417" t="s">
        <v>106</v>
      </c>
      <c r="D417" t="s">
        <v>25</v>
      </c>
      <c r="E417">
        <v>1119.1199999999999</v>
      </c>
      <c r="F417">
        <v>0</v>
      </c>
      <c r="G417">
        <v>1119.1199999999999</v>
      </c>
      <c r="H417">
        <v>10000</v>
      </c>
      <c r="I417">
        <v>100</v>
      </c>
      <c r="J417" t="s">
        <v>302</v>
      </c>
      <c r="K417" t="s">
        <v>7</v>
      </c>
      <c r="L417" t="s">
        <v>614</v>
      </c>
      <c r="M417" t="s">
        <v>615</v>
      </c>
      <c r="N417" t="s">
        <v>109</v>
      </c>
      <c r="O417" t="s">
        <v>605</v>
      </c>
      <c r="P417">
        <v>4957743</v>
      </c>
      <c r="Q417">
        <v>1</v>
      </c>
      <c r="R417">
        <v>13</v>
      </c>
      <c r="S417" t="s">
        <v>95</v>
      </c>
    </row>
    <row r="418" spans="1:19" x14ac:dyDescent="0.2">
      <c r="A418">
        <v>3067927</v>
      </c>
      <c r="B418" s="49">
        <v>46090</v>
      </c>
      <c r="C418" t="s">
        <v>106</v>
      </c>
      <c r="D418" t="s">
        <v>25</v>
      </c>
      <c r="E418">
        <v>457.9</v>
      </c>
      <c r="F418">
        <v>0</v>
      </c>
      <c r="G418">
        <v>457.9</v>
      </c>
      <c r="H418">
        <v>10000</v>
      </c>
      <c r="I418">
        <v>100</v>
      </c>
      <c r="J418" t="s">
        <v>302</v>
      </c>
      <c r="K418" t="s">
        <v>7</v>
      </c>
      <c r="L418" t="s">
        <v>614</v>
      </c>
      <c r="M418" t="s">
        <v>616</v>
      </c>
      <c r="N418" t="s">
        <v>109</v>
      </c>
      <c r="O418" t="s">
        <v>605</v>
      </c>
      <c r="P418">
        <v>4957743</v>
      </c>
      <c r="Q418">
        <v>1</v>
      </c>
      <c r="R418">
        <v>13</v>
      </c>
      <c r="S418" t="s">
        <v>95</v>
      </c>
    </row>
    <row r="419" spans="1:19" x14ac:dyDescent="0.2">
      <c r="A419">
        <v>3067927</v>
      </c>
      <c r="B419" s="49">
        <v>46090</v>
      </c>
      <c r="C419" t="s">
        <v>106</v>
      </c>
      <c r="D419" t="s">
        <v>25</v>
      </c>
      <c r="E419">
        <v>1957.67</v>
      </c>
      <c r="F419">
        <v>0</v>
      </c>
      <c r="G419">
        <v>1957.67</v>
      </c>
      <c r="H419">
        <v>10000</v>
      </c>
      <c r="I419">
        <v>100</v>
      </c>
      <c r="J419" t="s">
        <v>302</v>
      </c>
      <c r="K419" t="s">
        <v>7</v>
      </c>
      <c r="L419" t="s">
        <v>614</v>
      </c>
      <c r="M419" t="s">
        <v>617</v>
      </c>
      <c r="N419" t="s">
        <v>109</v>
      </c>
      <c r="O419" t="s">
        <v>605</v>
      </c>
      <c r="P419">
        <v>4957743</v>
      </c>
      <c r="Q419">
        <v>1</v>
      </c>
      <c r="R419">
        <v>13</v>
      </c>
      <c r="S419" t="s">
        <v>95</v>
      </c>
    </row>
    <row r="420" spans="1:19" x14ac:dyDescent="0.2">
      <c r="A420">
        <v>3067893</v>
      </c>
      <c r="B420" s="49">
        <v>46099</v>
      </c>
      <c r="C420" t="s">
        <v>106</v>
      </c>
      <c r="D420" t="s">
        <v>25</v>
      </c>
      <c r="E420">
        <v>19.89</v>
      </c>
      <c r="F420">
        <v>0</v>
      </c>
      <c r="G420">
        <v>19.89</v>
      </c>
      <c r="H420">
        <v>10000</v>
      </c>
      <c r="I420">
        <v>100</v>
      </c>
      <c r="J420" t="s">
        <v>302</v>
      </c>
      <c r="K420" t="s">
        <v>7</v>
      </c>
      <c r="L420" t="s">
        <v>618</v>
      </c>
      <c r="M420" t="s">
        <v>619</v>
      </c>
      <c r="N420" t="s">
        <v>109</v>
      </c>
      <c r="O420" t="s">
        <v>605</v>
      </c>
      <c r="P420">
        <v>4957737</v>
      </c>
      <c r="Q420">
        <v>1</v>
      </c>
      <c r="R420">
        <v>13</v>
      </c>
      <c r="S420" t="s">
        <v>95</v>
      </c>
    </row>
    <row r="421" spans="1:19" x14ac:dyDescent="0.2">
      <c r="A421">
        <v>3067893</v>
      </c>
      <c r="B421" s="49">
        <v>46099</v>
      </c>
      <c r="C421" t="s">
        <v>106</v>
      </c>
      <c r="D421" t="s">
        <v>25</v>
      </c>
      <c r="E421">
        <v>1957.69</v>
      </c>
      <c r="F421">
        <v>0</v>
      </c>
      <c r="G421">
        <v>1957.69</v>
      </c>
      <c r="H421">
        <v>10000</v>
      </c>
      <c r="I421">
        <v>100</v>
      </c>
      <c r="J421" t="s">
        <v>302</v>
      </c>
      <c r="K421" t="s">
        <v>7</v>
      </c>
      <c r="L421" t="s">
        <v>618</v>
      </c>
      <c r="M421" t="s">
        <v>617</v>
      </c>
      <c r="N421" t="s">
        <v>109</v>
      </c>
      <c r="O421" t="s">
        <v>605</v>
      </c>
      <c r="P421">
        <v>4957737</v>
      </c>
      <c r="Q421">
        <v>1</v>
      </c>
      <c r="R421">
        <v>13</v>
      </c>
      <c r="S421" t="s">
        <v>95</v>
      </c>
    </row>
    <row r="422" spans="1:19" x14ac:dyDescent="0.2">
      <c r="A422">
        <v>3067863</v>
      </c>
      <c r="B422" s="49">
        <v>46090</v>
      </c>
      <c r="C422" t="s">
        <v>106</v>
      </c>
      <c r="D422" t="s">
        <v>25</v>
      </c>
      <c r="E422">
        <v>4935</v>
      </c>
      <c r="F422">
        <v>0</v>
      </c>
      <c r="G422">
        <v>4935</v>
      </c>
      <c r="H422">
        <v>10000</v>
      </c>
      <c r="I422">
        <v>100</v>
      </c>
      <c r="J422" t="s">
        <v>302</v>
      </c>
      <c r="K422" t="s">
        <v>7</v>
      </c>
      <c r="L422" t="s">
        <v>620</v>
      </c>
      <c r="M422" t="s">
        <v>621</v>
      </c>
      <c r="N422" t="s">
        <v>109</v>
      </c>
      <c r="O422" t="s">
        <v>605</v>
      </c>
      <c r="P422">
        <v>4957714</v>
      </c>
      <c r="Q422">
        <v>1</v>
      </c>
      <c r="R422">
        <v>13</v>
      </c>
      <c r="S422" t="s">
        <v>95</v>
      </c>
    </row>
    <row r="423" spans="1:19" x14ac:dyDescent="0.2">
      <c r="A423">
        <v>3067862</v>
      </c>
      <c r="B423" s="49">
        <v>46090</v>
      </c>
      <c r="C423" t="s">
        <v>106</v>
      </c>
      <c r="D423" t="s">
        <v>25</v>
      </c>
      <c r="E423">
        <v>1528</v>
      </c>
      <c r="F423">
        <v>0</v>
      </c>
      <c r="G423">
        <v>1528</v>
      </c>
      <c r="H423">
        <v>10000</v>
      </c>
      <c r="I423">
        <v>100</v>
      </c>
      <c r="J423" t="s">
        <v>302</v>
      </c>
      <c r="K423" t="s">
        <v>7</v>
      </c>
      <c r="L423" t="s">
        <v>620</v>
      </c>
      <c r="M423" t="s">
        <v>622</v>
      </c>
      <c r="N423" t="s">
        <v>109</v>
      </c>
      <c r="O423" t="s">
        <v>605</v>
      </c>
      <c r="P423">
        <v>4957713</v>
      </c>
      <c r="Q423">
        <v>1</v>
      </c>
      <c r="R423">
        <v>13</v>
      </c>
      <c r="S423" t="s">
        <v>95</v>
      </c>
    </row>
    <row r="424" spans="1:19" x14ac:dyDescent="0.2">
      <c r="A424">
        <v>3009134</v>
      </c>
      <c r="B424" s="49">
        <v>46082</v>
      </c>
      <c r="C424" t="s">
        <v>106</v>
      </c>
      <c r="D424" t="s">
        <v>25</v>
      </c>
      <c r="E424">
        <v>700</v>
      </c>
      <c r="F424">
        <v>0</v>
      </c>
      <c r="G424">
        <v>700</v>
      </c>
      <c r="H424">
        <v>10000</v>
      </c>
      <c r="I424">
        <v>100</v>
      </c>
      <c r="J424" t="s">
        <v>201</v>
      </c>
      <c r="K424" t="s">
        <v>30</v>
      </c>
      <c r="L424" t="s">
        <v>247</v>
      </c>
      <c r="M424" t="s">
        <v>252</v>
      </c>
      <c r="N424" t="s">
        <v>183</v>
      </c>
      <c r="O424" t="s">
        <v>236</v>
      </c>
      <c r="P424">
        <v>4411011</v>
      </c>
      <c r="Q424">
        <v>1</v>
      </c>
      <c r="R424">
        <v>15</v>
      </c>
      <c r="S424" t="s">
        <v>95</v>
      </c>
    </row>
    <row r="425" spans="1:19" x14ac:dyDescent="0.2">
      <c r="A425">
        <v>3106171</v>
      </c>
      <c r="B425" s="49">
        <v>46112</v>
      </c>
      <c r="C425" t="s">
        <v>106</v>
      </c>
      <c r="D425" t="s">
        <v>25</v>
      </c>
      <c r="E425">
        <v>1850</v>
      </c>
      <c r="F425">
        <v>0</v>
      </c>
      <c r="G425">
        <v>1850</v>
      </c>
      <c r="H425">
        <v>10000</v>
      </c>
      <c r="I425">
        <v>100</v>
      </c>
      <c r="J425" t="s">
        <v>101</v>
      </c>
      <c r="K425" t="s">
        <v>8</v>
      </c>
      <c r="L425" t="s">
        <v>921</v>
      </c>
      <c r="M425" t="s">
        <v>922</v>
      </c>
      <c r="N425" t="s">
        <v>183</v>
      </c>
      <c r="O425" t="s">
        <v>923</v>
      </c>
      <c r="P425">
        <v>4991322</v>
      </c>
      <c r="Q425">
        <v>1</v>
      </c>
      <c r="R425">
        <v>18</v>
      </c>
      <c r="S425" t="s">
        <v>95</v>
      </c>
    </row>
    <row r="426" spans="1:19" x14ac:dyDescent="0.2">
      <c r="A426">
        <v>3077692</v>
      </c>
      <c r="B426" s="49">
        <v>46082</v>
      </c>
      <c r="C426" t="s">
        <v>106</v>
      </c>
      <c r="D426" t="s">
        <v>25</v>
      </c>
      <c r="E426">
        <v>0</v>
      </c>
      <c r="F426">
        <v>29485</v>
      </c>
      <c r="G426">
        <v>-29485</v>
      </c>
      <c r="H426">
        <v>10000</v>
      </c>
      <c r="I426">
        <v>100</v>
      </c>
      <c r="J426" t="s">
        <v>190</v>
      </c>
      <c r="K426" t="s">
        <v>48</v>
      </c>
      <c r="L426" t="s">
        <v>789</v>
      </c>
      <c r="M426" t="s">
        <v>789</v>
      </c>
      <c r="N426" t="s">
        <v>790</v>
      </c>
      <c r="O426" t="s">
        <v>791</v>
      </c>
      <c r="P426">
        <v>4966753</v>
      </c>
      <c r="Q426">
        <v>1</v>
      </c>
      <c r="R426">
        <v>19</v>
      </c>
      <c r="S426" t="s">
        <v>95</v>
      </c>
    </row>
    <row r="427" spans="1:19" x14ac:dyDescent="0.2">
      <c r="A427">
        <v>3009132</v>
      </c>
      <c r="B427" s="49">
        <v>46082</v>
      </c>
      <c r="C427" t="s">
        <v>106</v>
      </c>
      <c r="D427" t="s">
        <v>25</v>
      </c>
      <c r="E427">
        <v>29485</v>
      </c>
      <c r="F427">
        <v>0</v>
      </c>
      <c r="G427">
        <v>29485</v>
      </c>
      <c r="H427">
        <v>10000</v>
      </c>
      <c r="I427">
        <v>100</v>
      </c>
      <c r="J427" t="s">
        <v>190</v>
      </c>
      <c r="K427" t="s">
        <v>48</v>
      </c>
      <c r="L427" t="s">
        <v>253</v>
      </c>
      <c r="M427" t="s">
        <v>253</v>
      </c>
      <c r="N427" t="s">
        <v>183</v>
      </c>
      <c r="O427" t="s">
        <v>236</v>
      </c>
      <c r="P427">
        <v>4411009</v>
      </c>
      <c r="Q427">
        <v>1</v>
      </c>
      <c r="R427">
        <v>19</v>
      </c>
      <c r="S427" t="s">
        <v>95</v>
      </c>
    </row>
    <row r="428" spans="1:19" x14ac:dyDescent="0.2">
      <c r="A428">
        <v>3009133</v>
      </c>
      <c r="B428" s="49">
        <v>46082</v>
      </c>
      <c r="C428" t="s">
        <v>106</v>
      </c>
      <c r="D428" t="s">
        <v>25</v>
      </c>
      <c r="E428">
        <v>3600</v>
      </c>
      <c r="F428">
        <v>0</v>
      </c>
      <c r="G428">
        <v>3600</v>
      </c>
      <c r="H428">
        <v>10000</v>
      </c>
      <c r="I428">
        <v>100</v>
      </c>
      <c r="J428" t="s">
        <v>199</v>
      </c>
      <c r="K428" t="s">
        <v>49</v>
      </c>
      <c r="L428" t="s">
        <v>254</v>
      </c>
      <c r="M428" t="s">
        <v>254</v>
      </c>
      <c r="N428" t="s">
        <v>183</v>
      </c>
      <c r="O428" t="s">
        <v>236</v>
      </c>
      <c r="P428">
        <v>4411010</v>
      </c>
      <c r="Q428">
        <v>1</v>
      </c>
      <c r="R428">
        <v>21</v>
      </c>
      <c r="S428" t="s">
        <v>95</v>
      </c>
    </row>
    <row r="429" spans="1:19" x14ac:dyDescent="0.2">
      <c r="A429">
        <v>3009134</v>
      </c>
      <c r="B429" s="49">
        <v>46082</v>
      </c>
      <c r="C429" t="s">
        <v>106</v>
      </c>
      <c r="D429" t="s">
        <v>25</v>
      </c>
      <c r="E429">
        <v>1400</v>
      </c>
      <c r="F429">
        <v>0</v>
      </c>
      <c r="G429">
        <v>1400</v>
      </c>
      <c r="H429">
        <v>10000</v>
      </c>
      <c r="I429">
        <v>100</v>
      </c>
      <c r="J429" t="s">
        <v>193</v>
      </c>
      <c r="K429" t="s">
        <v>33</v>
      </c>
      <c r="L429" t="s">
        <v>247</v>
      </c>
      <c r="M429" t="s">
        <v>255</v>
      </c>
      <c r="N429" t="s">
        <v>183</v>
      </c>
      <c r="O429" t="s">
        <v>236</v>
      </c>
      <c r="P429">
        <v>4411011</v>
      </c>
      <c r="Q429">
        <v>1</v>
      </c>
      <c r="R429">
        <v>23</v>
      </c>
      <c r="S429" t="s">
        <v>95</v>
      </c>
    </row>
    <row r="430" spans="1:19" x14ac:dyDescent="0.2">
      <c r="A430">
        <v>3110689</v>
      </c>
      <c r="B430" s="49">
        <v>46112</v>
      </c>
      <c r="C430" t="s">
        <v>106</v>
      </c>
      <c r="D430" t="s">
        <v>25</v>
      </c>
      <c r="E430">
        <v>320</v>
      </c>
      <c r="F430">
        <v>0</v>
      </c>
      <c r="G430">
        <v>320</v>
      </c>
      <c r="H430">
        <v>10000</v>
      </c>
      <c r="I430">
        <v>100</v>
      </c>
      <c r="J430" t="s">
        <v>195</v>
      </c>
      <c r="K430" t="s">
        <v>34</v>
      </c>
      <c r="L430" t="s">
        <v>649</v>
      </c>
      <c r="M430" t="s">
        <v>930</v>
      </c>
      <c r="N430" t="s">
        <v>867</v>
      </c>
      <c r="O430" t="s">
        <v>870</v>
      </c>
      <c r="P430">
        <v>4992789</v>
      </c>
      <c r="Q430">
        <v>1</v>
      </c>
      <c r="R430">
        <v>25</v>
      </c>
      <c r="S430" t="s">
        <v>95</v>
      </c>
    </row>
    <row r="431" spans="1:19" x14ac:dyDescent="0.2">
      <c r="A431">
        <v>3110689</v>
      </c>
      <c r="B431" s="49">
        <v>46112</v>
      </c>
      <c r="C431" t="s">
        <v>106</v>
      </c>
      <c r="D431" t="s">
        <v>25</v>
      </c>
      <c r="E431">
        <v>463.6</v>
      </c>
      <c r="F431">
        <v>0</v>
      </c>
      <c r="G431">
        <v>463.6</v>
      </c>
      <c r="H431">
        <v>10000</v>
      </c>
      <c r="I431">
        <v>100</v>
      </c>
      <c r="J431" t="s">
        <v>195</v>
      </c>
      <c r="K431" t="s">
        <v>34</v>
      </c>
      <c r="L431" t="s">
        <v>649</v>
      </c>
      <c r="M431" t="s">
        <v>931</v>
      </c>
      <c r="N431" t="s">
        <v>867</v>
      </c>
      <c r="O431" t="s">
        <v>870</v>
      </c>
      <c r="P431">
        <v>4992789</v>
      </c>
      <c r="Q431">
        <v>1</v>
      </c>
      <c r="R431">
        <v>25</v>
      </c>
      <c r="S431" t="s">
        <v>95</v>
      </c>
    </row>
    <row r="432" spans="1:19" x14ac:dyDescent="0.2">
      <c r="A432">
        <v>3106171</v>
      </c>
      <c r="B432" s="49">
        <v>46112</v>
      </c>
      <c r="C432" t="s">
        <v>106</v>
      </c>
      <c r="D432" t="s">
        <v>25</v>
      </c>
      <c r="E432">
        <v>1850</v>
      </c>
      <c r="F432">
        <v>0</v>
      </c>
      <c r="G432">
        <v>1850</v>
      </c>
      <c r="H432">
        <v>10000</v>
      </c>
      <c r="I432">
        <v>100</v>
      </c>
      <c r="J432" t="s">
        <v>195</v>
      </c>
      <c r="K432" t="s">
        <v>34</v>
      </c>
      <c r="L432" t="s">
        <v>921</v>
      </c>
      <c r="M432" t="s">
        <v>924</v>
      </c>
      <c r="N432" t="s">
        <v>183</v>
      </c>
      <c r="O432" t="s">
        <v>923</v>
      </c>
      <c r="P432">
        <v>4991322</v>
      </c>
      <c r="Q432">
        <v>1</v>
      </c>
      <c r="R432">
        <v>25</v>
      </c>
      <c r="S432" t="s">
        <v>95</v>
      </c>
    </row>
    <row r="433" spans="1:19" x14ac:dyDescent="0.2">
      <c r="A433">
        <v>3068293</v>
      </c>
      <c r="B433" s="49">
        <v>46098</v>
      </c>
      <c r="C433" t="s">
        <v>106</v>
      </c>
      <c r="D433" t="s">
        <v>25</v>
      </c>
      <c r="E433">
        <v>2075.6999999999998</v>
      </c>
      <c r="F433">
        <v>0</v>
      </c>
      <c r="G433">
        <v>2075.6999999999998</v>
      </c>
      <c r="H433">
        <v>10000</v>
      </c>
      <c r="I433">
        <v>100</v>
      </c>
      <c r="J433" t="s">
        <v>188</v>
      </c>
      <c r="K433" t="s">
        <v>37</v>
      </c>
      <c r="L433" t="s">
        <v>600</v>
      </c>
      <c r="M433" t="s">
        <v>623</v>
      </c>
      <c r="N433" t="s">
        <v>109</v>
      </c>
      <c r="O433" t="s">
        <v>602</v>
      </c>
      <c r="P433">
        <v>4958930</v>
      </c>
      <c r="Q433">
        <v>1</v>
      </c>
      <c r="R433">
        <v>36</v>
      </c>
      <c r="S433" t="s">
        <v>95</v>
      </c>
    </row>
    <row r="434" spans="1:19" x14ac:dyDescent="0.2">
      <c r="A434">
        <v>3009134</v>
      </c>
      <c r="B434" s="49">
        <v>46082</v>
      </c>
      <c r="C434" t="s">
        <v>106</v>
      </c>
      <c r="D434" t="s">
        <v>25</v>
      </c>
      <c r="E434">
        <v>700</v>
      </c>
      <c r="F434">
        <v>0</v>
      </c>
      <c r="G434">
        <v>700</v>
      </c>
      <c r="H434">
        <v>10000</v>
      </c>
      <c r="I434">
        <v>100</v>
      </c>
      <c r="J434" t="s">
        <v>188</v>
      </c>
      <c r="K434" t="s">
        <v>37</v>
      </c>
      <c r="L434" t="s">
        <v>247</v>
      </c>
      <c r="M434" t="s">
        <v>256</v>
      </c>
      <c r="N434" t="s">
        <v>183</v>
      </c>
      <c r="O434" t="s">
        <v>236</v>
      </c>
      <c r="P434">
        <v>4411011</v>
      </c>
      <c r="Q434">
        <v>1</v>
      </c>
      <c r="R434">
        <v>36</v>
      </c>
      <c r="S434" t="s">
        <v>95</v>
      </c>
    </row>
    <row r="435" spans="1:19" x14ac:dyDescent="0.2">
      <c r="A435">
        <v>3067935</v>
      </c>
      <c r="B435" s="49">
        <v>46086</v>
      </c>
      <c r="C435" t="s">
        <v>106</v>
      </c>
      <c r="D435" t="s">
        <v>25</v>
      </c>
      <c r="E435">
        <v>1850</v>
      </c>
      <c r="F435">
        <v>0</v>
      </c>
      <c r="G435">
        <v>1850</v>
      </c>
      <c r="H435">
        <v>10000</v>
      </c>
      <c r="I435">
        <v>100</v>
      </c>
      <c r="J435" t="s">
        <v>336</v>
      </c>
      <c r="K435" t="s">
        <v>55</v>
      </c>
      <c r="L435" t="s">
        <v>624</v>
      </c>
      <c r="M435" t="s">
        <v>625</v>
      </c>
      <c r="N435" t="s">
        <v>109</v>
      </c>
      <c r="O435" t="s">
        <v>605</v>
      </c>
      <c r="P435">
        <v>4957748</v>
      </c>
      <c r="Q435">
        <v>1</v>
      </c>
      <c r="R435">
        <v>48</v>
      </c>
      <c r="S435" t="s">
        <v>95</v>
      </c>
    </row>
    <row r="436" spans="1:19" x14ac:dyDescent="0.2">
      <c r="A436">
        <v>3110687</v>
      </c>
      <c r="B436" s="49">
        <v>46112</v>
      </c>
      <c r="C436" t="s">
        <v>106</v>
      </c>
      <c r="D436" t="s">
        <v>25</v>
      </c>
      <c r="E436">
        <v>500</v>
      </c>
      <c r="F436">
        <v>0</v>
      </c>
      <c r="G436">
        <v>500</v>
      </c>
      <c r="H436">
        <v>10000</v>
      </c>
      <c r="I436">
        <v>100</v>
      </c>
      <c r="J436" t="s">
        <v>932</v>
      </c>
      <c r="K436" t="s">
        <v>52</v>
      </c>
      <c r="L436" t="s">
        <v>649</v>
      </c>
      <c r="M436" t="s">
        <v>927</v>
      </c>
      <c r="N436" t="s">
        <v>867</v>
      </c>
      <c r="O436" t="s">
        <v>928</v>
      </c>
      <c r="P436">
        <v>4992787</v>
      </c>
      <c r="Q436">
        <v>1</v>
      </c>
      <c r="R436">
        <v>58</v>
      </c>
      <c r="S436" t="s">
        <v>95</v>
      </c>
    </row>
    <row r="437" spans="1:19" x14ac:dyDescent="0.2">
      <c r="A437">
        <v>3110687</v>
      </c>
      <c r="B437" s="49">
        <v>46112</v>
      </c>
      <c r="C437" t="s">
        <v>106</v>
      </c>
      <c r="D437" t="s">
        <v>25</v>
      </c>
      <c r="E437">
        <v>550</v>
      </c>
      <c r="F437">
        <v>0</v>
      </c>
      <c r="G437">
        <v>550</v>
      </c>
      <c r="H437">
        <v>10000</v>
      </c>
      <c r="I437">
        <v>100</v>
      </c>
      <c r="J437" t="s">
        <v>443</v>
      </c>
      <c r="K437" t="s">
        <v>57</v>
      </c>
      <c r="L437" t="s">
        <v>649</v>
      </c>
      <c r="M437" t="s">
        <v>927</v>
      </c>
      <c r="N437" t="s">
        <v>867</v>
      </c>
      <c r="O437" t="s">
        <v>928</v>
      </c>
      <c r="P437">
        <v>4992787</v>
      </c>
      <c r="Q437">
        <v>1</v>
      </c>
      <c r="R437">
        <v>59</v>
      </c>
      <c r="S437" t="s">
        <v>95</v>
      </c>
    </row>
    <row r="438" spans="1:19" x14ac:dyDescent="0.2">
      <c r="A438">
        <v>3110687</v>
      </c>
      <c r="B438" s="49">
        <v>46112</v>
      </c>
      <c r="C438" t="s">
        <v>106</v>
      </c>
      <c r="D438" t="s">
        <v>25</v>
      </c>
      <c r="E438">
        <v>500</v>
      </c>
      <c r="F438">
        <v>0</v>
      </c>
      <c r="G438">
        <v>500</v>
      </c>
      <c r="H438">
        <v>10000</v>
      </c>
      <c r="I438">
        <v>100</v>
      </c>
      <c r="J438" t="s">
        <v>443</v>
      </c>
      <c r="K438" t="s">
        <v>57</v>
      </c>
      <c r="L438" t="s">
        <v>649</v>
      </c>
      <c r="M438" t="s">
        <v>927</v>
      </c>
      <c r="N438" t="s">
        <v>867</v>
      </c>
      <c r="O438" t="s">
        <v>928</v>
      </c>
      <c r="P438">
        <v>4992787</v>
      </c>
      <c r="Q438">
        <v>1</v>
      </c>
      <c r="R438">
        <v>59</v>
      </c>
      <c r="S438" t="s">
        <v>95</v>
      </c>
    </row>
    <row r="439" spans="1:19" x14ac:dyDescent="0.2">
      <c r="A439">
        <v>3088470</v>
      </c>
      <c r="B439" s="49">
        <v>46108</v>
      </c>
      <c r="C439" t="s">
        <v>106</v>
      </c>
      <c r="D439" t="s">
        <v>25</v>
      </c>
      <c r="E439">
        <v>2075.7199999999998</v>
      </c>
      <c r="F439">
        <v>0</v>
      </c>
      <c r="G439">
        <v>2075.7199999999998</v>
      </c>
      <c r="H439">
        <v>10000</v>
      </c>
      <c r="I439">
        <v>100</v>
      </c>
      <c r="J439" t="s">
        <v>206</v>
      </c>
      <c r="K439" t="s">
        <v>74</v>
      </c>
      <c r="L439" t="s">
        <v>781</v>
      </c>
      <c r="M439" t="s">
        <v>792</v>
      </c>
      <c r="N439" t="s">
        <v>109</v>
      </c>
      <c r="O439" t="s">
        <v>674</v>
      </c>
      <c r="P439">
        <v>4975511</v>
      </c>
      <c r="Q439">
        <v>1</v>
      </c>
      <c r="R439">
        <v>71</v>
      </c>
      <c r="S439" t="s">
        <v>95</v>
      </c>
    </row>
    <row r="440" spans="1:19" x14ac:dyDescent="0.2">
      <c r="A440">
        <v>3088467</v>
      </c>
      <c r="B440" s="49">
        <v>46108</v>
      </c>
      <c r="C440" t="s">
        <v>106</v>
      </c>
      <c r="D440" t="s">
        <v>25</v>
      </c>
      <c r="E440">
        <v>896.64</v>
      </c>
      <c r="F440">
        <v>0</v>
      </c>
      <c r="G440">
        <v>896.64</v>
      </c>
      <c r="H440">
        <v>10000</v>
      </c>
      <c r="I440">
        <v>100</v>
      </c>
      <c r="J440" t="s">
        <v>206</v>
      </c>
      <c r="K440" t="s">
        <v>74</v>
      </c>
      <c r="L440" t="s">
        <v>793</v>
      </c>
      <c r="M440" t="s">
        <v>793</v>
      </c>
      <c r="N440" t="s">
        <v>109</v>
      </c>
      <c r="O440" t="s">
        <v>674</v>
      </c>
      <c r="P440">
        <v>4975508</v>
      </c>
      <c r="Q440">
        <v>1</v>
      </c>
      <c r="R440">
        <v>71</v>
      </c>
      <c r="S440" t="s">
        <v>95</v>
      </c>
    </row>
    <row r="441" spans="1:19" x14ac:dyDescent="0.2">
      <c r="A441">
        <v>3083637</v>
      </c>
      <c r="B441" s="49">
        <v>46105</v>
      </c>
      <c r="C441" t="s">
        <v>106</v>
      </c>
      <c r="D441" t="s">
        <v>25</v>
      </c>
      <c r="E441">
        <v>111.21</v>
      </c>
      <c r="F441">
        <v>0</v>
      </c>
      <c r="G441">
        <v>111.21</v>
      </c>
      <c r="H441">
        <v>10000</v>
      </c>
      <c r="I441">
        <v>100</v>
      </c>
      <c r="J441" t="s">
        <v>206</v>
      </c>
      <c r="K441" t="s">
        <v>74</v>
      </c>
      <c r="L441" t="s">
        <v>776</v>
      </c>
      <c r="M441" t="s">
        <v>794</v>
      </c>
      <c r="N441" t="s">
        <v>109</v>
      </c>
      <c r="O441" t="s">
        <v>778</v>
      </c>
      <c r="P441">
        <v>4971194</v>
      </c>
      <c r="Q441">
        <v>1</v>
      </c>
      <c r="R441">
        <v>71</v>
      </c>
      <c r="S441" t="s">
        <v>95</v>
      </c>
    </row>
    <row r="442" spans="1:19" x14ac:dyDescent="0.2">
      <c r="A442">
        <v>3067888</v>
      </c>
      <c r="B442" s="49">
        <v>46091</v>
      </c>
      <c r="C442" t="s">
        <v>106</v>
      </c>
      <c r="D442" t="s">
        <v>25</v>
      </c>
      <c r="E442">
        <v>1295</v>
      </c>
      <c r="F442">
        <v>0</v>
      </c>
      <c r="G442">
        <v>1295</v>
      </c>
      <c r="H442">
        <v>10000</v>
      </c>
      <c r="I442">
        <v>100</v>
      </c>
      <c r="J442" t="s">
        <v>455</v>
      </c>
      <c r="K442" t="s">
        <v>75</v>
      </c>
      <c r="L442" t="s">
        <v>626</v>
      </c>
      <c r="M442" t="s">
        <v>627</v>
      </c>
      <c r="N442" t="s">
        <v>109</v>
      </c>
      <c r="O442" t="s">
        <v>605</v>
      </c>
      <c r="P442">
        <v>4957728</v>
      </c>
      <c r="Q442">
        <v>1</v>
      </c>
      <c r="R442">
        <v>72</v>
      </c>
      <c r="S442" t="s">
        <v>95</v>
      </c>
    </row>
    <row r="443" spans="1:19" x14ac:dyDescent="0.2">
      <c r="A443">
        <v>3110685</v>
      </c>
      <c r="B443" s="49">
        <v>46112</v>
      </c>
      <c r="C443" t="s">
        <v>106</v>
      </c>
      <c r="D443" t="s">
        <v>25</v>
      </c>
      <c r="E443">
        <v>400</v>
      </c>
      <c r="F443">
        <v>0</v>
      </c>
      <c r="G443">
        <v>400</v>
      </c>
      <c r="H443">
        <v>10000</v>
      </c>
      <c r="I443">
        <v>100</v>
      </c>
      <c r="J443" t="s">
        <v>573</v>
      </c>
      <c r="K443" t="s">
        <v>117</v>
      </c>
      <c r="L443" t="s">
        <v>649</v>
      </c>
      <c r="M443" t="s">
        <v>933</v>
      </c>
      <c r="N443" t="s">
        <v>867</v>
      </c>
      <c r="O443" t="s">
        <v>874</v>
      </c>
      <c r="P443">
        <v>4992785</v>
      </c>
      <c r="Q443">
        <v>1</v>
      </c>
      <c r="R443">
        <v>76</v>
      </c>
      <c r="S443" t="s">
        <v>95</v>
      </c>
    </row>
    <row r="444" spans="1:19" x14ac:dyDescent="0.2">
      <c r="A444">
        <v>3083725</v>
      </c>
      <c r="B444" s="49">
        <v>46098</v>
      </c>
      <c r="C444" t="s">
        <v>106</v>
      </c>
      <c r="D444" t="s">
        <v>25</v>
      </c>
      <c r="E444">
        <v>384.55</v>
      </c>
      <c r="F444">
        <v>0</v>
      </c>
      <c r="G444">
        <v>384.55</v>
      </c>
      <c r="H444">
        <v>10000</v>
      </c>
      <c r="I444">
        <v>100</v>
      </c>
      <c r="J444" t="s">
        <v>573</v>
      </c>
      <c r="K444" t="s">
        <v>117</v>
      </c>
      <c r="L444" t="s">
        <v>795</v>
      </c>
      <c r="M444" t="s">
        <v>796</v>
      </c>
      <c r="N444" t="s">
        <v>109</v>
      </c>
      <c r="O444" t="s">
        <v>775</v>
      </c>
      <c r="P444">
        <v>4971288</v>
      </c>
      <c r="Q444">
        <v>1</v>
      </c>
      <c r="R444">
        <v>76</v>
      </c>
      <c r="S444" t="s">
        <v>95</v>
      </c>
    </row>
    <row r="445" spans="1:19" x14ac:dyDescent="0.2">
      <c r="A445">
        <v>3110685</v>
      </c>
      <c r="B445" s="49">
        <v>46112</v>
      </c>
      <c r="C445" t="s">
        <v>106</v>
      </c>
      <c r="D445" t="s">
        <v>25</v>
      </c>
      <c r="E445">
        <v>200</v>
      </c>
      <c r="F445">
        <v>0</v>
      </c>
      <c r="G445">
        <v>200</v>
      </c>
      <c r="H445">
        <v>10000</v>
      </c>
      <c r="I445">
        <v>100</v>
      </c>
      <c r="J445" t="s">
        <v>462</v>
      </c>
      <c r="K445" t="s">
        <v>118</v>
      </c>
      <c r="L445" t="s">
        <v>649</v>
      </c>
      <c r="M445" t="s">
        <v>934</v>
      </c>
      <c r="N445" t="s">
        <v>867</v>
      </c>
      <c r="O445" t="s">
        <v>874</v>
      </c>
      <c r="P445">
        <v>4992785</v>
      </c>
      <c r="Q445">
        <v>1</v>
      </c>
      <c r="R445">
        <v>77</v>
      </c>
      <c r="S445" t="s">
        <v>95</v>
      </c>
    </row>
    <row r="446" spans="1:19" x14ac:dyDescent="0.2">
      <c r="A446">
        <v>3067935</v>
      </c>
      <c r="B446" s="49">
        <v>46086</v>
      </c>
      <c r="C446" t="s">
        <v>106</v>
      </c>
      <c r="D446" t="s">
        <v>25</v>
      </c>
      <c r="E446">
        <v>1295</v>
      </c>
      <c r="F446">
        <v>0</v>
      </c>
      <c r="G446">
        <v>1295</v>
      </c>
      <c r="H446">
        <v>10000</v>
      </c>
      <c r="I446">
        <v>100</v>
      </c>
      <c r="J446" t="s">
        <v>380</v>
      </c>
      <c r="K446" t="s">
        <v>123</v>
      </c>
      <c r="L446" t="s">
        <v>624</v>
      </c>
      <c r="M446" t="s">
        <v>628</v>
      </c>
      <c r="N446" t="s">
        <v>109</v>
      </c>
      <c r="O446" t="s">
        <v>605</v>
      </c>
      <c r="P446">
        <v>4957748</v>
      </c>
      <c r="Q446">
        <v>1</v>
      </c>
      <c r="R446">
        <v>81</v>
      </c>
      <c r="S446" t="s">
        <v>95</v>
      </c>
    </row>
    <row r="447" spans="1:19" x14ac:dyDescent="0.2">
      <c r="A447">
        <v>3083727</v>
      </c>
      <c r="B447" s="49">
        <v>46099</v>
      </c>
      <c r="C447" t="s">
        <v>106</v>
      </c>
      <c r="D447" t="s">
        <v>25</v>
      </c>
      <c r="E447">
        <v>269.64</v>
      </c>
      <c r="F447">
        <v>0</v>
      </c>
      <c r="G447">
        <v>269.64</v>
      </c>
      <c r="H447">
        <v>10000</v>
      </c>
      <c r="I447">
        <v>100</v>
      </c>
      <c r="J447" t="s">
        <v>346</v>
      </c>
      <c r="K447" t="s">
        <v>124</v>
      </c>
      <c r="L447" t="s">
        <v>785</v>
      </c>
      <c r="M447" t="s">
        <v>797</v>
      </c>
      <c r="N447" t="s">
        <v>109</v>
      </c>
      <c r="O447" t="s">
        <v>775</v>
      </c>
      <c r="P447">
        <v>4971290</v>
      </c>
      <c r="Q447">
        <v>1</v>
      </c>
      <c r="R447">
        <v>82</v>
      </c>
      <c r="S447" t="s">
        <v>95</v>
      </c>
    </row>
    <row r="448" spans="1:19" x14ac:dyDescent="0.2">
      <c r="A448">
        <v>3068369</v>
      </c>
      <c r="B448" s="49">
        <v>46101</v>
      </c>
      <c r="C448" t="s">
        <v>106</v>
      </c>
      <c r="D448" t="s">
        <v>25</v>
      </c>
      <c r="E448">
        <v>2075.7199999999998</v>
      </c>
      <c r="F448">
        <v>0</v>
      </c>
      <c r="G448">
        <v>2075.7199999999998</v>
      </c>
      <c r="H448">
        <v>10000</v>
      </c>
      <c r="I448">
        <v>100</v>
      </c>
      <c r="J448" t="s">
        <v>346</v>
      </c>
      <c r="K448" t="s">
        <v>124</v>
      </c>
      <c r="L448" t="s">
        <v>629</v>
      </c>
      <c r="M448" t="s">
        <v>629</v>
      </c>
      <c r="N448" t="s">
        <v>109</v>
      </c>
      <c r="O448" t="s">
        <v>602</v>
      </c>
      <c r="P448">
        <v>4958931</v>
      </c>
      <c r="Q448">
        <v>1</v>
      </c>
      <c r="R448">
        <v>82</v>
      </c>
      <c r="S448" t="s">
        <v>95</v>
      </c>
    </row>
    <row r="449" spans="1:19" x14ac:dyDescent="0.2">
      <c r="A449">
        <v>3083637</v>
      </c>
      <c r="B449" s="49">
        <v>46105</v>
      </c>
      <c r="C449" t="s">
        <v>106</v>
      </c>
      <c r="D449" t="s">
        <v>25</v>
      </c>
      <c r="E449">
        <v>111.21</v>
      </c>
      <c r="F449">
        <v>0</v>
      </c>
      <c r="G449">
        <v>111.21</v>
      </c>
      <c r="H449">
        <v>10000</v>
      </c>
      <c r="I449">
        <v>100</v>
      </c>
      <c r="J449" t="s">
        <v>353</v>
      </c>
      <c r="K449" t="s">
        <v>129</v>
      </c>
      <c r="L449" t="s">
        <v>776</v>
      </c>
      <c r="M449" t="s">
        <v>798</v>
      </c>
      <c r="N449" t="s">
        <v>109</v>
      </c>
      <c r="O449" t="s">
        <v>778</v>
      </c>
      <c r="P449">
        <v>4971194</v>
      </c>
      <c r="Q449">
        <v>1</v>
      </c>
      <c r="R449">
        <v>87</v>
      </c>
      <c r="S449" t="s">
        <v>95</v>
      </c>
    </row>
    <row r="450" spans="1:19" x14ac:dyDescent="0.2">
      <c r="A450">
        <v>3083559</v>
      </c>
      <c r="B450" s="49">
        <v>46105</v>
      </c>
      <c r="C450" t="s">
        <v>106</v>
      </c>
      <c r="D450" t="s">
        <v>25</v>
      </c>
      <c r="E450">
        <v>8425</v>
      </c>
      <c r="F450">
        <v>0</v>
      </c>
      <c r="G450">
        <v>8425</v>
      </c>
      <c r="H450">
        <v>10000</v>
      </c>
      <c r="I450">
        <v>100</v>
      </c>
      <c r="J450" t="s">
        <v>353</v>
      </c>
      <c r="K450" t="s">
        <v>129</v>
      </c>
      <c r="L450" t="s">
        <v>799</v>
      </c>
      <c r="M450" t="s">
        <v>800</v>
      </c>
      <c r="N450" t="s">
        <v>109</v>
      </c>
      <c r="O450" t="s">
        <v>801</v>
      </c>
      <c r="P450">
        <v>4971108</v>
      </c>
      <c r="Q450">
        <v>1</v>
      </c>
      <c r="R450">
        <v>87</v>
      </c>
      <c r="S450" t="s">
        <v>95</v>
      </c>
    </row>
    <row r="451" spans="1:19" x14ac:dyDescent="0.2">
      <c r="A451">
        <v>3083637</v>
      </c>
      <c r="B451" s="49">
        <v>46105</v>
      </c>
      <c r="C451" t="s">
        <v>106</v>
      </c>
      <c r="D451" t="s">
        <v>25</v>
      </c>
      <c r="E451">
        <v>111.21</v>
      </c>
      <c r="F451">
        <v>0</v>
      </c>
      <c r="G451">
        <v>111.21</v>
      </c>
      <c r="H451">
        <v>10000</v>
      </c>
      <c r="I451">
        <v>100</v>
      </c>
      <c r="J451" t="s">
        <v>737</v>
      </c>
      <c r="K451" t="s">
        <v>130</v>
      </c>
      <c r="L451" t="s">
        <v>776</v>
      </c>
      <c r="M451" t="s">
        <v>802</v>
      </c>
      <c r="N451" t="s">
        <v>109</v>
      </c>
      <c r="O451" t="s">
        <v>778</v>
      </c>
      <c r="P451">
        <v>4971194</v>
      </c>
      <c r="Q451">
        <v>1</v>
      </c>
      <c r="R451">
        <v>86</v>
      </c>
      <c r="S451" t="s">
        <v>95</v>
      </c>
    </row>
    <row r="452" spans="1:19" x14ac:dyDescent="0.2">
      <c r="A452">
        <v>3009127</v>
      </c>
      <c r="B452" s="49">
        <v>46082</v>
      </c>
      <c r="C452" t="s">
        <v>106</v>
      </c>
      <c r="D452" t="s">
        <v>25</v>
      </c>
      <c r="E452">
        <v>1739</v>
      </c>
      <c r="F452">
        <v>0</v>
      </c>
      <c r="G452">
        <v>1739</v>
      </c>
      <c r="H452">
        <v>10000</v>
      </c>
      <c r="I452">
        <v>100</v>
      </c>
      <c r="J452" t="s">
        <v>204</v>
      </c>
      <c r="K452" t="s">
        <v>173</v>
      </c>
      <c r="L452" t="s">
        <v>257</v>
      </c>
      <c r="M452" t="s">
        <v>257</v>
      </c>
      <c r="N452" t="s">
        <v>183</v>
      </c>
      <c r="O452" t="s">
        <v>236</v>
      </c>
      <c r="P452">
        <v>4411006</v>
      </c>
      <c r="Q452">
        <v>1</v>
      </c>
      <c r="R452">
        <v>92</v>
      </c>
      <c r="S452" t="s">
        <v>95</v>
      </c>
    </row>
    <row r="453" spans="1:19" x14ac:dyDescent="0.2">
      <c r="A453">
        <v>3088414</v>
      </c>
      <c r="B453" s="49">
        <v>46111</v>
      </c>
      <c r="C453" t="s">
        <v>106</v>
      </c>
      <c r="D453" t="s">
        <v>25</v>
      </c>
      <c r="E453">
        <v>2300</v>
      </c>
      <c r="F453">
        <v>0</v>
      </c>
      <c r="G453">
        <v>2300</v>
      </c>
      <c r="H453">
        <v>10000</v>
      </c>
      <c r="I453">
        <v>100</v>
      </c>
      <c r="J453" t="s">
        <v>360</v>
      </c>
      <c r="K453" t="s">
        <v>174</v>
      </c>
      <c r="L453" t="s">
        <v>803</v>
      </c>
      <c r="M453" t="s">
        <v>803</v>
      </c>
      <c r="N453" t="s">
        <v>109</v>
      </c>
      <c r="O453" t="s">
        <v>772</v>
      </c>
      <c r="P453">
        <v>4975478</v>
      </c>
      <c r="Q453">
        <v>1</v>
      </c>
      <c r="R453">
        <v>94</v>
      </c>
      <c r="S453" t="s">
        <v>95</v>
      </c>
    </row>
    <row r="454" spans="1:19" x14ac:dyDescent="0.2">
      <c r="A454">
        <v>3083725</v>
      </c>
      <c r="B454" s="49">
        <v>46098</v>
      </c>
      <c r="C454" t="s">
        <v>106</v>
      </c>
      <c r="D454" t="s">
        <v>25</v>
      </c>
      <c r="E454">
        <v>384.55</v>
      </c>
      <c r="F454">
        <v>0</v>
      </c>
      <c r="G454">
        <v>384.55</v>
      </c>
      <c r="H454">
        <v>10000</v>
      </c>
      <c r="I454">
        <v>100</v>
      </c>
      <c r="J454" t="s">
        <v>749</v>
      </c>
      <c r="K454" t="s">
        <v>179</v>
      </c>
      <c r="L454" t="s">
        <v>795</v>
      </c>
      <c r="M454" t="s">
        <v>804</v>
      </c>
      <c r="N454" t="s">
        <v>109</v>
      </c>
      <c r="O454" t="s">
        <v>775</v>
      </c>
      <c r="P454">
        <v>4971288</v>
      </c>
      <c r="Q454">
        <v>1</v>
      </c>
      <c r="R454">
        <v>97</v>
      </c>
      <c r="S454" t="s">
        <v>95</v>
      </c>
    </row>
    <row r="455" spans="1:19" x14ac:dyDescent="0.2">
      <c r="A455">
        <v>3083725</v>
      </c>
      <c r="B455" s="49">
        <v>46098</v>
      </c>
      <c r="C455" t="s">
        <v>106</v>
      </c>
      <c r="D455" t="s">
        <v>25</v>
      </c>
      <c r="E455">
        <v>384.55</v>
      </c>
      <c r="F455">
        <v>0</v>
      </c>
      <c r="G455">
        <v>384.55</v>
      </c>
      <c r="H455">
        <v>10000</v>
      </c>
      <c r="I455">
        <v>100</v>
      </c>
      <c r="J455" t="s">
        <v>197</v>
      </c>
      <c r="K455" t="s">
        <v>181</v>
      </c>
      <c r="L455" t="s">
        <v>795</v>
      </c>
      <c r="M455" t="s">
        <v>805</v>
      </c>
      <c r="N455" t="s">
        <v>109</v>
      </c>
      <c r="O455" t="s">
        <v>775</v>
      </c>
      <c r="P455">
        <v>4971288</v>
      </c>
      <c r="Q455">
        <v>1</v>
      </c>
      <c r="R455">
        <v>101</v>
      </c>
      <c r="S455" t="s">
        <v>95</v>
      </c>
    </row>
    <row r="456" spans="1:19" x14ac:dyDescent="0.2">
      <c r="A456">
        <v>3009134</v>
      </c>
      <c r="B456" s="49">
        <v>46082</v>
      </c>
      <c r="C456" t="s">
        <v>106</v>
      </c>
      <c r="D456" t="s">
        <v>25</v>
      </c>
      <c r="E456">
        <v>700</v>
      </c>
      <c r="F456">
        <v>0</v>
      </c>
      <c r="G456">
        <v>700</v>
      </c>
      <c r="H456">
        <v>10000</v>
      </c>
      <c r="I456">
        <v>100</v>
      </c>
      <c r="J456" t="s">
        <v>197</v>
      </c>
      <c r="K456" t="s">
        <v>181</v>
      </c>
      <c r="L456" t="s">
        <v>247</v>
      </c>
      <c r="M456" t="s">
        <v>258</v>
      </c>
      <c r="N456" t="s">
        <v>183</v>
      </c>
      <c r="O456" t="s">
        <v>236</v>
      </c>
      <c r="P456">
        <v>4411011</v>
      </c>
      <c r="Q456">
        <v>1</v>
      </c>
      <c r="R456">
        <v>101</v>
      </c>
      <c r="S456" t="s">
        <v>95</v>
      </c>
    </row>
    <row r="457" spans="1:19" x14ac:dyDescent="0.2">
      <c r="A457">
        <v>3084869</v>
      </c>
      <c r="B457" s="49">
        <v>46106</v>
      </c>
      <c r="C457" t="s">
        <v>106</v>
      </c>
      <c r="D457" t="s">
        <v>25</v>
      </c>
      <c r="E457">
        <v>1924.46</v>
      </c>
      <c r="F457">
        <v>0</v>
      </c>
      <c r="G457">
        <v>1924.46</v>
      </c>
      <c r="H457">
        <v>10000</v>
      </c>
      <c r="I457">
        <v>100</v>
      </c>
      <c r="J457" t="s">
        <v>630</v>
      </c>
      <c r="K457" t="s">
        <v>631</v>
      </c>
      <c r="L457" t="s">
        <v>806</v>
      </c>
      <c r="M457" t="s">
        <v>807</v>
      </c>
      <c r="N457" t="s">
        <v>109</v>
      </c>
      <c r="O457" t="s">
        <v>775</v>
      </c>
      <c r="P457">
        <v>4971305</v>
      </c>
      <c r="Q457">
        <v>1</v>
      </c>
      <c r="R457">
        <v>107</v>
      </c>
      <c r="S457" t="s">
        <v>95</v>
      </c>
    </row>
    <row r="458" spans="1:19" x14ac:dyDescent="0.2">
      <c r="A458">
        <v>3083727</v>
      </c>
      <c r="B458" s="49">
        <v>46099</v>
      </c>
      <c r="C458" t="s">
        <v>106</v>
      </c>
      <c r="D458" t="s">
        <v>25</v>
      </c>
      <c r="E458">
        <v>269.64</v>
      </c>
      <c r="F458">
        <v>0</v>
      </c>
      <c r="G458">
        <v>269.64</v>
      </c>
      <c r="H458">
        <v>10000</v>
      </c>
      <c r="I458">
        <v>100</v>
      </c>
      <c r="J458" t="s">
        <v>630</v>
      </c>
      <c r="K458" t="s">
        <v>631</v>
      </c>
      <c r="L458" t="s">
        <v>785</v>
      </c>
      <c r="M458" t="s">
        <v>808</v>
      </c>
      <c r="N458" t="s">
        <v>109</v>
      </c>
      <c r="O458" t="s">
        <v>775</v>
      </c>
      <c r="P458">
        <v>4971290</v>
      </c>
      <c r="Q458">
        <v>1</v>
      </c>
      <c r="R458">
        <v>107</v>
      </c>
      <c r="S458" t="s">
        <v>95</v>
      </c>
    </row>
    <row r="459" spans="1:19" x14ac:dyDescent="0.2">
      <c r="A459">
        <v>3067980</v>
      </c>
      <c r="B459" s="49">
        <v>46099</v>
      </c>
      <c r="C459" t="s">
        <v>106</v>
      </c>
      <c r="D459" t="s">
        <v>25</v>
      </c>
      <c r="E459">
        <v>6946.56</v>
      </c>
      <c r="F459">
        <v>0</v>
      </c>
      <c r="G459">
        <v>6946.56</v>
      </c>
      <c r="H459">
        <v>10000</v>
      </c>
      <c r="I459">
        <v>100</v>
      </c>
      <c r="J459" t="s">
        <v>630</v>
      </c>
      <c r="K459" t="s">
        <v>631</v>
      </c>
      <c r="L459" t="s">
        <v>632</v>
      </c>
      <c r="M459" t="s">
        <v>633</v>
      </c>
      <c r="N459" t="s">
        <v>109</v>
      </c>
      <c r="O459" t="s">
        <v>605</v>
      </c>
      <c r="P459">
        <v>4958847</v>
      </c>
      <c r="Q459">
        <v>1</v>
      </c>
      <c r="R459">
        <v>107</v>
      </c>
      <c r="S459" t="s">
        <v>95</v>
      </c>
    </row>
    <row r="460" spans="1:19" x14ac:dyDescent="0.2">
      <c r="A460">
        <v>3088473</v>
      </c>
      <c r="B460" s="49">
        <v>46108</v>
      </c>
      <c r="C460" t="s">
        <v>106</v>
      </c>
      <c r="D460" t="s">
        <v>25</v>
      </c>
      <c r="E460">
        <v>12233.1</v>
      </c>
      <c r="F460">
        <v>0</v>
      </c>
      <c r="G460">
        <v>12233.1</v>
      </c>
      <c r="H460">
        <v>10000</v>
      </c>
      <c r="I460">
        <v>100</v>
      </c>
      <c r="J460" t="s">
        <v>634</v>
      </c>
      <c r="K460" t="s">
        <v>635</v>
      </c>
      <c r="L460" t="s">
        <v>809</v>
      </c>
      <c r="M460" t="s">
        <v>809</v>
      </c>
      <c r="N460" t="s">
        <v>109</v>
      </c>
      <c r="O460" t="s">
        <v>674</v>
      </c>
      <c r="P460">
        <v>4975514</v>
      </c>
      <c r="Q460">
        <v>1</v>
      </c>
      <c r="R460">
        <v>106</v>
      </c>
      <c r="S460" t="s">
        <v>95</v>
      </c>
    </row>
    <row r="461" spans="1:19" x14ac:dyDescent="0.2">
      <c r="A461">
        <v>3084869</v>
      </c>
      <c r="B461" s="49">
        <v>46106</v>
      </c>
      <c r="C461" t="s">
        <v>106</v>
      </c>
      <c r="D461" t="s">
        <v>25</v>
      </c>
      <c r="E461">
        <v>1924.46</v>
      </c>
      <c r="F461">
        <v>0</v>
      </c>
      <c r="G461">
        <v>1924.46</v>
      </c>
      <c r="H461">
        <v>10000</v>
      </c>
      <c r="I461">
        <v>100</v>
      </c>
      <c r="J461" t="s">
        <v>634</v>
      </c>
      <c r="K461" t="s">
        <v>635</v>
      </c>
      <c r="L461" t="s">
        <v>806</v>
      </c>
      <c r="M461" t="s">
        <v>810</v>
      </c>
      <c r="N461" t="s">
        <v>109</v>
      </c>
      <c r="O461" t="s">
        <v>775</v>
      </c>
      <c r="P461">
        <v>4971305</v>
      </c>
      <c r="Q461">
        <v>1</v>
      </c>
      <c r="R461">
        <v>106</v>
      </c>
      <c r="S461" t="s">
        <v>95</v>
      </c>
    </row>
    <row r="462" spans="1:19" x14ac:dyDescent="0.2">
      <c r="A462">
        <v>3083727</v>
      </c>
      <c r="B462" s="49">
        <v>46099</v>
      </c>
      <c r="C462" t="s">
        <v>106</v>
      </c>
      <c r="D462" t="s">
        <v>25</v>
      </c>
      <c r="E462">
        <v>269.64</v>
      </c>
      <c r="F462">
        <v>0</v>
      </c>
      <c r="G462">
        <v>269.64</v>
      </c>
      <c r="H462">
        <v>10000</v>
      </c>
      <c r="I462">
        <v>100</v>
      </c>
      <c r="J462" t="s">
        <v>634</v>
      </c>
      <c r="K462" t="s">
        <v>635</v>
      </c>
      <c r="L462" t="s">
        <v>785</v>
      </c>
      <c r="M462" t="s">
        <v>811</v>
      </c>
      <c r="N462" t="s">
        <v>109</v>
      </c>
      <c r="O462" t="s">
        <v>775</v>
      </c>
      <c r="P462">
        <v>4971290</v>
      </c>
      <c r="Q462">
        <v>1</v>
      </c>
      <c r="R462">
        <v>106</v>
      </c>
      <c r="S462" t="s">
        <v>95</v>
      </c>
    </row>
    <row r="463" spans="1:19" x14ac:dyDescent="0.2">
      <c r="A463">
        <v>3083653</v>
      </c>
      <c r="B463" s="49">
        <v>46105</v>
      </c>
      <c r="C463" t="s">
        <v>106</v>
      </c>
      <c r="D463" t="s">
        <v>25</v>
      </c>
      <c r="E463">
        <v>5585</v>
      </c>
      <c r="F463">
        <v>0</v>
      </c>
      <c r="G463">
        <v>5585</v>
      </c>
      <c r="H463">
        <v>10000</v>
      </c>
      <c r="I463">
        <v>100</v>
      </c>
      <c r="J463" t="s">
        <v>634</v>
      </c>
      <c r="K463" t="s">
        <v>635</v>
      </c>
      <c r="L463" t="s">
        <v>812</v>
      </c>
      <c r="M463" t="s">
        <v>813</v>
      </c>
      <c r="N463" t="s">
        <v>109</v>
      </c>
      <c r="O463" t="s">
        <v>778</v>
      </c>
      <c r="P463">
        <v>4971222</v>
      </c>
      <c r="Q463">
        <v>1</v>
      </c>
      <c r="R463">
        <v>106</v>
      </c>
      <c r="S463" t="s">
        <v>95</v>
      </c>
    </row>
    <row r="464" spans="1:19" x14ac:dyDescent="0.2">
      <c r="A464">
        <v>3078106</v>
      </c>
      <c r="B464" s="49">
        <v>46108</v>
      </c>
      <c r="C464" t="s">
        <v>106</v>
      </c>
      <c r="D464" t="s">
        <v>25</v>
      </c>
      <c r="E464">
        <v>1497.6</v>
      </c>
      <c r="F464">
        <v>0</v>
      </c>
      <c r="G464">
        <v>1497.6</v>
      </c>
      <c r="H464">
        <v>10000</v>
      </c>
      <c r="I464">
        <v>100</v>
      </c>
      <c r="J464" t="s">
        <v>634</v>
      </c>
      <c r="K464" t="s">
        <v>635</v>
      </c>
      <c r="L464" t="s">
        <v>814</v>
      </c>
      <c r="M464" t="s">
        <v>814</v>
      </c>
      <c r="N464" t="s">
        <v>109</v>
      </c>
      <c r="O464" t="s">
        <v>815</v>
      </c>
      <c r="P464">
        <v>4967209</v>
      </c>
      <c r="Q464">
        <v>1</v>
      </c>
      <c r="R464">
        <v>106</v>
      </c>
      <c r="S464" t="s">
        <v>95</v>
      </c>
    </row>
    <row r="465" spans="1:19" x14ac:dyDescent="0.2">
      <c r="A465">
        <v>3067980</v>
      </c>
      <c r="B465" s="49">
        <v>46099</v>
      </c>
      <c r="C465" t="s">
        <v>106</v>
      </c>
      <c r="D465" t="s">
        <v>25</v>
      </c>
      <c r="E465">
        <v>6946.56</v>
      </c>
      <c r="F465">
        <v>0</v>
      </c>
      <c r="G465">
        <v>6946.56</v>
      </c>
      <c r="H465">
        <v>10000</v>
      </c>
      <c r="I465">
        <v>100</v>
      </c>
      <c r="J465" t="s">
        <v>634</v>
      </c>
      <c r="K465" t="s">
        <v>635</v>
      </c>
      <c r="L465" t="s">
        <v>632</v>
      </c>
      <c r="M465" t="s">
        <v>636</v>
      </c>
      <c r="N465" t="s">
        <v>109</v>
      </c>
      <c r="O465" t="s">
        <v>605</v>
      </c>
      <c r="P465">
        <v>4958847</v>
      </c>
      <c r="Q465">
        <v>1</v>
      </c>
      <c r="R465">
        <v>106</v>
      </c>
      <c r="S465" t="s">
        <v>95</v>
      </c>
    </row>
    <row r="466" spans="1:19" x14ac:dyDescent="0.2">
      <c r="A466">
        <v>3067893</v>
      </c>
      <c r="B466" s="49">
        <v>46099</v>
      </c>
      <c r="C466" t="s">
        <v>106</v>
      </c>
      <c r="D466" t="s">
        <v>25</v>
      </c>
      <c r="E466">
        <v>150.81</v>
      </c>
      <c r="F466">
        <v>0</v>
      </c>
      <c r="G466">
        <v>150.81</v>
      </c>
      <c r="H466">
        <v>10000</v>
      </c>
      <c r="I466">
        <v>100</v>
      </c>
      <c r="J466" t="s">
        <v>634</v>
      </c>
      <c r="K466" t="s">
        <v>635</v>
      </c>
      <c r="L466" t="s">
        <v>618</v>
      </c>
      <c r="M466" t="s">
        <v>637</v>
      </c>
      <c r="N466" t="s">
        <v>109</v>
      </c>
      <c r="O466" t="s">
        <v>605</v>
      </c>
      <c r="P466">
        <v>4957737</v>
      </c>
      <c r="Q466">
        <v>1</v>
      </c>
      <c r="R466">
        <v>106</v>
      </c>
      <c r="S466" t="s">
        <v>95</v>
      </c>
    </row>
    <row r="467" spans="1:19" x14ac:dyDescent="0.2">
      <c r="A467">
        <v>3067893</v>
      </c>
      <c r="B467" s="49">
        <v>46099</v>
      </c>
      <c r="C467" t="s">
        <v>106</v>
      </c>
      <c r="D467" t="s">
        <v>25</v>
      </c>
      <c r="E467">
        <v>2447.06</v>
      </c>
      <c r="F467">
        <v>0</v>
      </c>
      <c r="G467">
        <v>2447.06</v>
      </c>
      <c r="H467">
        <v>10000</v>
      </c>
      <c r="I467">
        <v>100</v>
      </c>
      <c r="J467" t="s">
        <v>634</v>
      </c>
      <c r="K467" t="s">
        <v>635</v>
      </c>
      <c r="L467" t="s">
        <v>618</v>
      </c>
      <c r="M467" t="s">
        <v>638</v>
      </c>
      <c r="N467" t="s">
        <v>109</v>
      </c>
      <c r="O467" t="s">
        <v>605</v>
      </c>
      <c r="P467">
        <v>4957737</v>
      </c>
      <c r="Q467">
        <v>1</v>
      </c>
      <c r="R467">
        <v>106</v>
      </c>
      <c r="S467" t="s">
        <v>95</v>
      </c>
    </row>
    <row r="468" spans="1:19" x14ac:dyDescent="0.2">
      <c r="A468">
        <v>3067893</v>
      </c>
      <c r="B468" s="49">
        <v>46099</v>
      </c>
      <c r="C468" t="s">
        <v>106</v>
      </c>
      <c r="D468" t="s">
        <v>25</v>
      </c>
      <c r="E468">
        <v>373.79</v>
      </c>
      <c r="F468">
        <v>0</v>
      </c>
      <c r="G468">
        <v>373.79</v>
      </c>
      <c r="H468">
        <v>10000</v>
      </c>
      <c r="I468">
        <v>100</v>
      </c>
      <c r="J468" t="s">
        <v>634</v>
      </c>
      <c r="K468" t="s">
        <v>635</v>
      </c>
      <c r="L468" t="s">
        <v>618</v>
      </c>
      <c r="M468" t="s">
        <v>639</v>
      </c>
      <c r="N468" t="s">
        <v>109</v>
      </c>
      <c r="O468" t="s">
        <v>605</v>
      </c>
      <c r="P468">
        <v>4957737</v>
      </c>
      <c r="Q468">
        <v>1</v>
      </c>
      <c r="R468">
        <v>106</v>
      </c>
      <c r="S468" t="s">
        <v>95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2DD-72EE-4D47-9059-1AB7E8B31023}">
  <sheetPr codeName="Hoja3"/>
  <dimension ref="A2:C545"/>
  <sheetViews>
    <sheetView showGridLines="0" tabSelected="1" zoomScaleNormal="100" workbookViewId="0">
      <selection activeCell="E16" sqref="E16"/>
    </sheetView>
  </sheetViews>
  <sheetFormatPr baseColWidth="10" defaultColWidth="11.42578125" defaultRowHeight="11.25" x14ac:dyDescent="0.2"/>
  <cols>
    <col min="1" max="1" width="17.85546875" style="10" bestFit="1" customWidth="1"/>
    <col min="2" max="2" width="16.28515625" style="48" bestFit="1" customWidth="1"/>
    <col min="3" max="16384" width="11.42578125" style="10"/>
  </cols>
  <sheetData>
    <row r="2" spans="1:3" ht="12.75" x14ac:dyDescent="0.2">
      <c r="A2" s="46" t="s">
        <v>78</v>
      </c>
      <c r="B2" t="s">
        <v>112</v>
      </c>
    </row>
    <row r="3" spans="1:3" ht="12.75" x14ac:dyDescent="0.2">
      <c r="A3" s="46" t="s">
        <v>76</v>
      </c>
      <c r="B3" t="s">
        <v>112</v>
      </c>
    </row>
    <row r="5" spans="1:3" ht="12.75" x14ac:dyDescent="0.2">
      <c r="A5" s="46" t="s">
        <v>1</v>
      </c>
      <c r="B5" t="s">
        <v>108</v>
      </c>
      <c r="C5"/>
    </row>
    <row r="6" spans="1:3" ht="12.75" x14ac:dyDescent="0.2">
      <c r="A6" s="47" t="s">
        <v>559</v>
      </c>
      <c r="B6" s="57">
        <v>9937</v>
      </c>
      <c r="C6" t="s">
        <v>937</v>
      </c>
    </row>
    <row r="7" spans="1:3" ht="12.75" x14ac:dyDescent="0.2">
      <c r="A7" s="47" t="s">
        <v>567</v>
      </c>
      <c r="B7" s="57">
        <v>7100</v>
      </c>
    </row>
    <row r="8" spans="1:3" ht="12.75" x14ac:dyDescent="0.2">
      <c r="A8" s="47" t="s">
        <v>448</v>
      </c>
      <c r="B8" s="57">
        <v>8500</v>
      </c>
      <c r="C8" t="s">
        <v>938</v>
      </c>
    </row>
    <row r="9" spans="1:3" ht="12.75" x14ac:dyDescent="0.2">
      <c r="A9" s="47" t="s">
        <v>474</v>
      </c>
      <c r="B9" s="57">
        <v>11260</v>
      </c>
      <c r="C9" t="s">
        <v>476</v>
      </c>
    </row>
    <row r="10" spans="1:3" ht="12.75" x14ac:dyDescent="0.2">
      <c r="A10" s="47" t="s">
        <v>353</v>
      </c>
      <c r="B10" s="57">
        <v>56326.21</v>
      </c>
      <c r="C10" t="s">
        <v>939</v>
      </c>
    </row>
    <row r="11" spans="1:3" ht="12.75" x14ac:dyDescent="0.2">
      <c r="A11" s="47" t="s">
        <v>486</v>
      </c>
      <c r="B11" s="57">
        <v>18057</v>
      </c>
      <c r="C11" t="s">
        <v>940</v>
      </c>
    </row>
    <row r="12" spans="1:3" ht="12.75" x14ac:dyDescent="0.2">
      <c r="A12" s="47" t="s">
        <v>365</v>
      </c>
      <c r="B12" s="57">
        <v>56504.59</v>
      </c>
      <c r="C12" t="s">
        <v>941</v>
      </c>
    </row>
    <row r="13" spans="1:3" ht="12.75" x14ac:dyDescent="0.2">
      <c r="A13" s="47" t="s">
        <v>2</v>
      </c>
      <c r="B13" s="57">
        <v>167684.79999999999</v>
      </c>
      <c r="C13"/>
    </row>
    <row r="14" spans="1:3" ht="12.75" x14ac:dyDescent="0.2">
      <c r="A14"/>
      <c r="B14"/>
      <c r="C14"/>
    </row>
    <row r="15" spans="1:3" ht="12.75" x14ac:dyDescent="0.2">
      <c r="A15"/>
      <c r="B15"/>
      <c r="C15"/>
    </row>
    <row r="16" spans="1:3" ht="12.75" x14ac:dyDescent="0.2">
      <c r="A16"/>
      <c r="B16"/>
      <c r="C16"/>
    </row>
    <row r="17" spans="1:3" ht="12.75" x14ac:dyDescent="0.2">
      <c r="A17"/>
      <c r="B17"/>
      <c r="C17"/>
    </row>
    <row r="18" spans="1:3" ht="12.75" x14ac:dyDescent="0.2">
      <c r="A18"/>
      <c r="B18"/>
      <c r="C18"/>
    </row>
    <row r="19" spans="1:3" ht="12.75" x14ac:dyDescent="0.2">
      <c r="A19"/>
      <c r="B19"/>
      <c r="C19"/>
    </row>
    <row r="20" spans="1:3" ht="12.75" x14ac:dyDescent="0.2">
      <c r="A20"/>
      <c r="B20"/>
      <c r="C20"/>
    </row>
    <row r="21" spans="1:3" ht="12.75" x14ac:dyDescent="0.2">
      <c r="A21"/>
      <c r="B21"/>
      <c r="C21"/>
    </row>
    <row r="22" spans="1:3" ht="12.75" x14ac:dyDescent="0.2">
      <c r="A22"/>
      <c r="B22"/>
      <c r="C22"/>
    </row>
    <row r="23" spans="1:3" ht="12.75" x14ac:dyDescent="0.2">
      <c r="A23"/>
      <c r="B23"/>
    </row>
    <row r="24" spans="1:3" ht="12.75" x14ac:dyDescent="0.2">
      <c r="A24"/>
      <c r="B24"/>
    </row>
    <row r="25" spans="1:3" ht="12.75" x14ac:dyDescent="0.2">
      <c r="A25"/>
      <c r="B25"/>
    </row>
    <row r="26" spans="1:3" ht="12.75" x14ac:dyDescent="0.2">
      <c r="A26"/>
      <c r="B26"/>
    </row>
    <row r="27" spans="1:3" ht="12.75" x14ac:dyDescent="0.2">
      <c r="A27"/>
      <c r="B27"/>
    </row>
    <row r="28" spans="1:3" ht="12.75" x14ac:dyDescent="0.2">
      <c r="A28"/>
      <c r="B28"/>
    </row>
    <row r="29" spans="1:3" ht="12.75" x14ac:dyDescent="0.2">
      <c r="A29"/>
      <c r="B29"/>
    </row>
    <row r="30" spans="1:3" ht="12.75" x14ac:dyDescent="0.2">
      <c r="A30"/>
      <c r="B30"/>
    </row>
    <row r="31" spans="1:3" ht="12.75" x14ac:dyDescent="0.2">
      <c r="A31"/>
      <c r="B31"/>
    </row>
    <row r="32" spans="1:3" ht="12.75" x14ac:dyDescent="0.2">
      <c r="A32"/>
      <c r="B32"/>
    </row>
    <row r="33" spans="1:2" ht="12.75" x14ac:dyDescent="0.2">
      <c r="A33"/>
      <c r="B33"/>
    </row>
    <row r="34" spans="1:2" ht="12.75" x14ac:dyDescent="0.2">
      <c r="A34"/>
      <c r="B34"/>
    </row>
    <row r="35" spans="1:2" ht="12.75" x14ac:dyDescent="0.2">
      <c r="A35"/>
      <c r="B35"/>
    </row>
    <row r="36" spans="1:2" ht="12.75" x14ac:dyDescent="0.2">
      <c r="A36"/>
      <c r="B36"/>
    </row>
    <row r="37" spans="1:2" ht="12.75" x14ac:dyDescent="0.2">
      <c r="A37"/>
      <c r="B37"/>
    </row>
    <row r="38" spans="1:2" ht="12.75" x14ac:dyDescent="0.2">
      <c r="A38"/>
      <c r="B38"/>
    </row>
    <row r="39" spans="1:2" ht="12.75" x14ac:dyDescent="0.2">
      <c r="A39"/>
      <c r="B39"/>
    </row>
    <row r="40" spans="1:2" ht="12.75" x14ac:dyDescent="0.2">
      <c r="A40"/>
      <c r="B40"/>
    </row>
    <row r="41" spans="1:2" ht="12.75" x14ac:dyDescent="0.2">
      <c r="A41"/>
      <c r="B41"/>
    </row>
    <row r="42" spans="1:2" ht="12.75" x14ac:dyDescent="0.2">
      <c r="A42"/>
      <c r="B42"/>
    </row>
    <row r="43" spans="1:2" ht="12.75" x14ac:dyDescent="0.2">
      <c r="A43"/>
      <c r="B43"/>
    </row>
    <row r="44" spans="1:2" ht="12.75" x14ac:dyDescent="0.2">
      <c r="A44"/>
      <c r="B44"/>
    </row>
    <row r="45" spans="1:2" ht="12.75" x14ac:dyDescent="0.2">
      <c r="A45"/>
      <c r="B45"/>
    </row>
    <row r="46" spans="1:2" ht="12.75" x14ac:dyDescent="0.2">
      <c r="A46"/>
      <c r="B46"/>
    </row>
    <row r="47" spans="1:2" ht="12.75" x14ac:dyDescent="0.2">
      <c r="A47"/>
      <c r="B47"/>
    </row>
    <row r="48" spans="1:2" ht="12.75" x14ac:dyDescent="0.2">
      <c r="A48"/>
      <c r="B48"/>
    </row>
    <row r="49" spans="1:2" ht="12.75" x14ac:dyDescent="0.2">
      <c r="A49"/>
      <c r="B49"/>
    </row>
    <row r="50" spans="1:2" ht="12.75" x14ac:dyDescent="0.2">
      <c r="A50"/>
      <c r="B50"/>
    </row>
    <row r="51" spans="1:2" ht="12.75" x14ac:dyDescent="0.2">
      <c r="A51"/>
      <c r="B51"/>
    </row>
    <row r="52" spans="1:2" ht="12.75" x14ac:dyDescent="0.2">
      <c r="A52"/>
      <c r="B52"/>
    </row>
    <row r="53" spans="1:2" ht="12.75" x14ac:dyDescent="0.2">
      <c r="A53"/>
      <c r="B53"/>
    </row>
    <row r="54" spans="1:2" ht="12.75" x14ac:dyDescent="0.2">
      <c r="A54"/>
      <c r="B54"/>
    </row>
    <row r="55" spans="1:2" ht="12.75" x14ac:dyDescent="0.2">
      <c r="A55"/>
      <c r="B55"/>
    </row>
    <row r="56" spans="1:2" ht="12.75" x14ac:dyDescent="0.2">
      <c r="A56"/>
      <c r="B56"/>
    </row>
    <row r="57" spans="1:2" ht="12.75" x14ac:dyDescent="0.2">
      <c r="A57"/>
      <c r="B57"/>
    </row>
    <row r="58" spans="1:2" ht="12.75" x14ac:dyDescent="0.2">
      <c r="A58"/>
      <c r="B58"/>
    </row>
    <row r="59" spans="1:2" ht="12.75" x14ac:dyDescent="0.2">
      <c r="A59"/>
      <c r="B59"/>
    </row>
    <row r="60" spans="1:2" ht="12.75" x14ac:dyDescent="0.2">
      <c r="A60"/>
      <c r="B60"/>
    </row>
    <row r="61" spans="1:2" ht="12.75" x14ac:dyDescent="0.2">
      <c r="A61"/>
      <c r="B61"/>
    </row>
    <row r="62" spans="1:2" ht="12.75" x14ac:dyDescent="0.2">
      <c r="A62"/>
      <c r="B62"/>
    </row>
    <row r="63" spans="1:2" ht="12.75" x14ac:dyDescent="0.2">
      <c r="A63"/>
      <c r="B63"/>
    </row>
    <row r="64" spans="1:2" ht="12.75" x14ac:dyDescent="0.2">
      <c r="A64"/>
      <c r="B64"/>
    </row>
    <row r="65" spans="1:2" ht="12.75" x14ac:dyDescent="0.2">
      <c r="A65"/>
      <c r="B65"/>
    </row>
    <row r="66" spans="1:2" ht="12.75" x14ac:dyDescent="0.2">
      <c r="A66"/>
      <c r="B66"/>
    </row>
    <row r="67" spans="1:2" ht="12.75" x14ac:dyDescent="0.2">
      <c r="A67"/>
      <c r="B67"/>
    </row>
    <row r="68" spans="1:2" ht="12.75" x14ac:dyDescent="0.2">
      <c r="A68"/>
      <c r="B68"/>
    </row>
    <row r="69" spans="1:2" ht="12.75" x14ac:dyDescent="0.2">
      <c r="A69"/>
      <c r="B69"/>
    </row>
    <row r="70" spans="1:2" ht="12.75" x14ac:dyDescent="0.2">
      <c r="A70"/>
      <c r="B70"/>
    </row>
    <row r="71" spans="1:2" ht="12.75" x14ac:dyDescent="0.2">
      <c r="A71"/>
      <c r="B71"/>
    </row>
    <row r="72" spans="1:2" ht="12.75" x14ac:dyDescent="0.2">
      <c r="A72"/>
      <c r="B72"/>
    </row>
    <row r="73" spans="1:2" ht="12.75" x14ac:dyDescent="0.2">
      <c r="A73"/>
      <c r="B73"/>
    </row>
    <row r="74" spans="1:2" ht="12.75" x14ac:dyDescent="0.2">
      <c r="A74"/>
      <c r="B74"/>
    </row>
    <row r="75" spans="1:2" ht="12.75" x14ac:dyDescent="0.2">
      <c r="A75"/>
      <c r="B75"/>
    </row>
    <row r="76" spans="1:2" ht="12.75" x14ac:dyDescent="0.2">
      <c r="A76"/>
      <c r="B76"/>
    </row>
    <row r="77" spans="1:2" ht="12.75" x14ac:dyDescent="0.2">
      <c r="A77"/>
      <c r="B77"/>
    </row>
    <row r="78" spans="1:2" ht="12.75" x14ac:dyDescent="0.2">
      <c r="A78"/>
      <c r="B78"/>
    </row>
    <row r="79" spans="1:2" ht="12.75" x14ac:dyDescent="0.2">
      <c r="A79"/>
      <c r="B79"/>
    </row>
    <row r="80" spans="1:2" ht="12.75" x14ac:dyDescent="0.2">
      <c r="A80"/>
      <c r="B80"/>
    </row>
    <row r="81" spans="1:2" ht="12.75" x14ac:dyDescent="0.2">
      <c r="A81"/>
      <c r="B81"/>
    </row>
    <row r="82" spans="1:2" ht="12.75" x14ac:dyDescent="0.2">
      <c r="A82"/>
      <c r="B82"/>
    </row>
    <row r="83" spans="1:2" ht="12.75" x14ac:dyDescent="0.2">
      <c r="A83"/>
      <c r="B83"/>
    </row>
    <row r="84" spans="1:2" ht="12.75" x14ac:dyDescent="0.2">
      <c r="A84"/>
      <c r="B84"/>
    </row>
    <row r="85" spans="1:2" ht="12.75" x14ac:dyDescent="0.2">
      <c r="A85"/>
      <c r="B85"/>
    </row>
    <row r="86" spans="1:2" ht="12.75" x14ac:dyDescent="0.2">
      <c r="A86"/>
      <c r="B86"/>
    </row>
    <row r="87" spans="1:2" ht="12.75" x14ac:dyDescent="0.2">
      <c r="A87"/>
      <c r="B87"/>
    </row>
    <row r="88" spans="1:2" ht="12.75" x14ac:dyDescent="0.2">
      <c r="A88"/>
      <c r="B88"/>
    </row>
    <row r="89" spans="1:2" ht="12.75" x14ac:dyDescent="0.2">
      <c r="A89"/>
      <c r="B89"/>
    </row>
    <row r="90" spans="1:2" ht="12.75" x14ac:dyDescent="0.2">
      <c r="A90"/>
      <c r="B90"/>
    </row>
    <row r="91" spans="1:2" ht="12.75" x14ac:dyDescent="0.2">
      <c r="A91"/>
      <c r="B91"/>
    </row>
    <row r="92" spans="1:2" ht="12.75" x14ac:dyDescent="0.2">
      <c r="A92"/>
      <c r="B92"/>
    </row>
    <row r="93" spans="1:2" ht="12.75" x14ac:dyDescent="0.2">
      <c r="A93"/>
      <c r="B93"/>
    </row>
    <row r="94" spans="1:2" ht="12.75" x14ac:dyDescent="0.2">
      <c r="A94"/>
      <c r="B94"/>
    </row>
    <row r="95" spans="1:2" ht="12.75" x14ac:dyDescent="0.2">
      <c r="A95"/>
      <c r="B95"/>
    </row>
    <row r="96" spans="1:2" ht="12.75" x14ac:dyDescent="0.2">
      <c r="A96"/>
      <c r="B96"/>
    </row>
    <row r="97" spans="1:2" ht="12.75" x14ac:dyDescent="0.2">
      <c r="A97"/>
      <c r="B97"/>
    </row>
    <row r="98" spans="1:2" ht="12.75" x14ac:dyDescent="0.2">
      <c r="A98"/>
      <c r="B98"/>
    </row>
    <row r="99" spans="1:2" ht="12.75" x14ac:dyDescent="0.2">
      <c r="A99"/>
      <c r="B99"/>
    </row>
    <row r="100" spans="1:2" ht="12.75" x14ac:dyDescent="0.2">
      <c r="A100"/>
      <c r="B100"/>
    </row>
    <row r="101" spans="1:2" ht="12.75" x14ac:dyDescent="0.2">
      <c r="A101"/>
      <c r="B101"/>
    </row>
    <row r="102" spans="1:2" ht="12.75" x14ac:dyDescent="0.2">
      <c r="A102"/>
      <c r="B102"/>
    </row>
    <row r="103" spans="1:2" ht="12.75" x14ac:dyDescent="0.2">
      <c r="A103"/>
      <c r="B103"/>
    </row>
    <row r="104" spans="1:2" ht="12.75" x14ac:dyDescent="0.2">
      <c r="A104"/>
      <c r="B104"/>
    </row>
    <row r="105" spans="1:2" ht="12.75" x14ac:dyDescent="0.2">
      <c r="A105"/>
      <c r="B105"/>
    </row>
    <row r="106" spans="1:2" ht="12.75" x14ac:dyDescent="0.2">
      <c r="A106"/>
      <c r="B106"/>
    </row>
    <row r="107" spans="1:2" ht="12.75" x14ac:dyDescent="0.2">
      <c r="A107"/>
      <c r="B107"/>
    </row>
    <row r="108" spans="1:2" ht="12.75" x14ac:dyDescent="0.2">
      <c r="A108"/>
      <c r="B108"/>
    </row>
    <row r="109" spans="1:2" ht="12.75" x14ac:dyDescent="0.2">
      <c r="A109"/>
      <c r="B109"/>
    </row>
    <row r="110" spans="1:2" ht="12.75" x14ac:dyDescent="0.2">
      <c r="A110"/>
      <c r="B110"/>
    </row>
    <row r="111" spans="1:2" ht="12.75" x14ac:dyDescent="0.2">
      <c r="A111"/>
      <c r="B111"/>
    </row>
    <row r="112" spans="1:2" ht="12.75" x14ac:dyDescent="0.2">
      <c r="A112"/>
      <c r="B112"/>
    </row>
    <row r="113" spans="1:2" ht="12.75" x14ac:dyDescent="0.2">
      <c r="A113"/>
      <c r="B113"/>
    </row>
    <row r="114" spans="1:2" ht="12.75" x14ac:dyDescent="0.2">
      <c r="A114"/>
      <c r="B114"/>
    </row>
    <row r="115" spans="1:2" ht="12.75" x14ac:dyDescent="0.2">
      <c r="A115"/>
      <c r="B115"/>
    </row>
    <row r="116" spans="1:2" ht="12.75" x14ac:dyDescent="0.2">
      <c r="A116"/>
      <c r="B116"/>
    </row>
    <row r="117" spans="1:2" ht="12.75" x14ac:dyDescent="0.2">
      <c r="A117"/>
      <c r="B117"/>
    </row>
    <row r="118" spans="1:2" ht="12.75" x14ac:dyDescent="0.2">
      <c r="A118"/>
      <c r="B118"/>
    </row>
    <row r="119" spans="1:2" ht="12.75" x14ac:dyDescent="0.2">
      <c r="A119"/>
      <c r="B119"/>
    </row>
    <row r="120" spans="1:2" ht="12.75" x14ac:dyDescent="0.2">
      <c r="A120"/>
      <c r="B120"/>
    </row>
    <row r="121" spans="1:2" ht="12.75" x14ac:dyDescent="0.2">
      <c r="A121"/>
      <c r="B121"/>
    </row>
    <row r="122" spans="1:2" ht="12.75" x14ac:dyDescent="0.2">
      <c r="A122"/>
      <c r="B122"/>
    </row>
    <row r="123" spans="1:2" ht="12.75" x14ac:dyDescent="0.2">
      <c r="A123"/>
      <c r="B123"/>
    </row>
    <row r="124" spans="1:2" ht="12.75" x14ac:dyDescent="0.2">
      <c r="A124"/>
      <c r="B124"/>
    </row>
    <row r="125" spans="1:2" ht="12.75" x14ac:dyDescent="0.2">
      <c r="A125"/>
      <c r="B125"/>
    </row>
    <row r="126" spans="1:2" ht="12.75" x14ac:dyDescent="0.2">
      <c r="A126"/>
      <c r="B126"/>
    </row>
    <row r="127" spans="1:2" ht="12.75" x14ac:dyDescent="0.2">
      <c r="A127"/>
      <c r="B127"/>
    </row>
    <row r="128" spans="1:2" ht="12.75" x14ac:dyDescent="0.2">
      <c r="A128"/>
      <c r="B128"/>
    </row>
    <row r="129" spans="1:2" ht="12.75" x14ac:dyDescent="0.2">
      <c r="A129"/>
      <c r="B129"/>
    </row>
    <row r="130" spans="1:2" ht="12.75" x14ac:dyDescent="0.2">
      <c r="A130"/>
      <c r="B130"/>
    </row>
    <row r="131" spans="1:2" ht="12.75" x14ac:dyDescent="0.2">
      <c r="A131"/>
      <c r="B131"/>
    </row>
    <row r="132" spans="1:2" ht="12.75" x14ac:dyDescent="0.2">
      <c r="A132"/>
      <c r="B132"/>
    </row>
    <row r="133" spans="1:2" ht="12.75" x14ac:dyDescent="0.2">
      <c r="A133"/>
      <c r="B133"/>
    </row>
    <row r="134" spans="1:2" ht="12.75" x14ac:dyDescent="0.2">
      <c r="A134"/>
      <c r="B134"/>
    </row>
    <row r="135" spans="1:2" ht="12.75" x14ac:dyDescent="0.2">
      <c r="A135"/>
      <c r="B135"/>
    </row>
    <row r="136" spans="1:2" ht="12.75" x14ac:dyDescent="0.2">
      <c r="A136"/>
      <c r="B136"/>
    </row>
    <row r="137" spans="1:2" ht="12.75" x14ac:dyDescent="0.2">
      <c r="A137"/>
      <c r="B137"/>
    </row>
    <row r="138" spans="1:2" ht="12.75" x14ac:dyDescent="0.2">
      <c r="A138"/>
      <c r="B138"/>
    </row>
    <row r="139" spans="1:2" ht="12.75" x14ac:dyDescent="0.2">
      <c r="A139"/>
      <c r="B139"/>
    </row>
    <row r="140" spans="1:2" ht="12.75" x14ac:dyDescent="0.2">
      <c r="A140"/>
      <c r="B140"/>
    </row>
    <row r="141" spans="1:2" ht="12.75" x14ac:dyDescent="0.2">
      <c r="A141"/>
      <c r="B141"/>
    </row>
    <row r="142" spans="1:2" ht="12.75" x14ac:dyDescent="0.2">
      <c r="A142"/>
      <c r="B142"/>
    </row>
    <row r="143" spans="1:2" ht="12.75" x14ac:dyDescent="0.2">
      <c r="A143"/>
      <c r="B143"/>
    </row>
    <row r="144" spans="1:2" ht="12.75" x14ac:dyDescent="0.2">
      <c r="A144"/>
      <c r="B144"/>
    </row>
    <row r="145" spans="1:2" ht="12.75" x14ac:dyDescent="0.2">
      <c r="A145"/>
      <c r="B145"/>
    </row>
    <row r="146" spans="1:2" ht="12.75" x14ac:dyDescent="0.2">
      <c r="A146"/>
      <c r="B146"/>
    </row>
    <row r="147" spans="1:2" ht="12.75" x14ac:dyDescent="0.2">
      <c r="A147"/>
      <c r="B147"/>
    </row>
    <row r="148" spans="1:2" ht="12.75" x14ac:dyDescent="0.2">
      <c r="A148"/>
      <c r="B148"/>
    </row>
    <row r="149" spans="1:2" ht="12.75" x14ac:dyDescent="0.2">
      <c r="A149"/>
      <c r="B149"/>
    </row>
    <row r="150" spans="1:2" ht="12.75" x14ac:dyDescent="0.2">
      <c r="A150"/>
      <c r="B150"/>
    </row>
    <row r="151" spans="1:2" ht="12.75" x14ac:dyDescent="0.2">
      <c r="A151"/>
      <c r="B151"/>
    </row>
    <row r="152" spans="1:2" ht="12.75" x14ac:dyDescent="0.2">
      <c r="A152"/>
      <c r="B152"/>
    </row>
    <row r="153" spans="1:2" ht="12.75" x14ac:dyDescent="0.2">
      <c r="A153"/>
      <c r="B153"/>
    </row>
    <row r="154" spans="1:2" ht="12.75" x14ac:dyDescent="0.2">
      <c r="A154"/>
      <c r="B154"/>
    </row>
    <row r="155" spans="1:2" ht="12.75" x14ac:dyDescent="0.2">
      <c r="A155"/>
      <c r="B155"/>
    </row>
    <row r="156" spans="1:2" ht="12.75" x14ac:dyDescent="0.2">
      <c r="A156"/>
      <c r="B156"/>
    </row>
    <row r="157" spans="1:2" ht="12.75" x14ac:dyDescent="0.2">
      <c r="A157"/>
      <c r="B157"/>
    </row>
    <row r="158" spans="1:2" ht="12.75" x14ac:dyDescent="0.2">
      <c r="A158"/>
      <c r="B158"/>
    </row>
    <row r="159" spans="1:2" ht="12.75" x14ac:dyDescent="0.2">
      <c r="A159"/>
      <c r="B159"/>
    </row>
    <row r="160" spans="1:2" ht="12.75" x14ac:dyDescent="0.2">
      <c r="A160"/>
      <c r="B160"/>
    </row>
    <row r="161" spans="1:2" ht="12.75" x14ac:dyDescent="0.2">
      <c r="A161"/>
      <c r="B161"/>
    </row>
    <row r="162" spans="1:2" ht="12.75" x14ac:dyDescent="0.2">
      <c r="A162"/>
      <c r="B162"/>
    </row>
    <row r="163" spans="1:2" ht="12.75" x14ac:dyDescent="0.2">
      <c r="A163"/>
      <c r="B163"/>
    </row>
    <row r="164" spans="1:2" ht="12.75" x14ac:dyDescent="0.2">
      <c r="A164"/>
      <c r="B164"/>
    </row>
    <row r="165" spans="1:2" ht="12.75" x14ac:dyDescent="0.2">
      <c r="A165"/>
      <c r="B165"/>
    </row>
    <row r="166" spans="1:2" ht="12.75" x14ac:dyDescent="0.2">
      <c r="A166"/>
      <c r="B166"/>
    </row>
    <row r="167" spans="1:2" ht="12.75" x14ac:dyDescent="0.2">
      <c r="A167"/>
      <c r="B167"/>
    </row>
    <row r="168" spans="1:2" ht="12.75" x14ac:dyDescent="0.2">
      <c r="A168"/>
      <c r="B168"/>
    </row>
    <row r="169" spans="1:2" ht="12.75" x14ac:dyDescent="0.2">
      <c r="A169"/>
      <c r="B169"/>
    </row>
    <row r="170" spans="1:2" ht="12.75" x14ac:dyDescent="0.2">
      <c r="A170"/>
      <c r="B170"/>
    </row>
    <row r="171" spans="1:2" ht="12.75" x14ac:dyDescent="0.2">
      <c r="A171"/>
      <c r="B171"/>
    </row>
    <row r="172" spans="1:2" ht="12.75" x14ac:dyDescent="0.2">
      <c r="A172"/>
      <c r="B172"/>
    </row>
    <row r="173" spans="1:2" ht="12.75" x14ac:dyDescent="0.2">
      <c r="A173"/>
      <c r="B173"/>
    </row>
    <row r="174" spans="1:2" ht="12.75" x14ac:dyDescent="0.2">
      <c r="A174"/>
      <c r="B174"/>
    </row>
    <row r="175" spans="1:2" ht="12.75" x14ac:dyDescent="0.2">
      <c r="A175"/>
      <c r="B175"/>
    </row>
    <row r="176" spans="1:2" ht="12.75" x14ac:dyDescent="0.2">
      <c r="A176"/>
      <c r="B176"/>
    </row>
    <row r="177" spans="1:2" ht="12.75" x14ac:dyDescent="0.2">
      <c r="A177"/>
      <c r="B177"/>
    </row>
    <row r="178" spans="1:2" ht="12.75" x14ac:dyDescent="0.2">
      <c r="A178"/>
      <c r="B178"/>
    </row>
    <row r="179" spans="1:2" ht="12.75" x14ac:dyDescent="0.2">
      <c r="A179"/>
      <c r="B179"/>
    </row>
    <row r="180" spans="1:2" ht="12.75" x14ac:dyDescent="0.2">
      <c r="A180"/>
      <c r="B180"/>
    </row>
    <row r="181" spans="1:2" ht="12.75" x14ac:dyDescent="0.2">
      <c r="A181"/>
      <c r="B181"/>
    </row>
    <row r="182" spans="1:2" ht="12.75" x14ac:dyDescent="0.2">
      <c r="A182"/>
      <c r="B182"/>
    </row>
    <row r="183" spans="1:2" ht="12.75" x14ac:dyDescent="0.2">
      <c r="A183"/>
      <c r="B183"/>
    </row>
    <row r="184" spans="1:2" ht="12.75" x14ac:dyDescent="0.2">
      <c r="A184"/>
      <c r="B184"/>
    </row>
    <row r="185" spans="1:2" ht="12.75" x14ac:dyDescent="0.2">
      <c r="A185"/>
      <c r="B185"/>
    </row>
    <row r="186" spans="1:2" ht="12.75" x14ac:dyDescent="0.2">
      <c r="A186"/>
      <c r="B186"/>
    </row>
    <row r="187" spans="1:2" ht="12.75" x14ac:dyDescent="0.2">
      <c r="A187"/>
      <c r="B187"/>
    </row>
    <row r="188" spans="1:2" ht="12.75" x14ac:dyDescent="0.2">
      <c r="A188"/>
      <c r="B188"/>
    </row>
    <row r="189" spans="1:2" ht="12.75" x14ac:dyDescent="0.2">
      <c r="A189"/>
      <c r="B189"/>
    </row>
    <row r="190" spans="1:2" ht="12.75" x14ac:dyDescent="0.2">
      <c r="A190"/>
      <c r="B190"/>
    </row>
    <row r="191" spans="1:2" ht="12.75" x14ac:dyDescent="0.2">
      <c r="A191"/>
      <c r="B191"/>
    </row>
    <row r="192" spans="1:2" ht="12.75" x14ac:dyDescent="0.2">
      <c r="A192"/>
      <c r="B192"/>
    </row>
    <row r="193" spans="1:2" ht="12.75" x14ac:dyDescent="0.2">
      <c r="A193"/>
      <c r="B193"/>
    </row>
    <row r="194" spans="1:2" ht="12.75" x14ac:dyDescent="0.2">
      <c r="A194"/>
      <c r="B194"/>
    </row>
    <row r="195" spans="1:2" ht="12.75" x14ac:dyDescent="0.2">
      <c r="A195"/>
      <c r="B195"/>
    </row>
    <row r="196" spans="1:2" ht="12.75" x14ac:dyDescent="0.2">
      <c r="A196"/>
      <c r="B196"/>
    </row>
    <row r="197" spans="1:2" ht="12.75" x14ac:dyDescent="0.2">
      <c r="A197"/>
      <c r="B197"/>
    </row>
    <row r="198" spans="1:2" ht="12.75" x14ac:dyDescent="0.2">
      <c r="A198"/>
      <c r="B198"/>
    </row>
    <row r="199" spans="1:2" ht="12.75" x14ac:dyDescent="0.2">
      <c r="A199"/>
      <c r="B199"/>
    </row>
    <row r="200" spans="1:2" ht="12.75" x14ac:dyDescent="0.2">
      <c r="A200"/>
      <c r="B200"/>
    </row>
    <row r="201" spans="1:2" ht="12.75" x14ac:dyDescent="0.2">
      <c r="A201"/>
      <c r="B201"/>
    </row>
    <row r="202" spans="1:2" ht="12.75" x14ac:dyDescent="0.2">
      <c r="A202"/>
      <c r="B202"/>
    </row>
    <row r="203" spans="1:2" ht="12.75" x14ac:dyDescent="0.2">
      <c r="A203"/>
      <c r="B203"/>
    </row>
    <row r="204" spans="1:2" ht="12.75" x14ac:dyDescent="0.2">
      <c r="A204"/>
      <c r="B204"/>
    </row>
    <row r="205" spans="1:2" ht="12.75" x14ac:dyDescent="0.2">
      <c r="A205"/>
      <c r="B205"/>
    </row>
    <row r="206" spans="1:2" ht="12.75" x14ac:dyDescent="0.2">
      <c r="A206"/>
      <c r="B206"/>
    </row>
    <row r="207" spans="1:2" ht="12.75" x14ac:dyDescent="0.2">
      <c r="A207"/>
      <c r="B207"/>
    </row>
    <row r="208" spans="1:2" ht="12.75" x14ac:dyDescent="0.2">
      <c r="A208"/>
      <c r="B208"/>
    </row>
    <row r="209" spans="1:2" ht="12.75" x14ac:dyDescent="0.2">
      <c r="A209"/>
      <c r="B209"/>
    </row>
    <row r="210" spans="1:2" ht="12.75" x14ac:dyDescent="0.2">
      <c r="A210"/>
      <c r="B210"/>
    </row>
    <row r="211" spans="1:2" ht="12.75" x14ac:dyDescent="0.2">
      <c r="A211"/>
      <c r="B211"/>
    </row>
    <row r="212" spans="1:2" ht="12.75" x14ac:dyDescent="0.2">
      <c r="A212"/>
      <c r="B212"/>
    </row>
    <row r="213" spans="1:2" ht="12.75" x14ac:dyDescent="0.2">
      <c r="A213"/>
      <c r="B213"/>
    </row>
    <row r="214" spans="1:2" ht="12.75" x14ac:dyDescent="0.2">
      <c r="A214"/>
      <c r="B214"/>
    </row>
    <row r="215" spans="1:2" ht="12.75" x14ac:dyDescent="0.2">
      <c r="A215"/>
      <c r="B215"/>
    </row>
    <row r="216" spans="1:2" ht="12.75" x14ac:dyDescent="0.2">
      <c r="A216"/>
      <c r="B216"/>
    </row>
    <row r="217" spans="1:2" ht="12.75" x14ac:dyDescent="0.2">
      <c r="A217"/>
      <c r="B217"/>
    </row>
    <row r="218" spans="1:2" ht="12.75" x14ac:dyDescent="0.2">
      <c r="A218"/>
      <c r="B218"/>
    </row>
    <row r="219" spans="1:2" ht="12.75" x14ac:dyDescent="0.2">
      <c r="A219"/>
      <c r="B219"/>
    </row>
    <row r="220" spans="1:2" ht="12.75" x14ac:dyDescent="0.2">
      <c r="A220"/>
      <c r="B220"/>
    </row>
    <row r="221" spans="1:2" ht="12.75" x14ac:dyDescent="0.2">
      <c r="A221"/>
      <c r="B221"/>
    </row>
    <row r="222" spans="1:2" ht="12.75" x14ac:dyDescent="0.2">
      <c r="A222"/>
      <c r="B222"/>
    </row>
    <row r="223" spans="1:2" ht="12.75" x14ac:dyDescent="0.2">
      <c r="A223"/>
      <c r="B223"/>
    </row>
    <row r="224" spans="1:2" ht="12.75" x14ac:dyDescent="0.2">
      <c r="A224"/>
      <c r="B224"/>
    </row>
    <row r="225" spans="1:2" ht="12.75" x14ac:dyDescent="0.2">
      <c r="A225"/>
      <c r="B225"/>
    </row>
    <row r="226" spans="1:2" ht="12.75" x14ac:dyDescent="0.2">
      <c r="A226"/>
      <c r="B226"/>
    </row>
    <row r="227" spans="1:2" ht="12.75" x14ac:dyDescent="0.2">
      <c r="A227"/>
      <c r="B227"/>
    </row>
    <row r="228" spans="1:2" ht="12.75" x14ac:dyDescent="0.2">
      <c r="A228"/>
      <c r="B228"/>
    </row>
    <row r="229" spans="1:2" ht="12.75" x14ac:dyDescent="0.2">
      <c r="A229"/>
      <c r="B229"/>
    </row>
    <row r="230" spans="1:2" ht="12.75" x14ac:dyDescent="0.2">
      <c r="A230"/>
      <c r="B230"/>
    </row>
    <row r="231" spans="1:2" ht="12.75" x14ac:dyDescent="0.2">
      <c r="A231"/>
      <c r="B231"/>
    </row>
    <row r="232" spans="1:2" ht="12.75" x14ac:dyDescent="0.2">
      <c r="A232"/>
      <c r="B232"/>
    </row>
    <row r="233" spans="1:2" ht="12.75" x14ac:dyDescent="0.2">
      <c r="A233"/>
      <c r="B233"/>
    </row>
    <row r="234" spans="1:2" ht="12.75" x14ac:dyDescent="0.2">
      <c r="A234"/>
      <c r="B234"/>
    </row>
    <row r="235" spans="1:2" ht="12.75" x14ac:dyDescent="0.2">
      <c r="A235"/>
      <c r="B235"/>
    </row>
    <row r="236" spans="1:2" ht="12.75" x14ac:dyDescent="0.2">
      <c r="A236"/>
      <c r="B236"/>
    </row>
    <row r="237" spans="1:2" ht="12.75" x14ac:dyDescent="0.2">
      <c r="A237"/>
      <c r="B237"/>
    </row>
    <row r="238" spans="1:2" ht="12.75" x14ac:dyDescent="0.2">
      <c r="A238"/>
      <c r="B238"/>
    </row>
    <row r="239" spans="1:2" ht="12.75" x14ac:dyDescent="0.2">
      <c r="A239"/>
      <c r="B239"/>
    </row>
    <row r="240" spans="1:2" ht="12.75" x14ac:dyDescent="0.2">
      <c r="A240"/>
      <c r="B240"/>
    </row>
    <row r="241" spans="1:2" ht="12.75" x14ac:dyDescent="0.2">
      <c r="A241"/>
      <c r="B241"/>
    </row>
    <row r="242" spans="1:2" ht="12.75" x14ac:dyDescent="0.2">
      <c r="A242"/>
      <c r="B242"/>
    </row>
    <row r="243" spans="1:2" ht="12.75" x14ac:dyDescent="0.2">
      <c r="A243"/>
      <c r="B243"/>
    </row>
    <row r="244" spans="1:2" ht="12.75" x14ac:dyDescent="0.2">
      <c r="A244"/>
      <c r="B244"/>
    </row>
    <row r="245" spans="1:2" ht="12.75" x14ac:dyDescent="0.2">
      <c r="A245"/>
      <c r="B245"/>
    </row>
    <row r="246" spans="1:2" ht="12.75" x14ac:dyDescent="0.2">
      <c r="A246"/>
      <c r="B246"/>
    </row>
    <row r="247" spans="1:2" ht="12.75" x14ac:dyDescent="0.2">
      <c r="A247"/>
      <c r="B247"/>
    </row>
    <row r="248" spans="1:2" ht="12.75" x14ac:dyDescent="0.2">
      <c r="A248"/>
      <c r="B248"/>
    </row>
    <row r="249" spans="1:2" ht="12.75" x14ac:dyDescent="0.2">
      <c r="A249"/>
      <c r="B249"/>
    </row>
    <row r="250" spans="1:2" ht="12.75" x14ac:dyDescent="0.2">
      <c r="A250"/>
      <c r="B250"/>
    </row>
    <row r="251" spans="1:2" ht="12.75" x14ac:dyDescent="0.2">
      <c r="A251"/>
      <c r="B251"/>
    </row>
    <row r="252" spans="1:2" ht="12.75" x14ac:dyDescent="0.2">
      <c r="A252"/>
      <c r="B252"/>
    </row>
    <row r="253" spans="1:2" ht="12.75" x14ac:dyDescent="0.2">
      <c r="A253"/>
      <c r="B253"/>
    </row>
    <row r="254" spans="1:2" ht="12.75" x14ac:dyDescent="0.2">
      <c r="A254"/>
      <c r="B254"/>
    </row>
    <row r="255" spans="1:2" ht="12.75" x14ac:dyDescent="0.2">
      <c r="A255"/>
      <c r="B255"/>
    </row>
    <row r="256" spans="1:2" ht="12.75" x14ac:dyDescent="0.2">
      <c r="A256"/>
      <c r="B256"/>
    </row>
    <row r="257" spans="1:2" ht="12.75" x14ac:dyDescent="0.2">
      <c r="A257"/>
      <c r="B257" s="45"/>
    </row>
    <row r="258" spans="1:2" ht="12.75" x14ac:dyDescent="0.2">
      <c r="A258"/>
      <c r="B258" s="45"/>
    </row>
    <row r="259" spans="1:2" ht="12.75" x14ac:dyDescent="0.2">
      <c r="A259"/>
      <c r="B259" s="45"/>
    </row>
    <row r="260" spans="1:2" ht="12.75" x14ac:dyDescent="0.2">
      <c r="A260"/>
      <c r="B260" s="45"/>
    </row>
    <row r="261" spans="1:2" ht="12.75" x14ac:dyDescent="0.2">
      <c r="A261"/>
      <c r="B261" s="45"/>
    </row>
    <row r="262" spans="1:2" ht="12.75" x14ac:dyDescent="0.2">
      <c r="A262"/>
      <c r="B262" s="45"/>
    </row>
    <row r="263" spans="1:2" ht="12.75" x14ac:dyDescent="0.2">
      <c r="A263"/>
      <c r="B263" s="45"/>
    </row>
    <row r="264" spans="1:2" ht="12.75" x14ac:dyDescent="0.2">
      <c r="A264"/>
      <c r="B264" s="45"/>
    </row>
    <row r="265" spans="1:2" ht="12.75" x14ac:dyDescent="0.2">
      <c r="A265"/>
      <c r="B265" s="45"/>
    </row>
    <row r="266" spans="1:2" ht="12.75" x14ac:dyDescent="0.2">
      <c r="A266"/>
      <c r="B266" s="45"/>
    </row>
    <row r="267" spans="1:2" ht="12.75" x14ac:dyDescent="0.2">
      <c r="A267"/>
      <c r="B267" s="45"/>
    </row>
    <row r="268" spans="1:2" ht="12.75" x14ac:dyDescent="0.2">
      <c r="A268"/>
      <c r="B268" s="45"/>
    </row>
    <row r="269" spans="1:2" ht="12.75" x14ac:dyDescent="0.2">
      <c r="A269"/>
      <c r="B269" s="45"/>
    </row>
    <row r="270" spans="1:2" ht="12.75" x14ac:dyDescent="0.2">
      <c r="A270"/>
      <c r="B270" s="45"/>
    </row>
    <row r="271" spans="1:2" ht="12.75" x14ac:dyDescent="0.2">
      <c r="A271"/>
      <c r="B271" s="45"/>
    </row>
    <row r="272" spans="1:2" ht="12.75" x14ac:dyDescent="0.2">
      <c r="A272"/>
      <c r="B272" s="45"/>
    </row>
    <row r="273" spans="1:2" ht="12.75" x14ac:dyDescent="0.2">
      <c r="A273"/>
      <c r="B273" s="45"/>
    </row>
    <row r="274" spans="1:2" ht="12.75" x14ac:dyDescent="0.2">
      <c r="A274"/>
      <c r="B274" s="45"/>
    </row>
    <row r="275" spans="1:2" ht="12.75" x14ac:dyDescent="0.2">
      <c r="A275"/>
      <c r="B275" s="45"/>
    </row>
    <row r="276" spans="1:2" ht="12.75" x14ac:dyDescent="0.2">
      <c r="A276"/>
      <c r="B276" s="45"/>
    </row>
    <row r="277" spans="1:2" ht="12.75" x14ac:dyDescent="0.2">
      <c r="A277"/>
      <c r="B277" s="45"/>
    </row>
    <row r="278" spans="1:2" ht="12.75" x14ac:dyDescent="0.2">
      <c r="A278"/>
      <c r="B278" s="45"/>
    </row>
    <row r="279" spans="1:2" ht="12.75" x14ac:dyDescent="0.2">
      <c r="A279"/>
      <c r="B279" s="45"/>
    </row>
    <row r="280" spans="1:2" ht="12.75" x14ac:dyDescent="0.2">
      <c r="A280"/>
      <c r="B280" s="45"/>
    </row>
    <row r="281" spans="1:2" ht="12.75" x14ac:dyDescent="0.2">
      <c r="A281"/>
      <c r="B281" s="45"/>
    </row>
    <row r="282" spans="1:2" ht="12.75" x14ac:dyDescent="0.2">
      <c r="A282"/>
      <c r="B282" s="45"/>
    </row>
    <row r="283" spans="1:2" ht="12.75" x14ac:dyDescent="0.2">
      <c r="A283"/>
      <c r="B283" s="45"/>
    </row>
    <row r="284" spans="1:2" ht="12.75" x14ac:dyDescent="0.2">
      <c r="A284"/>
      <c r="B284" s="45"/>
    </row>
    <row r="285" spans="1:2" ht="12.75" x14ac:dyDescent="0.2">
      <c r="A285"/>
      <c r="B285" s="45"/>
    </row>
    <row r="286" spans="1:2" ht="12.75" x14ac:dyDescent="0.2">
      <c r="A286"/>
      <c r="B286" s="45"/>
    </row>
    <row r="287" spans="1:2" ht="12.75" x14ac:dyDescent="0.2">
      <c r="A287"/>
      <c r="B287" s="45"/>
    </row>
    <row r="288" spans="1:2" ht="12.75" x14ac:dyDescent="0.2">
      <c r="A288"/>
      <c r="B288" s="45"/>
    </row>
    <row r="289" spans="1:2" ht="12.75" x14ac:dyDescent="0.2">
      <c r="A289"/>
      <c r="B289" s="45"/>
    </row>
    <row r="290" spans="1:2" ht="12.75" x14ac:dyDescent="0.2">
      <c r="A290"/>
      <c r="B290" s="45"/>
    </row>
    <row r="291" spans="1:2" ht="12.75" x14ac:dyDescent="0.2">
      <c r="A291"/>
      <c r="B291" s="45"/>
    </row>
    <row r="292" spans="1:2" ht="12.75" x14ac:dyDescent="0.2">
      <c r="A292"/>
      <c r="B292" s="45"/>
    </row>
    <row r="293" spans="1:2" ht="12.75" x14ac:dyDescent="0.2">
      <c r="A293"/>
      <c r="B293" s="45"/>
    </row>
    <row r="294" spans="1:2" ht="12.75" x14ac:dyDescent="0.2">
      <c r="A294"/>
      <c r="B294" s="45"/>
    </row>
    <row r="295" spans="1:2" ht="12.75" x14ac:dyDescent="0.2">
      <c r="A295"/>
      <c r="B295" s="45"/>
    </row>
    <row r="296" spans="1:2" ht="12.75" x14ac:dyDescent="0.2">
      <c r="A296"/>
      <c r="B296" s="45"/>
    </row>
    <row r="297" spans="1:2" ht="12.75" x14ac:dyDescent="0.2">
      <c r="A297"/>
      <c r="B297" s="45"/>
    </row>
    <row r="298" spans="1:2" ht="12.75" x14ac:dyDescent="0.2">
      <c r="A298"/>
      <c r="B298" s="45"/>
    </row>
    <row r="299" spans="1:2" ht="12.75" x14ac:dyDescent="0.2">
      <c r="A299"/>
      <c r="B299" s="45"/>
    </row>
    <row r="300" spans="1:2" ht="12.75" x14ac:dyDescent="0.2">
      <c r="A300"/>
      <c r="B300" s="45"/>
    </row>
    <row r="301" spans="1:2" ht="12.75" x14ac:dyDescent="0.2">
      <c r="A301"/>
      <c r="B301" s="45"/>
    </row>
    <row r="302" spans="1:2" ht="12.75" x14ac:dyDescent="0.2">
      <c r="A302"/>
      <c r="B302" s="45"/>
    </row>
    <row r="303" spans="1:2" ht="12.75" x14ac:dyDescent="0.2">
      <c r="A303"/>
      <c r="B303" s="45"/>
    </row>
    <row r="304" spans="1:2" ht="12.75" x14ac:dyDescent="0.2">
      <c r="A304"/>
      <c r="B304" s="45"/>
    </row>
    <row r="305" spans="1:2" ht="12.75" x14ac:dyDescent="0.2">
      <c r="A305"/>
      <c r="B305" s="45"/>
    </row>
    <row r="306" spans="1:2" ht="12.75" x14ac:dyDescent="0.2">
      <c r="A306"/>
      <c r="B306" s="45"/>
    </row>
    <row r="307" spans="1:2" ht="12.75" x14ac:dyDescent="0.2">
      <c r="A307"/>
      <c r="B307" s="45"/>
    </row>
    <row r="308" spans="1:2" ht="12.75" x14ac:dyDescent="0.2">
      <c r="A308"/>
      <c r="B308" s="45"/>
    </row>
    <row r="309" spans="1:2" ht="12.75" x14ac:dyDescent="0.2">
      <c r="A309"/>
      <c r="B309" s="45"/>
    </row>
    <row r="310" spans="1:2" ht="12.75" x14ac:dyDescent="0.2">
      <c r="A310"/>
      <c r="B310" s="45"/>
    </row>
    <row r="311" spans="1:2" ht="12.75" x14ac:dyDescent="0.2">
      <c r="A311"/>
      <c r="B311" s="45"/>
    </row>
    <row r="312" spans="1:2" ht="12.75" x14ac:dyDescent="0.2">
      <c r="A312"/>
      <c r="B312" s="45"/>
    </row>
    <row r="313" spans="1:2" ht="12.75" x14ac:dyDescent="0.2">
      <c r="A313"/>
      <c r="B313" s="45"/>
    </row>
    <row r="314" spans="1:2" ht="12.75" x14ac:dyDescent="0.2">
      <c r="A314"/>
      <c r="B314" s="45"/>
    </row>
    <row r="315" spans="1:2" ht="12.75" x14ac:dyDescent="0.2">
      <c r="A315"/>
      <c r="B315" s="45"/>
    </row>
    <row r="316" spans="1:2" ht="12.75" x14ac:dyDescent="0.2">
      <c r="A316"/>
      <c r="B316" s="45"/>
    </row>
    <row r="317" spans="1:2" ht="12.75" x14ac:dyDescent="0.2">
      <c r="A317"/>
      <c r="B317" s="45"/>
    </row>
    <row r="318" spans="1:2" ht="12.75" x14ac:dyDescent="0.2">
      <c r="A318"/>
      <c r="B318" s="45"/>
    </row>
    <row r="319" spans="1:2" ht="12.75" x14ac:dyDescent="0.2">
      <c r="A319"/>
      <c r="B319" s="45"/>
    </row>
    <row r="320" spans="1:2" ht="12.75" x14ac:dyDescent="0.2">
      <c r="A320"/>
      <c r="B320" s="45"/>
    </row>
    <row r="321" spans="1:2" ht="12.75" x14ac:dyDescent="0.2">
      <c r="A321"/>
      <c r="B321" s="45"/>
    </row>
    <row r="322" spans="1:2" ht="12.75" x14ac:dyDescent="0.2">
      <c r="A322"/>
      <c r="B322" s="45"/>
    </row>
    <row r="323" spans="1:2" ht="12.75" x14ac:dyDescent="0.2">
      <c r="A323"/>
      <c r="B323" s="45"/>
    </row>
    <row r="324" spans="1:2" ht="12.75" x14ac:dyDescent="0.2">
      <c r="A324"/>
      <c r="B324" s="45"/>
    </row>
    <row r="325" spans="1:2" ht="12.75" x14ac:dyDescent="0.2">
      <c r="A325"/>
      <c r="B325" s="45"/>
    </row>
    <row r="326" spans="1:2" ht="12.75" x14ac:dyDescent="0.2">
      <c r="A326"/>
      <c r="B326" s="45"/>
    </row>
    <row r="327" spans="1:2" ht="12.75" x14ac:dyDescent="0.2">
      <c r="A327"/>
      <c r="B327" s="45"/>
    </row>
    <row r="328" spans="1:2" ht="12.75" x14ac:dyDescent="0.2">
      <c r="A328"/>
      <c r="B328" s="45"/>
    </row>
    <row r="329" spans="1:2" ht="12.75" x14ac:dyDescent="0.2">
      <c r="A329"/>
      <c r="B329" s="45"/>
    </row>
    <row r="330" spans="1:2" ht="12.75" x14ac:dyDescent="0.2">
      <c r="A330"/>
      <c r="B330" s="45"/>
    </row>
    <row r="331" spans="1:2" ht="12.75" x14ac:dyDescent="0.2">
      <c r="A331"/>
      <c r="B331" s="45"/>
    </row>
    <row r="332" spans="1:2" ht="12.75" x14ac:dyDescent="0.2">
      <c r="A332"/>
      <c r="B332" s="45"/>
    </row>
    <row r="333" spans="1:2" ht="12.75" x14ac:dyDescent="0.2">
      <c r="A333"/>
      <c r="B333" s="45"/>
    </row>
    <row r="334" spans="1:2" ht="12.75" x14ac:dyDescent="0.2">
      <c r="A334"/>
      <c r="B334" s="45"/>
    </row>
    <row r="335" spans="1:2" ht="12.75" x14ac:dyDescent="0.2">
      <c r="A335"/>
      <c r="B335" s="45"/>
    </row>
    <row r="336" spans="1:2" ht="12.75" x14ac:dyDescent="0.2">
      <c r="A336"/>
      <c r="B336" s="45"/>
    </row>
    <row r="337" spans="1:2" ht="12.75" x14ac:dyDescent="0.2">
      <c r="A337"/>
      <c r="B337" s="45"/>
    </row>
    <row r="338" spans="1:2" ht="12.75" x14ac:dyDescent="0.2">
      <c r="A338"/>
      <c r="B338" s="45"/>
    </row>
    <row r="339" spans="1:2" ht="12.75" x14ac:dyDescent="0.2">
      <c r="A339"/>
      <c r="B339" s="45"/>
    </row>
    <row r="340" spans="1:2" ht="12.75" x14ac:dyDescent="0.2">
      <c r="A340"/>
      <c r="B340" s="45"/>
    </row>
    <row r="341" spans="1:2" ht="12.75" x14ac:dyDescent="0.2">
      <c r="A341"/>
      <c r="B341" s="45"/>
    </row>
    <row r="342" spans="1:2" ht="12.75" x14ac:dyDescent="0.2">
      <c r="A342"/>
      <c r="B342" s="45"/>
    </row>
    <row r="343" spans="1:2" ht="12.75" x14ac:dyDescent="0.2">
      <c r="A343"/>
      <c r="B343" s="45"/>
    </row>
    <row r="344" spans="1:2" ht="12.75" x14ac:dyDescent="0.2">
      <c r="A344"/>
      <c r="B344" s="45"/>
    </row>
    <row r="345" spans="1:2" ht="12.75" x14ac:dyDescent="0.2">
      <c r="A345"/>
      <c r="B345" s="45"/>
    </row>
    <row r="346" spans="1:2" ht="12.75" x14ac:dyDescent="0.2">
      <c r="A346"/>
      <c r="B346" s="45"/>
    </row>
    <row r="347" spans="1:2" ht="12.75" x14ac:dyDescent="0.2">
      <c r="A347"/>
      <c r="B347" s="45"/>
    </row>
    <row r="348" spans="1:2" ht="12.75" x14ac:dyDescent="0.2">
      <c r="A348"/>
      <c r="B348" s="45"/>
    </row>
    <row r="349" spans="1:2" ht="12.75" x14ac:dyDescent="0.2">
      <c r="A349"/>
      <c r="B349" s="45"/>
    </row>
    <row r="350" spans="1:2" ht="12.75" x14ac:dyDescent="0.2">
      <c r="A350"/>
      <c r="B350" s="45"/>
    </row>
    <row r="351" spans="1:2" ht="12.75" x14ac:dyDescent="0.2">
      <c r="A351"/>
      <c r="B351" s="45"/>
    </row>
    <row r="352" spans="1:2" ht="12.75" x14ac:dyDescent="0.2">
      <c r="A352"/>
      <c r="B352" s="45"/>
    </row>
    <row r="353" spans="1:2" ht="12.75" x14ac:dyDescent="0.2">
      <c r="A353"/>
      <c r="B353" s="45"/>
    </row>
    <row r="354" spans="1:2" ht="12.75" x14ac:dyDescent="0.2">
      <c r="A354"/>
      <c r="B354" s="45"/>
    </row>
    <row r="355" spans="1:2" ht="12.75" x14ac:dyDescent="0.2">
      <c r="A355"/>
      <c r="B355" s="45"/>
    </row>
    <row r="356" spans="1:2" ht="12.75" x14ac:dyDescent="0.2">
      <c r="A356"/>
      <c r="B356" s="45"/>
    </row>
    <row r="357" spans="1:2" ht="12.75" x14ac:dyDescent="0.2">
      <c r="A357"/>
      <c r="B357" s="45"/>
    </row>
    <row r="358" spans="1:2" ht="12.75" x14ac:dyDescent="0.2">
      <c r="A358"/>
      <c r="B358" s="45"/>
    </row>
    <row r="359" spans="1:2" ht="12.75" x14ac:dyDescent="0.2">
      <c r="A359"/>
      <c r="B359" s="45"/>
    </row>
    <row r="360" spans="1:2" ht="12.75" x14ac:dyDescent="0.2">
      <c r="A360"/>
      <c r="B360" s="45"/>
    </row>
    <row r="361" spans="1:2" ht="12.75" x14ac:dyDescent="0.2">
      <c r="A361"/>
      <c r="B361" s="45"/>
    </row>
    <row r="362" spans="1:2" ht="12.75" x14ac:dyDescent="0.2">
      <c r="A362"/>
      <c r="B362" s="45"/>
    </row>
    <row r="363" spans="1:2" ht="12.75" x14ac:dyDescent="0.2">
      <c r="A363"/>
      <c r="B363" s="45"/>
    </row>
    <row r="364" spans="1:2" ht="12.75" x14ac:dyDescent="0.2">
      <c r="A364"/>
      <c r="B364" s="45"/>
    </row>
    <row r="365" spans="1:2" ht="12.75" x14ac:dyDescent="0.2">
      <c r="A365"/>
      <c r="B365" s="45"/>
    </row>
    <row r="366" spans="1:2" ht="12.75" x14ac:dyDescent="0.2">
      <c r="A366"/>
      <c r="B366" s="45"/>
    </row>
    <row r="367" spans="1:2" ht="12.75" x14ac:dyDescent="0.2">
      <c r="A367"/>
      <c r="B367" s="45"/>
    </row>
    <row r="368" spans="1:2" ht="12.75" x14ac:dyDescent="0.2">
      <c r="A368"/>
      <c r="B368" s="45"/>
    </row>
    <row r="369" spans="1:2" ht="12.75" x14ac:dyDescent="0.2">
      <c r="A369"/>
      <c r="B369" s="45"/>
    </row>
    <row r="370" spans="1:2" ht="12.75" x14ac:dyDescent="0.2">
      <c r="A370"/>
      <c r="B370" s="45"/>
    </row>
    <row r="371" spans="1:2" ht="12.75" x14ac:dyDescent="0.2">
      <c r="A371"/>
      <c r="B371" s="45"/>
    </row>
    <row r="372" spans="1:2" ht="12.75" x14ac:dyDescent="0.2">
      <c r="A372"/>
      <c r="B372" s="45"/>
    </row>
    <row r="373" spans="1:2" ht="12.75" x14ac:dyDescent="0.2">
      <c r="A373"/>
      <c r="B373" s="45"/>
    </row>
    <row r="374" spans="1:2" ht="12.75" x14ac:dyDescent="0.2">
      <c r="A374"/>
      <c r="B374" s="45"/>
    </row>
    <row r="375" spans="1:2" ht="12.75" x14ac:dyDescent="0.2">
      <c r="A375"/>
      <c r="B375" s="45"/>
    </row>
    <row r="376" spans="1:2" ht="12.75" x14ac:dyDescent="0.2">
      <c r="A376"/>
      <c r="B376" s="45"/>
    </row>
    <row r="377" spans="1:2" ht="12.75" x14ac:dyDescent="0.2">
      <c r="A377"/>
      <c r="B377" s="45"/>
    </row>
    <row r="378" spans="1:2" ht="12.75" x14ac:dyDescent="0.2">
      <c r="A378"/>
      <c r="B378" s="45"/>
    </row>
    <row r="379" spans="1:2" ht="12.75" x14ac:dyDescent="0.2">
      <c r="A379"/>
      <c r="B379" s="45"/>
    </row>
    <row r="380" spans="1:2" ht="12.75" x14ac:dyDescent="0.2">
      <c r="A380"/>
      <c r="B380" s="45"/>
    </row>
    <row r="381" spans="1:2" ht="12.75" x14ac:dyDescent="0.2">
      <c r="A381"/>
      <c r="B381" s="45"/>
    </row>
    <row r="382" spans="1:2" ht="12.75" x14ac:dyDescent="0.2">
      <c r="A382"/>
      <c r="B382" s="45"/>
    </row>
    <row r="383" spans="1:2" ht="12.75" x14ac:dyDescent="0.2">
      <c r="A383"/>
      <c r="B383" s="45"/>
    </row>
    <row r="384" spans="1:2" ht="12.75" x14ac:dyDescent="0.2">
      <c r="A384"/>
      <c r="B384" s="45"/>
    </row>
    <row r="385" spans="1:2" ht="12.75" x14ac:dyDescent="0.2">
      <c r="A385"/>
      <c r="B385" s="45"/>
    </row>
    <row r="386" spans="1:2" ht="12.75" x14ac:dyDescent="0.2">
      <c r="A386"/>
      <c r="B386" s="45"/>
    </row>
    <row r="387" spans="1:2" ht="12.75" x14ac:dyDescent="0.2">
      <c r="A387"/>
      <c r="B387" s="45"/>
    </row>
    <row r="388" spans="1:2" ht="12.75" x14ac:dyDescent="0.2">
      <c r="A388"/>
      <c r="B388" s="45"/>
    </row>
    <row r="389" spans="1:2" ht="12.75" x14ac:dyDescent="0.2">
      <c r="A389"/>
      <c r="B389" s="45"/>
    </row>
    <row r="390" spans="1:2" ht="12.75" x14ac:dyDescent="0.2">
      <c r="A390"/>
      <c r="B390" s="45"/>
    </row>
    <row r="391" spans="1:2" ht="12.75" x14ac:dyDescent="0.2">
      <c r="A391"/>
      <c r="B391" s="45"/>
    </row>
    <row r="392" spans="1:2" ht="12.75" x14ac:dyDescent="0.2">
      <c r="A392"/>
      <c r="B392" s="45"/>
    </row>
    <row r="393" spans="1:2" ht="12.75" x14ac:dyDescent="0.2">
      <c r="A393"/>
      <c r="B393" s="45"/>
    </row>
    <row r="394" spans="1:2" ht="12.75" x14ac:dyDescent="0.2">
      <c r="A394"/>
      <c r="B394" s="45"/>
    </row>
    <row r="395" spans="1:2" ht="12.75" x14ac:dyDescent="0.2">
      <c r="A395"/>
      <c r="B395" s="45"/>
    </row>
    <row r="396" spans="1:2" ht="12.75" x14ac:dyDescent="0.2">
      <c r="A396"/>
      <c r="B396" s="45"/>
    </row>
    <row r="397" spans="1:2" ht="12.75" x14ac:dyDescent="0.2">
      <c r="A397"/>
      <c r="B397" s="45"/>
    </row>
    <row r="398" spans="1:2" ht="12.75" x14ac:dyDescent="0.2">
      <c r="A398"/>
      <c r="B398" s="45"/>
    </row>
    <row r="399" spans="1:2" ht="12.75" x14ac:dyDescent="0.2">
      <c r="A399"/>
      <c r="B399" s="45"/>
    </row>
    <row r="400" spans="1:2" ht="12.75" x14ac:dyDescent="0.2">
      <c r="A400"/>
      <c r="B400" s="45"/>
    </row>
    <row r="401" spans="1:2" ht="12.75" x14ac:dyDescent="0.2">
      <c r="A401"/>
      <c r="B401" s="45"/>
    </row>
    <row r="402" spans="1:2" ht="12.75" x14ac:dyDescent="0.2">
      <c r="A402"/>
      <c r="B402" s="45"/>
    </row>
    <row r="403" spans="1:2" ht="12.75" x14ac:dyDescent="0.2">
      <c r="A403"/>
      <c r="B403" s="45"/>
    </row>
    <row r="404" spans="1:2" ht="12.75" x14ac:dyDescent="0.2">
      <c r="A404"/>
      <c r="B404" s="45"/>
    </row>
    <row r="405" spans="1:2" ht="12.75" x14ac:dyDescent="0.2">
      <c r="A405"/>
      <c r="B405" s="45"/>
    </row>
    <row r="406" spans="1:2" ht="12.75" x14ac:dyDescent="0.2">
      <c r="A406"/>
      <c r="B406" s="45"/>
    </row>
    <row r="407" spans="1:2" ht="12.75" x14ac:dyDescent="0.2">
      <c r="A407"/>
      <c r="B407" s="45"/>
    </row>
    <row r="408" spans="1:2" ht="12.75" x14ac:dyDescent="0.2">
      <c r="A408"/>
      <c r="B408" s="45"/>
    </row>
    <row r="409" spans="1:2" ht="12.75" x14ac:dyDescent="0.2">
      <c r="A409"/>
      <c r="B409" s="45"/>
    </row>
    <row r="410" spans="1:2" ht="12.75" x14ac:dyDescent="0.2">
      <c r="A410"/>
      <c r="B410" s="45"/>
    </row>
    <row r="411" spans="1:2" ht="12.75" x14ac:dyDescent="0.2">
      <c r="A411"/>
      <c r="B411" s="45"/>
    </row>
    <row r="412" spans="1:2" ht="12.75" x14ac:dyDescent="0.2">
      <c r="A412"/>
      <c r="B412" s="45"/>
    </row>
    <row r="413" spans="1:2" ht="12.75" x14ac:dyDescent="0.2">
      <c r="A413"/>
      <c r="B413" s="45"/>
    </row>
    <row r="414" spans="1:2" ht="12.75" x14ac:dyDescent="0.2">
      <c r="A414"/>
      <c r="B414" s="45"/>
    </row>
    <row r="415" spans="1:2" ht="12.75" x14ac:dyDescent="0.2">
      <c r="A415"/>
      <c r="B415" s="45"/>
    </row>
    <row r="416" spans="1:2" ht="12.75" x14ac:dyDescent="0.2">
      <c r="A416"/>
      <c r="B416" s="45"/>
    </row>
    <row r="417" spans="1:2" ht="12.75" x14ac:dyDescent="0.2">
      <c r="A417"/>
      <c r="B417" s="45"/>
    </row>
    <row r="418" spans="1:2" ht="12.75" x14ac:dyDescent="0.2">
      <c r="A418"/>
      <c r="B418" s="45"/>
    </row>
    <row r="419" spans="1:2" ht="12.75" x14ac:dyDescent="0.2">
      <c r="A419"/>
      <c r="B419" s="45"/>
    </row>
    <row r="420" spans="1:2" ht="12.75" x14ac:dyDescent="0.2">
      <c r="A420"/>
      <c r="B420" s="45"/>
    </row>
    <row r="421" spans="1:2" ht="12.75" x14ac:dyDescent="0.2">
      <c r="A421"/>
      <c r="B421" s="45"/>
    </row>
    <row r="422" spans="1:2" ht="12.75" x14ac:dyDescent="0.2">
      <c r="A422"/>
      <c r="B422" s="45"/>
    </row>
    <row r="423" spans="1:2" ht="12.75" x14ac:dyDescent="0.2">
      <c r="A423"/>
      <c r="B423" s="45"/>
    </row>
    <row r="424" spans="1:2" ht="12.75" x14ac:dyDescent="0.2">
      <c r="A424"/>
      <c r="B424" s="45"/>
    </row>
    <row r="425" spans="1:2" ht="12.75" x14ac:dyDescent="0.2">
      <c r="A425"/>
      <c r="B425" s="45"/>
    </row>
    <row r="426" spans="1:2" ht="12.75" x14ac:dyDescent="0.2">
      <c r="A426"/>
      <c r="B426" s="45"/>
    </row>
    <row r="427" spans="1:2" ht="12.75" x14ac:dyDescent="0.2">
      <c r="A427"/>
      <c r="B427" s="45"/>
    </row>
    <row r="428" spans="1:2" ht="12.75" x14ac:dyDescent="0.2">
      <c r="A428"/>
      <c r="B428" s="45"/>
    </row>
    <row r="429" spans="1:2" ht="12.75" x14ac:dyDescent="0.2">
      <c r="A429"/>
      <c r="B429" s="45"/>
    </row>
    <row r="430" spans="1:2" ht="12.75" x14ac:dyDescent="0.2">
      <c r="A430"/>
      <c r="B430" s="45"/>
    </row>
    <row r="431" spans="1:2" ht="12.75" x14ac:dyDescent="0.2">
      <c r="A431"/>
      <c r="B431" s="45"/>
    </row>
    <row r="432" spans="1:2" ht="12.75" x14ac:dyDescent="0.2">
      <c r="A432"/>
      <c r="B432" s="45"/>
    </row>
    <row r="433" spans="1:2" ht="12.75" x14ac:dyDescent="0.2">
      <c r="A433"/>
      <c r="B433" s="45"/>
    </row>
    <row r="434" spans="1:2" ht="12.75" x14ac:dyDescent="0.2">
      <c r="A434"/>
      <c r="B434" s="45"/>
    </row>
    <row r="435" spans="1:2" ht="12.75" x14ac:dyDescent="0.2">
      <c r="A435"/>
      <c r="B435" s="45"/>
    </row>
    <row r="436" spans="1:2" ht="12.75" x14ac:dyDescent="0.2">
      <c r="A436"/>
      <c r="B436" s="45"/>
    </row>
    <row r="437" spans="1:2" ht="12.75" x14ac:dyDescent="0.2">
      <c r="A437"/>
      <c r="B437" s="45"/>
    </row>
    <row r="438" spans="1:2" ht="12.75" x14ac:dyDescent="0.2">
      <c r="A438"/>
      <c r="B438" s="45"/>
    </row>
    <row r="439" spans="1:2" ht="12.75" x14ac:dyDescent="0.2">
      <c r="A439"/>
      <c r="B439" s="45"/>
    </row>
    <row r="440" spans="1:2" ht="12.75" x14ac:dyDescent="0.2">
      <c r="A440"/>
      <c r="B440" s="45"/>
    </row>
    <row r="441" spans="1:2" ht="12.75" x14ac:dyDescent="0.2">
      <c r="A441"/>
      <c r="B441" s="45"/>
    </row>
    <row r="442" spans="1:2" ht="12.75" x14ac:dyDescent="0.2">
      <c r="A442"/>
      <c r="B442" s="45"/>
    </row>
    <row r="443" spans="1:2" ht="12.75" x14ac:dyDescent="0.2">
      <c r="A443"/>
      <c r="B443" s="45"/>
    </row>
    <row r="444" spans="1:2" ht="12.75" x14ac:dyDescent="0.2">
      <c r="A444"/>
      <c r="B444" s="45"/>
    </row>
    <row r="445" spans="1:2" ht="12.75" x14ac:dyDescent="0.2">
      <c r="A445"/>
      <c r="B445" s="45"/>
    </row>
    <row r="446" spans="1:2" ht="12.75" x14ac:dyDescent="0.2">
      <c r="A446"/>
      <c r="B446" s="45"/>
    </row>
    <row r="447" spans="1:2" ht="12.75" x14ac:dyDescent="0.2">
      <c r="A447"/>
      <c r="B447" s="45"/>
    </row>
    <row r="448" spans="1:2" ht="12.75" x14ac:dyDescent="0.2">
      <c r="A448"/>
      <c r="B448" s="45"/>
    </row>
    <row r="449" spans="1:2" ht="12.75" x14ac:dyDescent="0.2">
      <c r="A449"/>
      <c r="B449" s="45"/>
    </row>
    <row r="450" spans="1:2" ht="12.75" x14ac:dyDescent="0.2">
      <c r="A450"/>
      <c r="B450" s="45"/>
    </row>
    <row r="451" spans="1:2" ht="12.75" x14ac:dyDescent="0.2">
      <c r="A451"/>
      <c r="B451" s="45"/>
    </row>
    <row r="452" spans="1:2" ht="12.75" x14ac:dyDescent="0.2">
      <c r="A452"/>
      <c r="B452" s="45"/>
    </row>
    <row r="453" spans="1:2" ht="12.75" x14ac:dyDescent="0.2">
      <c r="A453"/>
      <c r="B453" s="45"/>
    </row>
    <row r="454" spans="1:2" ht="12.75" x14ac:dyDescent="0.2">
      <c r="A454"/>
      <c r="B454" s="45"/>
    </row>
    <row r="455" spans="1:2" ht="12.75" x14ac:dyDescent="0.2">
      <c r="A455"/>
      <c r="B455" s="45"/>
    </row>
    <row r="456" spans="1:2" ht="12.75" x14ac:dyDescent="0.2">
      <c r="A456"/>
      <c r="B456" s="45"/>
    </row>
    <row r="457" spans="1:2" ht="12.75" x14ac:dyDescent="0.2">
      <c r="A457"/>
      <c r="B457" s="45"/>
    </row>
    <row r="458" spans="1:2" ht="12.75" x14ac:dyDescent="0.2">
      <c r="A458"/>
      <c r="B458" s="45"/>
    </row>
    <row r="459" spans="1:2" ht="12.75" x14ac:dyDescent="0.2">
      <c r="A459"/>
      <c r="B459" s="45"/>
    </row>
    <row r="460" spans="1:2" ht="12.75" x14ac:dyDescent="0.2">
      <c r="A460"/>
      <c r="B460" s="45"/>
    </row>
    <row r="461" spans="1:2" ht="12.75" x14ac:dyDescent="0.2">
      <c r="A461"/>
      <c r="B461" s="45"/>
    </row>
    <row r="462" spans="1:2" ht="12.75" x14ac:dyDescent="0.2">
      <c r="A462"/>
      <c r="B462" s="45"/>
    </row>
    <row r="463" spans="1:2" ht="12.75" x14ac:dyDescent="0.2">
      <c r="A463"/>
      <c r="B463" s="45"/>
    </row>
    <row r="464" spans="1:2" ht="12.75" x14ac:dyDescent="0.2">
      <c r="A464"/>
      <c r="B464" s="45"/>
    </row>
    <row r="465" spans="1:2" ht="12.75" x14ac:dyDescent="0.2">
      <c r="A465"/>
      <c r="B465" s="45"/>
    </row>
    <row r="466" spans="1:2" ht="12.75" x14ac:dyDescent="0.2">
      <c r="A466"/>
      <c r="B466" s="45"/>
    </row>
    <row r="467" spans="1:2" ht="12.75" x14ac:dyDescent="0.2">
      <c r="A467"/>
      <c r="B467" s="45"/>
    </row>
    <row r="468" spans="1:2" ht="12.75" x14ac:dyDescent="0.2">
      <c r="A468"/>
      <c r="B468" s="45"/>
    </row>
    <row r="469" spans="1:2" ht="12.75" x14ac:dyDescent="0.2">
      <c r="A469"/>
      <c r="B469" s="45"/>
    </row>
    <row r="470" spans="1:2" ht="12.75" x14ac:dyDescent="0.2">
      <c r="A470"/>
      <c r="B470" s="45"/>
    </row>
    <row r="471" spans="1:2" ht="12.75" x14ac:dyDescent="0.2">
      <c r="A471"/>
      <c r="B471" s="45"/>
    </row>
    <row r="472" spans="1:2" ht="12.75" x14ac:dyDescent="0.2">
      <c r="A472"/>
      <c r="B472" s="45"/>
    </row>
    <row r="473" spans="1:2" ht="12.75" x14ac:dyDescent="0.2">
      <c r="A473"/>
      <c r="B473" s="45"/>
    </row>
    <row r="474" spans="1:2" ht="12.75" x14ac:dyDescent="0.2">
      <c r="A474"/>
      <c r="B474" s="45"/>
    </row>
    <row r="475" spans="1:2" ht="12.75" x14ac:dyDescent="0.2">
      <c r="A475"/>
      <c r="B475" s="45"/>
    </row>
    <row r="476" spans="1:2" ht="12.75" x14ac:dyDescent="0.2">
      <c r="A476"/>
      <c r="B476" s="45"/>
    </row>
    <row r="477" spans="1:2" ht="12.75" x14ac:dyDescent="0.2">
      <c r="A477"/>
      <c r="B477" s="45"/>
    </row>
    <row r="478" spans="1:2" ht="12.75" x14ac:dyDescent="0.2">
      <c r="A478"/>
      <c r="B478" s="45"/>
    </row>
    <row r="479" spans="1:2" ht="12.75" x14ac:dyDescent="0.2">
      <c r="A479"/>
      <c r="B479" s="45"/>
    </row>
    <row r="480" spans="1:2" ht="12.75" x14ac:dyDescent="0.2">
      <c r="A480"/>
      <c r="B480" s="45"/>
    </row>
    <row r="481" spans="1:2" ht="12.75" x14ac:dyDescent="0.2">
      <c r="A481"/>
      <c r="B481" s="45"/>
    </row>
    <row r="482" spans="1:2" ht="12.75" x14ac:dyDescent="0.2">
      <c r="A482"/>
      <c r="B482" s="45"/>
    </row>
    <row r="483" spans="1:2" ht="12.75" x14ac:dyDescent="0.2">
      <c r="A483"/>
      <c r="B483" s="45"/>
    </row>
    <row r="484" spans="1:2" ht="12.75" x14ac:dyDescent="0.2">
      <c r="A484"/>
      <c r="B484" s="45"/>
    </row>
    <row r="485" spans="1:2" ht="12.75" x14ac:dyDescent="0.2">
      <c r="A485"/>
      <c r="B485" s="45"/>
    </row>
    <row r="486" spans="1:2" ht="12.75" x14ac:dyDescent="0.2">
      <c r="A486"/>
      <c r="B486" s="45"/>
    </row>
    <row r="487" spans="1:2" ht="12.75" x14ac:dyDescent="0.2">
      <c r="A487"/>
      <c r="B487" s="45"/>
    </row>
    <row r="488" spans="1:2" ht="12.75" x14ac:dyDescent="0.2">
      <c r="A488"/>
      <c r="B488" s="45"/>
    </row>
    <row r="489" spans="1:2" ht="12.75" x14ac:dyDescent="0.2">
      <c r="A489"/>
      <c r="B489" s="45"/>
    </row>
    <row r="490" spans="1:2" ht="12.75" x14ac:dyDescent="0.2">
      <c r="A490"/>
      <c r="B490" s="45"/>
    </row>
    <row r="491" spans="1:2" ht="12.75" x14ac:dyDescent="0.2">
      <c r="A491"/>
      <c r="B491" s="45"/>
    </row>
    <row r="492" spans="1:2" ht="12.75" x14ac:dyDescent="0.2">
      <c r="A492"/>
      <c r="B492" s="45"/>
    </row>
    <row r="493" spans="1:2" ht="12.75" x14ac:dyDescent="0.2">
      <c r="A493"/>
      <c r="B493" s="45"/>
    </row>
    <row r="494" spans="1:2" ht="12.75" x14ac:dyDescent="0.2">
      <c r="A494"/>
      <c r="B494" s="45"/>
    </row>
    <row r="495" spans="1:2" ht="12.75" x14ac:dyDescent="0.2">
      <c r="A495"/>
      <c r="B495" s="45"/>
    </row>
    <row r="496" spans="1:2" ht="12.75" x14ac:dyDescent="0.2">
      <c r="A496"/>
      <c r="B496" s="45"/>
    </row>
    <row r="497" spans="1:2" ht="12.75" x14ac:dyDescent="0.2">
      <c r="A497"/>
      <c r="B497" s="45"/>
    </row>
    <row r="498" spans="1:2" ht="12.75" x14ac:dyDescent="0.2">
      <c r="A498"/>
      <c r="B498" s="45"/>
    </row>
    <row r="499" spans="1:2" ht="12.75" x14ac:dyDescent="0.2">
      <c r="A499"/>
      <c r="B499" s="45"/>
    </row>
    <row r="500" spans="1:2" ht="12.75" x14ac:dyDescent="0.2">
      <c r="A500"/>
      <c r="B500" s="45"/>
    </row>
    <row r="501" spans="1:2" ht="12.75" x14ac:dyDescent="0.2">
      <c r="A501"/>
      <c r="B501" s="45"/>
    </row>
    <row r="502" spans="1:2" ht="12.75" x14ac:dyDescent="0.2">
      <c r="A502"/>
      <c r="B502" s="45"/>
    </row>
    <row r="503" spans="1:2" ht="12.75" x14ac:dyDescent="0.2">
      <c r="A503"/>
      <c r="B503" s="45"/>
    </row>
    <row r="504" spans="1:2" ht="12.75" x14ac:dyDescent="0.2">
      <c r="A504"/>
      <c r="B504" s="45"/>
    </row>
    <row r="505" spans="1:2" ht="12.75" x14ac:dyDescent="0.2">
      <c r="A505"/>
      <c r="B505" s="45"/>
    </row>
    <row r="506" spans="1:2" ht="12.75" x14ac:dyDescent="0.2">
      <c r="A506"/>
      <c r="B506" s="45"/>
    </row>
    <row r="507" spans="1:2" ht="12.75" x14ac:dyDescent="0.2">
      <c r="A507"/>
      <c r="B507" s="45"/>
    </row>
    <row r="508" spans="1:2" ht="12.75" x14ac:dyDescent="0.2">
      <c r="A508"/>
      <c r="B508" s="45"/>
    </row>
    <row r="509" spans="1:2" ht="12.75" x14ac:dyDescent="0.2">
      <c r="A509"/>
      <c r="B509" s="45"/>
    </row>
    <row r="510" spans="1:2" ht="12.75" x14ac:dyDescent="0.2">
      <c r="A510"/>
      <c r="B510" s="45"/>
    </row>
    <row r="511" spans="1:2" ht="12.75" x14ac:dyDescent="0.2">
      <c r="A511"/>
      <c r="B511" s="45"/>
    </row>
    <row r="512" spans="1:2" ht="12.75" x14ac:dyDescent="0.2">
      <c r="A512"/>
      <c r="B512" s="45"/>
    </row>
    <row r="513" spans="1:2" ht="12.75" x14ac:dyDescent="0.2">
      <c r="A513"/>
      <c r="B513" s="45"/>
    </row>
    <row r="514" spans="1:2" ht="12.75" x14ac:dyDescent="0.2">
      <c r="A514"/>
      <c r="B514" s="45"/>
    </row>
    <row r="515" spans="1:2" ht="12.75" x14ac:dyDescent="0.2">
      <c r="A515"/>
      <c r="B515" s="45"/>
    </row>
    <row r="516" spans="1:2" ht="12.75" x14ac:dyDescent="0.2">
      <c r="A516"/>
      <c r="B516" s="45"/>
    </row>
    <row r="517" spans="1:2" ht="12.75" x14ac:dyDescent="0.2">
      <c r="A517"/>
      <c r="B517" s="45"/>
    </row>
    <row r="518" spans="1:2" ht="12.75" x14ac:dyDescent="0.2">
      <c r="A518"/>
      <c r="B518" s="45"/>
    </row>
    <row r="519" spans="1:2" ht="12.75" x14ac:dyDescent="0.2">
      <c r="A519"/>
      <c r="B519" s="45"/>
    </row>
    <row r="520" spans="1:2" ht="12.75" x14ac:dyDescent="0.2">
      <c r="A520"/>
      <c r="B520" s="45"/>
    </row>
    <row r="521" spans="1:2" ht="12.75" x14ac:dyDescent="0.2">
      <c r="A521"/>
      <c r="B521" s="45"/>
    </row>
    <row r="522" spans="1:2" ht="12.75" x14ac:dyDescent="0.2">
      <c r="A522"/>
      <c r="B522" s="45"/>
    </row>
    <row r="523" spans="1:2" ht="12.75" x14ac:dyDescent="0.2">
      <c r="A523"/>
      <c r="B523" s="45"/>
    </row>
    <row r="524" spans="1:2" ht="12.75" x14ac:dyDescent="0.2">
      <c r="A524"/>
      <c r="B524" s="45"/>
    </row>
    <row r="525" spans="1:2" ht="12.75" x14ac:dyDescent="0.2">
      <c r="A525"/>
      <c r="B525" s="45"/>
    </row>
    <row r="526" spans="1:2" ht="12.75" x14ac:dyDescent="0.2">
      <c r="A526"/>
      <c r="B526" s="45"/>
    </row>
    <row r="527" spans="1:2" ht="12.75" x14ac:dyDescent="0.2">
      <c r="A527"/>
      <c r="B527" s="45"/>
    </row>
    <row r="528" spans="1:2" ht="12.75" x14ac:dyDescent="0.2">
      <c r="A528"/>
      <c r="B528" s="45"/>
    </row>
    <row r="529" spans="1:2" ht="12.75" x14ac:dyDescent="0.2">
      <c r="A529"/>
      <c r="B529" s="45"/>
    </row>
    <row r="530" spans="1:2" ht="12.75" x14ac:dyDescent="0.2">
      <c r="A530"/>
      <c r="B530" s="45"/>
    </row>
    <row r="531" spans="1:2" ht="12.75" x14ac:dyDescent="0.2">
      <c r="A531"/>
      <c r="B531" s="45"/>
    </row>
    <row r="532" spans="1:2" ht="12.75" x14ac:dyDescent="0.2">
      <c r="A532"/>
      <c r="B532" s="45"/>
    </row>
    <row r="533" spans="1:2" ht="12.75" x14ac:dyDescent="0.2">
      <c r="A533"/>
      <c r="B533" s="45"/>
    </row>
    <row r="534" spans="1:2" ht="12.75" x14ac:dyDescent="0.2">
      <c r="A534"/>
      <c r="B534" s="45"/>
    </row>
    <row r="535" spans="1:2" ht="12.75" x14ac:dyDescent="0.2">
      <c r="A535"/>
      <c r="B535" s="45"/>
    </row>
    <row r="536" spans="1:2" ht="12.75" x14ac:dyDescent="0.2">
      <c r="A536"/>
      <c r="B536" s="45"/>
    </row>
    <row r="537" spans="1:2" ht="12.75" x14ac:dyDescent="0.2">
      <c r="A537"/>
      <c r="B537" s="45"/>
    </row>
    <row r="538" spans="1:2" ht="12.75" x14ac:dyDescent="0.2">
      <c r="A538"/>
      <c r="B538" s="45"/>
    </row>
    <row r="539" spans="1:2" ht="12.75" x14ac:dyDescent="0.2">
      <c r="A539"/>
      <c r="B539" s="45"/>
    </row>
    <row r="540" spans="1:2" ht="12.75" x14ac:dyDescent="0.2">
      <c r="A540"/>
      <c r="B540" s="45"/>
    </row>
    <row r="541" spans="1:2" ht="12.75" x14ac:dyDescent="0.2">
      <c r="A541"/>
      <c r="B541" s="45"/>
    </row>
    <row r="542" spans="1:2" ht="12.75" x14ac:dyDescent="0.2">
      <c r="A542"/>
      <c r="B542" s="45"/>
    </row>
    <row r="543" spans="1:2" ht="12.75" x14ac:dyDescent="0.2">
      <c r="A543"/>
      <c r="B543" s="45"/>
    </row>
    <row r="544" spans="1:2" ht="12.75" x14ac:dyDescent="0.2">
      <c r="A544"/>
      <c r="B544" s="45"/>
    </row>
    <row r="545" spans="1:2" ht="12.75" x14ac:dyDescent="0.2">
      <c r="A545"/>
      <c r="B545" s="45"/>
    </row>
  </sheetData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424-B7C6-4033-9824-3E6F5AAF0AF0}">
  <dimension ref="A1:V13"/>
  <sheetViews>
    <sheetView workbookViewId="0">
      <selection activeCell="E30" sqref="E30"/>
    </sheetView>
  </sheetViews>
  <sheetFormatPr baseColWidth="10" defaultRowHeight="12.75" x14ac:dyDescent="0.2"/>
  <cols>
    <col min="4" max="4" width="18.42578125" bestFit="1" customWidth="1"/>
    <col min="9" max="9" width="44.7109375" bestFit="1" customWidth="1"/>
    <col min="10" max="10" width="28.85546875" bestFit="1" customWidth="1"/>
    <col min="15" max="15" width="29.28515625" bestFit="1" customWidth="1"/>
    <col min="16" max="16" width="35.5703125" bestFit="1" customWidth="1"/>
  </cols>
  <sheetData>
    <row r="1" spans="1:22" x14ac:dyDescent="0.2">
      <c r="A1" s="26" t="s">
        <v>114</v>
      </c>
      <c r="B1" s="27" t="s">
        <v>23</v>
      </c>
      <c r="C1" s="27" t="s">
        <v>78</v>
      </c>
      <c r="D1" s="27" t="s">
        <v>76</v>
      </c>
      <c r="E1" s="31" t="s">
        <v>79</v>
      </c>
      <c r="F1" s="31" t="s">
        <v>80</v>
      </c>
      <c r="G1" s="31" t="s">
        <v>81</v>
      </c>
      <c r="H1" s="31" t="s">
        <v>165</v>
      </c>
      <c r="I1" s="31" t="s">
        <v>171</v>
      </c>
      <c r="J1" s="31" t="s">
        <v>164</v>
      </c>
      <c r="K1" s="27" t="s">
        <v>82</v>
      </c>
      <c r="L1" s="27" t="s">
        <v>83</v>
      </c>
      <c r="M1" s="27" t="s">
        <v>84</v>
      </c>
      <c r="N1" s="27" t="s">
        <v>85</v>
      </c>
      <c r="O1" s="27" t="s">
        <v>86</v>
      </c>
      <c r="P1" s="27" t="s">
        <v>87</v>
      </c>
      <c r="Q1" s="27" t="s">
        <v>88</v>
      </c>
      <c r="R1" s="27" t="s">
        <v>89</v>
      </c>
      <c r="S1" s="27" t="s">
        <v>90</v>
      </c>
      <c r="T1" s="27" t="s">
        <v>91</v>
      </c>
      <c r="U1" s="27" t="s">
        <v>92</v>
      </c>
      <c r="V1" s="28" t="s">
        <v>93</v>
      </c>
    </row>
    <row r="2" spans="1:22" x14ac:dyDescent="0.2">
      <c r="A2" s="32">
        <v>1731131</v>
      </c>
      <c r="B2" s="33">
        <v>45484</v>
      </c>
      <c r="C2" s="24" t="s">
        <v>97</v>
      </c>
      <c r="D2" s="24" t="s">
        <v>14</v>
      </c>
      <c r="E2" s="34">
        <v>9705.44</v>
      </c>
      <c r="F2" s="34">
        <v>0</v>
      </c>
      <c r="G2" s="42">
        <v>9705.44</v>
      </c>
      <c r="H2" s="42">
        <f>+G2/36.6243</f>
        <v>265.00001365213808</v>
      </c>
      <c r="I2" s="35" t="s">
        <v>168</v>
      </c>
      <c r="J2" s="42">
        <v>317</v>
      </c>
      <c r="K2" s="41">
        <v>10000</v>
      </c>
      <c r="L2" s="41">
        <v>100</v>
      </c>
      <c r="M2" s="41" t="s">
        <v>105</v>
      </c>
      <c r="N2" s="41" t="s">
        <v>67</v>
      </c>
      <c r="O2" s="41" t="s">
        <v>138</v>
      </c>
      <c r="P2" s="24" t="s">
        <v>139</v>
      </c>
      <c r="Q2" s="24" t="s">
        <v>109</v>
      </c>
      <c r="R2" s="24" t="s">
        <v>140</v>
      </c>
      <c r="S2" s="24">
        <v>2328566</v>
      </c>
      <c r="T2" s="24">
        <v>1</v>
      </c>
      <c r="U2" s="24">
        <v>66</v>
      </c>
      <c r="V2" s="29" t="s">
        <v>95</v>
      </c>
    </row>
    <row r="3" spans="1:22" x14ac:dyDescent="0.2">
      <c r="A3" s="23">
        <v>1736274</v>
      </c>
      <c r="B3" s="36">
        <v>45493</v>
      </c>
      <c r="C3" s="25" t="s">
        <v>97</v>
      </c>
      <c r="D3" s="25" t="s">
        <v>14</v>
      </c>
      <c r="E3" s="37">
        <v>1650</v>
      </c>
      <c r="F3" s="37">
        <v>0</v>
      </c>
      <c r="G3" s="35">
        <v>1650</v>
      </c>
      <c r="H3" s="35">
        <f t="shared" ref="H3:H13" si="0">+G3/36.6243</f>
        <v>45.052055602427899</v>
      </c>
      <c r="I3" s="35"/>
      <c r="J3" s="35" t="s">
        <v>166</v>
      </c>
      <c r="K3" s="25">
        <v>10000</v>
      </c>
      <c r="L3" s="25">
        <v>100</v>
      </c>
      <c r="M3" s="25" t="s">
        <v>135</v>
      </c>
      <c r="N3" s="25" t="s">
        <v>27</v>
      </c>
      <c r="O3" s="38" t="s">
        <v>146</v>
      </c>
      <c r="P3" s="38" t="s">
        <v>147</v>
      </c>
      <c r="Q3" s="38" t="s">
        <v>133</v>
      </c>
      <c r="R3" s="25" t="s">
        <v>148</v>
      </c>
      <c r="S3" s="25">
        <v>2333446</v>
      </c>
      <c r="T3" s="25">
        <v>1</v>
      </c>
      <c r="U3" s="25">
        <v>41</v>
      </c>
      <c r="V3" s="30" t="s">
        <v>95</v>
      </c>
    </row>
    <row r="4" spans="1:22" x14ac:dyDescent="0.2">
      <c r="A4" s="22">
        <v>1737854</v>
      </c>
      <c r="B4" s="33">
        <v>45496</v>
      </c>
      <c r="C4" s="24" t="s">
        <v>97</v>
      </c>
      <c r="D4" s="24" t="s">
        <v>14</v>
      </c>
      <c r="E4" s="34">
        <v>3460</v>
      </c>
      <c r="F4" s="34">
        <v>0</v>
      </c>
      <c r="G4" s="35">
        <v>3460</v>
      </c>
      <c r="H4" s="35">
        <f t="shared" si="0"/>
        <v>94.472795384485167</v>
      </c>
      <c r="I4" s="35"/>
      <c r="J4" s="35" t="s">
        <v>167</v>
      </c>
      <c r="K4" s="24">
        <v>10000</v>
      </c>
      <c r="L4" s="24">
        <v>100</v>
      </c>
      <c r="M4" s="24" t="s">
        <v>104</v>
      </c>
      <c r="N4" s="24" t="s">
        <v>54</v>
      </c>
      <c r="O4" s="38" t="s">
        <v>156</v>
      </c>
      <c r="P4" s="38" t="s">
        <v>157</v>
      </c>
      <c r="Q4" s="38" t="s">
        <v>133</v>
      </c>
      <c r="R4" s="24" t="s">
        <v>158</v>
      </c>
      <c r="S4" s="24">
        <v>2334740</v>
      </c>
      <c r="T4" s="24">
        <v>1</v>
      </c>
      <c r="U4" s="24">
        <v>6</v>
      </c>
      <c r="V4" s="29" t="s">
        <v>95</v>
      </c>
    </row>
    <row r="5" spans="1:22" x14ac:dyDescent="0.2">
      <c r="A5" s="39">
        <v>1738167</v>
      </c>
      <c r="B5" s="36">
        <v>45481</v>
      </c>
      <c r="C5" s="25" t="s">
        <v>97</v>
      </c>
      <c r="D5" s="25" t="s">
        <v>14</v>
      </c>
      <c r="E5" s="37">
        <v>9000</v>
      </c>
      <c r="F5" s="37">
        <v>0</v>
      </c>
      <c r="G5" s="42">
        <v>9000</v>
      </c>
      <c r="H5" s="42">
        <f t="shared" si="0"/>
        <v>245.73848510415218</v>
      </c>
      <c r="I5" s="35" t="s">
        <v>169</v>
      </c>
      <c r="J5" s="35">
        <v>97</v>
      </c>
      <c r="K5" s="38">
        <v>10000</v>
      </c>
      <c r="L5" s="38">
        <v>100</v>
      </c>
      <c r="M5" s="38" t="s">
        <v>132</v>
      </c>
      <c r="N5" s="40" t="s">
        <v>131</v>
      </c>
      <c r="O5" s="40" t="s">
        <v>149</v>
      </c>
      <c r="P5" s="25" t="s">
        <v>150</v>
      </c>
      <c r="Q5" s="25" t="s">
        <v>109</v>
      </c>
      <c r="R5" s="25" t="s">
        <v>143</v>
      </c>
      <c r="S5" s="25">
        <v>2333985</v>
      </c>
      <c r="T5" s="25">
        <v>1</v>
      </c>
      <c r="U5" s="25">
        <v>88</v>
      </c>
      <c r="V5" s="30" t="s">
        <v>95</v>
      </c>
    </row>
    <row r="6" spans="1:22" x14ac:dyDescent="0.2">
      <c r="A6" s="39">
        <v>1738167</v>
      </c>
      <c r="B6" s="33">
        <v>45481</v>
      </c>
      <c r="C6" s="24" t="s">
        <v>97</v>
      </c>
      <c r="D6" s="24" t="s">
        <v>14</v>
      </c>
      <c r="E6" s="34">
        <v>6000</v>
      </c>
      <c r="F6" s="34">
        <v>0</v>
      </c>
      <c r="G6" s="42">
        <v>6000</v>
      </c>
      <c r="H6" s="42">
        <f t="shared" si="0"/>
        <v>163.82565673610145</v>
      </c>
      <c r="I6" s="35" t="s">
        <v>169</v>
      </c>
      <c r="J6" s="35">
        <v>97</v>
      </c>
      <c r="K6" s="43">
        <v>10000</v>
      </c>
      <c r="L6" s="43">
        <v>100</v>
      </c>
      <c r="M6" s="43" t="s">
        <v>132</v>
      </c>
      <c r="N6" s="41" t="s">
        <v>131</v>
      </c>
      <c r="O6" s="41" t="s">
        <v>149</v>
      </c>
      <c r="P6" s="24" t="s">
        <v>151</v>
      </c>
      <c r="Q6" s="24" t="s">
        <v>109</v>
      </c>
      <c r="R6" s="24" t="s">
        <v>143</v>
      </c>
      <c r="S6" s="24">
        <v>2333985</v>
      </c>
      <c r="T6" s="24">
        <v>1</v>
      </c>
      <c r="U6" s="24">
        <v>88</v>
      </c>
      <c r="V6" s="29" t="s">
        <v>95</v>
      </c>
    </row>
    <row r="7" spans="1:22" x14ac:dyDescent="0.2">
      <c r="A7" s="39">
        <v>1738167</v>
      </c>
      <c r="B7" s="36">
        <v>45481</v>
      </c>
      <c r="C7" s="25" t="s">
        <v>97</v>
      </c>
      <c r="D7" s="25" t="s">
        <v>14</v>
      </c>
      <c r="E7" s="37">
        <v>4000</v>
      </c>
      <c r="F7" s="37">
        <v>0</v>
      </c>
      <c r="G7" s="42">
        <v>4000</v>
      </c>
      <c r="H7" s="42">
        <f t="shared" si="0"/>
        <v>109.2171044907343</v>
      </c>
      <c r="I7" s="35" t="s">
        <v>169</v>
      </c>
      <c r="J7" s="35">
        <v>97</v>
      </c>
      <c r="K7" s="38">
        <v>10000</v>
      </c>
      <c r="L7" s="38">
        <v>100</v>
      </c>
      <c r="M7" s="38" t="s">
        <v>132</v>
      </c>
      <c r="N7" s="40" t="s">
        <v>131</v>
      </c>
      <c r="O7" s="40" t="s">
        <v>149</v>
      </c>
      <c r="P7" s="25" t="s">
        <v>152</v>
      </c>
      <c r="Q7" s="25" t="s">
        <v>109</v>
      </c>
      <c r="R7" s="25" t="s">
        <v>143</v>
      </c>
      <c r="S7" s="25">
        <v>2333985</v>
      </c>
      <c r="T7" s="25">
        <v>1</v>
      </c>
      <c r="U7" s="25">
        <v>88</v>
      </c>
      <c r="V7" s="30" t="s">
        <v>95</v>
      </c>
    </row>
    <row r="8" spans="1:22" x14ac:dyDescent="0.2">
      <c r="A8" s="32">
        <v>1738197</v>
      </c>
      <c r="B8" s="36">
        <v>45474</v>
      </c>
      <c r="C8" s="25" t="s">
        <v>97</v>
      </c>
      <c r="D8" s="25" t="s">
        <v>14</v>
      </c>
      <c r="E8" s="37">
        <v>1800</v>
      </c>
      <c r="F8" s="37">
        <v>0</v>
      </c>
      <c r="G8" s="35">
        <v>1800</v>
      </c>
      <c r="H8" s="35">
        <f t="shared" si="0"/>
        <v>49.147697020830435</v>
      </c>
      <c r="I8" s="35"/>
      <c r="J8" s="35"/>
      <c r="K8" s="25">
        <v>10000</v>
      </c>
      <c r="L8" s="25">
        <v>100</v>
      </c>
      <c r="M8" s="25" t="s">
        <v>99</v>
      </c>
      <c r="N8" s="25" t="s">
        <v>31</v>
      </c>
      <c r="O8" s="25" t="s">
        <v>144</v>
      </c>
      <c r="P8" s="25" t="s">
        <v>145</v>
      </c>
      <c r="Q8" s="25" t="s">
        <v>109</v>
      </c>
      <c r="R8" s="25" t="s">
        <v>143</v>
      </c>
      <c r="S8" s="25">
        <v>2333986</v>
      </c>
      <c r="T8" s="25">
        <v>1</v>
      </c>
      <c r="U8" s="25">
        <v>16</v>
      </c>
      <c r="V8" s="30" t="s">
        <v>95</v>
      </c>
    </row>
    <row r="9" spans="1:22" x14ac:dyDescent="0.2">
      <c r="A9" s="32">
        <v>1738277</v>
      </c>
      <c r="B9" s="33">
        <v>45476</v>
      </c>
      <c r="C9" s="24" t="s">
        <v>97</v>
      </c>
      <c r="D9" s="24" t="s">
        <v>14</v>
      </c>
      <c r="E9" s="34">
        <v>1313.92</v>
      </c>
      <c r="F9" s="34">
        <v>0</v>
      </c>
      <c r="G9" s="35">
        <v>1313.92</v>
      </c>
      <c r="H9" s="35">
        <f t="shared" si="0"/>
        <v>35.875634483116407</v>
      </c>
      <c r="I9" s="35"/>
      <c r="J9" s="35"/>
      <c r="K9" s="24">
        <v>10000</v>
      </c>
      <c r="L9" s="24">
        <v>100</v>
      </c>
      <c r="M9" s="24" t="s">
        <v>99</v>
      </c>
      <c r="N9" s="24" t="s">
        <v>31</v>
      </c>
      <c r="O9" s="24" t="s">
        <v>141</v>
      </c>
      <c r="P9" s="24" t="s">
        <v>142</v>
      </c>
      <c r="Q9" s="24" t="s">
        <v>109</v>
      </c>
      <c r="R9" s="24" t="s">
        <v>143</v>
      </c>
      <c r="S9" s="24">
        <v>2333988</v>
      </c>
      <c r="T9" s="24">
        <v>1</v>
      </c>
      <c r="U9" s="24">
        <v>16</v>
      </c>
      <c r="V9" s="29" t="s">
        <v>95</v>
      </c>
    </row>
    <row r="10" spans="1:22" x14ac:dyDescent="0.2">
      <c r="A10" s="32">
        <v>1738400</v>
      </c>
      <c r="B10" s="33">
        <v>45485</v>
      </c>
      <c r="C10" s="24" t="s">
        <v>94</v>
      </c>
      <c r="D10" s="24" t="s">
        <v>13</v>
      </c>
      <c r="E10" s="34">
        <v>3927.86</v>
      </c>
      <c r="F10" s="34">
        <v>0</v>
      </c>
      <c r="G10" s="35">
        <v>3927.86</v>
      </c>
      <c r="H10" s="35">
        <f t="shared" si="0"/>
        <v>107.24737401124391</v>
      </c>
      <c r="I10" s="35"/>
      <c r="J10" s="35"/>
      <c r="K10" s="24">
        <v>10000</v>
      </c>
      <c r="L10" s="24">
        <v>100</v>
      </c>
      <c r="M10" s="24" t="s">
        <v>101</v>
      </c>
      <c r="N10" s="24" t="s">
        <v>8</v>
      </c>
      <c r="O10" s="24" t="s">
        <v>153</v>
      </c>
      <c r="P10" s="24" t="s">
        <v>154</v>
      </c>
      <c r="Q10" s="24" t="s">
        <v>109</v>
      </c>
      <c r="R10" s="24" t="s">
        <v>155</v>
      </c>
      <c r="S10" s="24">
        <v>2334092</v>
      </c>
      <c r="T10" s="24">
        <v>1</v>
      </c>
      <c r="U10" s="24">
        <v>18</v>
      </c>
      <c r="V10" s="29" t="s">
        <v>95</v>
      </c>
    </row>
    <row r="11" spans="1:22" x14ac:dyDescent="0.2">
      <c r="A11" s="23">
        <v>1744993</v>
      </c>
      <c r="B11" s="36">
        <v>45475</v>
      </c>
      <c r="C11" s="25" t="s">
        <v>97</v>
      </c>
      <c r="D11" s="25" t="s">
        <v>14</v>
      </c>
      <c r="E11" s="37">
        <v>16880.86</v>
      </c>
      <c r="F11" s="37">
        <v>0</v>
      </c>
      <c r="G11" s="42">
        <v>16880.86</v>
      </c>
      <c r="H11" s="42">
        <f t="shared" si="0"/>
        <v>460.91966262836428</v>
      </c>
      <c r="I11" s="42" t="s">
        <v>170</v>
      </c>
      <c r="J11" s="35">
        <v>6596</v>
      </c>
      <c r="K11" s="40">
        <v>10000</v>
      </c>
      <c r="L11" s="40">
        <v>100</v>
      </c>
      <c r="M11" s="40" t="s">
        <v>100</v>
      </c>
      <c r="N11" s="40" t="s">
        <v>10</v>
      </c>
      <c r="O11" s="40" t="s">
        <v>159</v>
      </c>
      <c r="P11" s="25" t="s">
        <v>162</v>
      </c>
      <c r="Q11" s="25" t="s">
        <v>126</v>
      </c>
      <c r="R11" s="25" t="s">
        <v>161</v>
      </c>
      <c r="S11" s="25">
        <v>2339300</v>
      </c>
      <c r="T11" s="25">
        <v>1</v>
      </c>
      <c r="U11" s="25">
        <v>37</v>
      </c>
      <c r="V11" s="30" t="s">
        <v>95</v>
      </c>
    </row>
    <row r="12" spans="1:22" x14ac:dyDescent="0.2">
      <c r="A12" s="22">
        <v>1744993</v>
      </c>
      <c r="B12" s="33">
        <v>45475</v>
      </c>
      <c r="C12" s="24" t="s">
        <v>97</v>
      </c>
      <c r="D12" s="24" t="s">
        <v>14</v>
      </c>
      <c r="E12" s="34">
        <v>12845.61</v>
      </c>
      <c r="F12" s="34">
        <v>0</v>
      </c>
      <c r="G12" s="42">
        <v>12845.61</v>
      </c>
      <c r="H12" s="42">
        <f t="shared" si="0"/>
        <v>350.74008240430538</v>
      </c>
      <c r="I12" s="42" t="s">
        <v>170</v>
      </c>
      <c r="J12" s="35">
        <v>6596</v>
      </c>
      <c r="K12" s="41">
        <v>10000</v>
      </c>
      <c r="L12" s="41">
        <v>100</v>
      </c>
      <c r="M12" s="41" t="s">
        <v>98</v>
      </c>
      <c r="N12" s="41" t="s">
        <v>29</v>
      </c>
      <c r="O12" s="41" t="s">
        <v>159</v>
      </c>
      <c r="P12" s="24" t="s">
        <v>160</v>
      </c>
      <c r="Q12" s="24" t="s">
        <v>126</v>
      </c>
      <c r="R12" s="24" t="s">
        <v>161</v>
      </c>
      <c r="S12" s="24">
        <v>2339300</v>
      </c>
      <c r="T12" s="24">
        <v>1</v>
      </c>
      <c r="U12" s="24">
        <v>3</v>
      </c>
      <c r="V12" s="29" t="s">
        <v>95</v>
      </c>
    </row>
    <row r="13" spans="1:22" x14ac:dyDescent="0.2">
      <c r="A13" s="23">
        <v>1744993</v>
      </c>
      <c r="B13" s="36">
        <v>45475</v>
      </c>
      <c r="C13" s="25" t="s">
        <v>97</v>
      </c>
      <c r="D13" s="25" t="s">
        <v>14</v>
      </c>
      <c r="E13" s="37">
        <v>5358.14</v>
      </c>
      <c r="F13" s="37">
        <v>0</v>
      </c>
      <c r="G13" s="42">
        <v>5358.14</v>
      </c>
      <c r="H13" s="42">
        <f t="shared" si="0"/>
        <v>146.30013406399578</v>
      </c>
      <c r="I13" s="42" t="s">
        <v>170</v>
      </c>
      <c r="J13" s="35">
        <v>6596</v>
      </c>
      <c r="K13" s="40">
        <v>10000</v>
      </c>
      <c r="L13" s="40">
        <v>100</v>
      </c>
      <c r="M13" s="40" t="s">
        <v>135</v>
      </c>
      <c r="N13" s="40" t="s">
        <v>27</v>
      </c>
      <c r="O13" s="40" t="s">
        <v>159</v>
      </c>
      <c r="P13" s="25" t="s">
        <v>163</v>
      </c>
      <c r="Q13" s="25" t="s">
        <v>126</v>
      </c>
      <c r="R13" s="25" t="s">
        <v>161</v>
      </c>
      <c r="S13" s="25">
        <v>2339300</v>
      </c>
      <c r="T13" s="25">
        <v>1</v>
      </c>
      <c r="U13" s="25">
        <v>41</v>
      </c>
      <c r="V13" s="30" t="s">
        <v>95</v>
      </c>
    </row>
  </sheetData>
  <autoFilter ref="A1:V13" xr:uid="{7B15C424-B7C6-4033-9824-3E6F5AAF0AF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Mantenimiento</vt:lpstr>
      <vt:lpstr>BD</vt:lpstr>
      <vt:lpstr>Detallado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Julio Gutiérrez</cp:lastModifiedBy>
  <cp:lastPrinted>2024-10-10T16:44:32Z</cp:lastPrinted>
  <dcterms:created xsi:type="dcterms:W3CDTF">2019-10-07T20:32:50Z</dcterms:created>
  <dcterms:modified xsi:type="dcterms:W3CDTF">2026-04-11T01:31:52Z</dcterms:modified>
</cp:coreProperties>
</file>