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recia Jimenez\Downloads\"/>
    </mc:Choice>
  </mc:AlternateContent>
  <xr:revisionPtr revIDLastSave="0" documentId="8_{67713E1A-2A6F-425E-911E-07FA9FD2CC28}" xr6:coauthVersionLast="47" xr6:coauthVersionMax="47" xr10:uidLastSave="{00000000-0000-0000-0000-000000000000}"/>
  <bookViews>
    <workbookView xWindow="-108" yWindow="-108" windowWidth="23256" windowHeight="12456" xr2:uid="{9407FCEF-E3AF-42AE-9AB1-22ECC076DFBA}"/>
  </bookViews>
  <sheets>
    <sheet name="ENERGIA" sheetId="1" r:id="rId1"/>
  </sheets>
  <externalReferences>
    <externalReference r:id="rId2"/>
    <externalReference r:id="rId3"/>
  </externalReferenc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1" i="1" l="1"/>
  <c r="B302" i="1" s="1"/>
  <c r="B300" i="1"/>
  <c r="B297" i="1"/>
  <c r="S296" i="1"/>
  <c r="B296" i="1"/>
  <c r="S294" i="1"/>
  <c r="B313" i="1" s="1"/>
  <c r="P292" i="1"/>
  <c r="D292" i="1"/>
  <c r="E292" i="1" s="1"/>
  <c r="C292" i="1"/>
  <c r="P291" i="1"/>
  <c r="C291" i="1"/>
  <c r="P290" i="1"/>
  <c r="C290" i="1"/>
  <c r="P289" i="1"/>
  <c r="C289" i="1"/>
  <c r="D289" i="1" s="1"/>
  <c r="P288" i="1"/>
  <c r="C288" i="1"/>
  <c r="D288" i="1" s="1"/>
  <c r="P287" i="1"/>
  <c r="C287" i="1"/>
  <c r="P286" i="1"/>
  <c r="C286" i="1"/>
  <c r="P285" i="1"/>
  <c r="C285" i="1"/>
  <c r="P284" i="1"/>
  <c r="C284" i="1"/>
  <c r="P283" i="1"/>
  <c r="C283" i="1"/>
  <c r="D283" i="1" s="1"/>
  <c r="P282" i="1"/>
  <c r="C282" i="1"/>
  <c r="P281" i="1"/>
  <c r="C281" i="1"/>
  <c r="P280" i="1"/>
  <c r="C280" i="1"/>
  <c r="P279" i="1"/>
  <c r="C279" i="1"/>
  <c r="D279" i="1" s="1"/>
  <c r="P278" i="1"/>
  <c r="C278" i="1"/>
  <c r="P277" i="1"/>
  <c r="C277" i="1"/>
  <c r="D277" i="1" s="1"/>
  <c r="P276" i="1"/>
  <c r="C276" i="1"/>
  <c r="P275" i="1"/>
  <c r="C275" i="1"/>
  <c r="P274" i="1"/>
  <c r="C274" i="1"/>
  <c r="D274" i="1" s="1"/>
  <c r="P273" i="1"/>
  <c r="C273" i="1"/>
  <c r="P272" i="1"/>
  <c r="C272" i="1"/>
  <c r="P271" i="1"/>
  <c r="C271" i="1"/>
  <c r="P270" i="1"/>
  <c r="C270" i="1"/>
  <c r="P269" i="1"/>
  <c r="C269" i="1"/>
  <c r="P268" i="1"/>
  <c r="D268" i="1"/>
  <c r="C268" i="1"/>
  <c r="P267" i="1"/>
  <c r="C267" i="1"/>
  <c r="D267" i="1" s="1"/>
  <c r="E267" i="1" s="1"/>
  <c r="P266" i="1"/>
  <c r="C266" i="1"/>
  <c r="P265" i="1"/>
  <c r="D265" i="1"/>
  <c r="E265" i="1" s="1"/>
  <c r="C265" i="1"/>
  <c r="P264" i="1"/>
  <c r="C264" i="1"/>
  <c r="P263" i="1"/>
  <c r="O263" i="1"/>
  <c r="C263" i="1"/>
  <c r="P262" i="1"/>
  <c r="C262" i="1"/>
  <c r="P261" i="1"/>
  <c r="C261" i="1"/>
  <c r="D261" i="1" s="1"/>
  <c r="P260" i="1"/>
  <c r="C260" i="1"/>
  <c r="P259" i="1"/>
  <c r="C259" i="1"/>
  <c r="D259" i="1" s="1"/>
  <c r="P258" i="1"/>
  <c r="C258" i="1"/>
  <c r="D258" i="1" s="1"/>
  <c r="E258" i="1" s="1"/>
  <c r="P257" i="1"/>
  <c r="C257" i="1"/>
  <c r="P256" i="1"/>
  <c r="C256" i="1"/>
  <c r="D256" i="1" s="1"/>
  <c r="P255" i="1"/>
  <c r="C255" i="1"/>
  <c r="P254" i="1"/>
  <c r="C254" i="1"/>
  <c r="P253" i="1"/>
  <c r="C253" i="1"/>
  <c r="P252" i="1"/>
  <c r="C252" i="1"/>
  <c r="P251" i="1"/>
  <c r="C251" i="1"/>
  <c r="P250" i="1"/>
  <c r="C250" i="1"/>
  <c r="D250" i="1" s="1"/>
  <c r="P249" i="1"/>
  <c r="C249" i="1"/>
  <c r="D249" i="1" s="1"/>
  <c r="E249" i="1" s="1"/>
  <c r="P248" i="1"/>
  <c r="C248" i="1"/>
  <c r="P247" i="1"/>
  <c r="C247" i="1"/>
  <c r="P246" i="1"/>
  <c r="C246" i="1"/>
  <c r="P245" i="1"/>
  <c r="C245" i="1"/>
  <c r="P244" i="1"/>
  <c r="C244" i="1"/>
  <c r="D244" i="1" s="1"/>
  <c r="P243" i="1"/>
  <c r="C243" i="1"/>
  <c r="P242" i="1"/>
  <c r="C242" i="1"/>
  <c r="P241" i="1"/>
  <c r="C241" i="1"/>
  <c r="D241" i="1" s="1"/>
  <c r="P240" i="1"/>
  <c r="C240" i="1"/>
  <c r="D240" i="1" s="1"/>
  <c r="E240" i="1" s="1"/>
  <c r="P239" i="1"/>
  <c r="C239" i="1"/>
  <c r="P238" i="1"/>
  <c r="C238" i="1"/>
  <c r="P237" i="1"/>
  <c r="C237" i="1"/>
  <c r="P236" i="1"/>
  <c r="C236" i="1"/>
  <c r="P235" i="1"/>
  <c r="C235" i="1"/>
  <c r="D235" i="1" s="1"/>
  <c r="P234" i="1"/>
  <c r="C234" i="1"/>
  <c r="D234" i="1" s="1"/>
  <c r="P233" i="1"/>
  <c r="C233" i="1"/>
  <c r="P232" i="1"/>
  <c r="C232" i="1"/>
  <c r="D232" i="1" s="1"/>
  <c r="P231" i="1"/>
  <c r="C231" i="1"/>
  <c r="D231" i="1" s="1"/>
  <c r="E231" i="1" s="1"/>
  <c r="P230" i="1"/>
  <c r="C230" i="1"/>
  <c r="P229" i="1"/>
  <c r="C229" i="1"/>
  <c r="P228" i="1"/>
  <c r="C228" i="1"/>
  <c r="B228" i="1" a="1"/>
  <c r="P227" i="1"/>
  <c r="C227" i="1"/>
  <c r="B227" i="1" a="1"/>
  <c r="B227" i="1" s="1"/>
  <c r="P226" i="1"/>
  <c r="C226" i="1"/>
  <c r="P225" i="1"/>
  <c r="C225" i="1"/>
  <c r="P224" i="1"/>
  <c r="C224" i="1"/>
  <c r="P223" i="1"/>
  <c r="C223" i="1"/>
  <c r="B223" i="1" a="1"/>
  <c r="D226" i="1" s="1"/>
  <c r="E226" i="1" s="1"/>
  <c r="P222" i="1"/>
  <c r="O222" i="1"/>
  <c r="Q222" i="1" s="1"/>
  <c r="R222" i="1" s="1"/>
  <c r="C222" i="1"/>
  <c r="D222" i="1" s="1"/>
  <c r="P221" i="1"/>
  <c r="C221" i="1"/>
  <c r="P220" i="1"/>
  <c r="C220" i="1"/>
  <c r="D220" i="1" s="1"/>
  <c r="E220" i="1" s="1"/>
  <c r="P219" i="1"/>
  <c r="C219" i="1"/>
  <c r="D219" i="1" s="1"/>
  <c r="P218" i="1"/>
  <c r="D218" i="1"/>
  <c r="E218" i="1" s="1"/>
  <c r="C218" i="1"/>
  <c r="B218" i="1"/>
  <c r="B218" i="1" a="1"/>
  <c r="P217" i="1"/>
  <c r="C217" i="1"/>
  <c r="P216" i="1"/>
  <c r="C216" i="1"/>
  <c r="P215" i="1"/>
  <c r="O215" i="1"/>
  <c r="C215" i="1"/>
  <c r="D215" i="1" s="1"/>
  <c r="P214" i="1"/>
  <c r="C214" i="1"/>
  <c r="P213" i="1"/>
  <c r="C213" i="1"/>
  <c r="P212" i="1"/>
  <c r="C212" i="1"/>
  <c r="P211" i="1"/>
  <c r="C211" i="1"/>
  <c r="D211" i="1" s="1"/>
  <c r="E211" i="1" s="1"/>
  <c r="P210" i="1"/>
  <c r="C210" i="1"/>
  <c r="P209" i="1"/>
  <c r="C209" i="1"/>
  <c r="P208" i="1"/>
  <c r="C208" i="1"/>
  <c r="B208" i="1" a="1"/>
  <c r="D212" i="1" s="1"/>
  <c r="Q207" i="1"/>
  <c r="R207" i="1" s="1"/>
  <c r="P207" i="1"/>
  <c r="C207" i="1"/>
  <c r="B207" i="1" a="1"/>
  <c r="B207" i="1" s="1"/>
  <c r="P206" i="1"/>
  <c r="C206" i="1"/>
  <c r="B206" i="1" a="1"/>
  <c r="B206" i="1" s="1"/>
  <c r="D206" i="1" s="1"/>
  <c r="E206" i="1" s="1"/>
  <c r="P205" i="1"/>
  <c r="C205" i="1"/>
  <c r="B205" i="1" a="1"/>
  <c r="B205" i="1" s="1"/>
  <c r="D205" i="1" s="1"/>
  <c r="E205" i="1" s="1"/>
  <c r="P204" i="1"/>
  <c r="O204" i="1"/>
  <c r="C204" i="1"/>
  <c r="B204" i="1" a="1"/>
  <c r="B204" i="1" s="1"/>
  <c r="P203" i="1"/>
  <c r="P294" i="1" s="1"/>
  <c r="C203" i="1"/>
  <c r="B203" i="1" a="1"/>
  <c r="B203" i="1" s="1"/>
  <c r="D202" i="1"/>
  <c r="E197" i="1"/>
  <c r="D197" i="1"/>
  <c r="C197" i="1"/>
  <c r="F170" i="1"/>
  <c r="F152" i="1"/>
  <c r="G52" i="1" s="1"/>
  <c r="B132" i="1" a="1"/>
  <c r="F145" i="1" s="1"/>
  <c r="G45" i="1" s="1"/>
  <c r="B131" i="1"/>
  <c r="O227" i="1" s="1"/>
  <c r="Q227" i="1" s="1"/>
  <c r="R227" i="1" s="1"/>
  <c r="B131" i="1" a="1"/>
  <c r="B127" i="1" a="1"/>
  <c r="O225" i="1" s="1"/>
  <c r="B122" i="1" a="1"/>
  <c r="O220" i="1" s="1"/>
  <c r="Q220" i="1" s="1"/>
  <c r="R220" i="1" s="1"/>
  <c r="T220" i="1" s="1"/>
  <c r="F121" i="1"/>
  <c r="G21" i="1" s="1"/>
  <c r="F119" i="1"/>
  <c r="G19" i="1" s="1"/>
  <c r="F118" i="1"/>
  <c r="G18" i="1" s="1"/>
  <c r="B112" i="1" a="1"/>
  <c r="B112" i="1" s="1"/>
  <c r="O208" i="1" s="1"/>
  <c r="Q208" i="1" s="1"/>
  <c r="R208" i="1" s="1"/>
  <c r="B111" i="1" a="1"/>
  <c r="B111" i="1" s="1"/>
  <c r="O207" i="1" s="1"/>
  <c r="B110" i="1" a="1"/>
  <c r="B110" i="1" s="1"/>
  <c r="B109" i="1" a="1"/>
  <c r="B109" i="1" s="1"/>
  <c r="F108" i="1"/>
  <c r="G8" i="1" s="1"/>
  <c r="B108" i="1" a="1"/>
  <c r="B108" i="1" s="1"/>
  <c r="B107" i="1" a="1"/>
  <c r="B107" i="1" s="1"/>
  <c r="O203" i="1" s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G70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B298" i="1" l="1"/>
  <c r="F109" i="1"/>
  <c r="G9" i="1" s="1"/>
  <c r="O205" i="1"/>
  <c r="F176" i="1"/>
  <c r="G76" i="1" s="1"/>
  <c r="Q254" i="1"/>
  <c r="R254" i="1" s="1"/>
  <c r="F180" i="1"/>
  <c r="G80" i="1" s="1"/>
  <c r="O216" i="1"/>
  <c r="Q216" i="1" s="1"/>
  <c r="R216" i="1" s="1"/>
  <c r="O292" i="1"/>
  <c r="F181" i="1"/>
  <c r="G81" i="1" s="1"/>
  <c r="Q260" i="1"/>
  <c r="R260" i="1" s="1"/>
  <c r="F124" i="1"/>
  <c r="G24" i="1" s="1"/>
  <c r="O251" i="1"/>
  <c r="O274" i="1"/>
  <c r="Q274" i="1" s="1"/>
  <c r="R274" i="1" s="1"/>
  <c r="T274" i="1" s="1"/>
  <c r="O289" i="1"/>
  <c r="F153" i="1"/>
  <c r="G53" i="1" s="1"/>
  <c r="Q263" i="1"/>
  <c r="R263" i="1" s="1"/>
  <c r="F173" i="1"/>
  <c r="G73" i="1" s="1"/>
  <c r="Q272" i="1"/>
  <c r="R272" i="1" s="1"/>
  <c r="F156" i="1"/>
  <c r="G56" i="1" s="1"/>
  <c r="O260" i="1"/>
  <c r="O283" i="1"/>
  <c r="Q283" i="1" s="1"/>
  <c r="R283" i="1" s="1"/>
  <c r="T283" i="1" s="1"/>
  <c r="F137" i="1"/>
  <c r="G37" i="1" s="1"/>
  <c r="O219" i="1"/>
  <c r="F114" i="1"/>
  <c r="G14" i="1" s="1"/>
  <c r="F125" i="1"/>
  <c r="G25" i="1" s="1"/>
  <c r="F141" i="1"/>
  <c r="G41" i="1" s="1"/>
  <c r="F165" i="1"/>
  <c r="G65" i="1" s="1"/>
  <c r="F183" i="1"/>
  <c r="G83" i="1" s="1"/>
  <c r="Q205" i="1"/>
  <c r="R205" i="1" s="1"/>
  <c r="T205" i="1" s="1"/>
  <c r="D209" i="1"/>
  <c r="E209" i="1" s="1"/>
  <c r="D217" i="1"/>
  <c r="E217" i="1" s="1"/>
  <c r="D224" i="1"/>
  <c r="E224" i="1" s="1"/>
  <c r="Q251" i="1"/>
  <c r="R251" i="1" s="1"/>
  <c r="O256" i="1"/>
  <c r="O265" i="1"/>
  <c r="D270" i="1"/>
  <c r="D280" i="1"/>
  <c r="O272" i="1"/>
  <c r="F140" i="1"/>
  <c r="G40" i="1" s="1"/>
  <c r="F115" i="1"/>
  <c r="G15" i="1" s="1"/>
  <c r="F126" i="1"/>
  <c r="G26" i="1" s="1"/>
  <c r="F142" i="1"/>
  <c r="G42" i="1" s="1"/>
  <c r="F166" i="1"/>
  <c r="G66" i="1" s="1"/>
  <c r="F185" i="1"/>
  <c r="G85" i="1" s="1"/>
  <c r="O209" i="1"/>
  <c r="O213" i="1"/>
  <c r="Q213" i="1" s="1"/>
  <c r="R213" i="1" s="1"/>
  <c r="O233" i="1"/>
  <c r="Q233" i="1" s="1"/>
  <c r="R233" i="1" s="1"/>
  <c r="O242" i="1"/>
  <c r="D247" i="1"/>
  <c r="E247" i="1" s="1"/>
  <c r="D252" i="1"/>
  <c r="D262" i="1"/>
  <c r="E262" i="1" s="1"/>
  <c r="O280" i="1"/>
  <c r="D285" i="1"/>
  <c r="E285" i="1" s="1"/>
  <c r="F195" i="1"/>
  <c r="G95" i="1" s="1"/>
  <c r="O287" i="1"/>
  <c r="Q287" i="1" s="1"/>
  <c r="R287" i="1" s="1"/>
  <c r="F133" i="1"/>
  <c r="G33" i="1" s="1"/>
  <c r="F154" i="1"/>
  <c r="G54" i="1" s="1"/>
  <c r="F155" i="1"/>
  <c r="G55" i="1" s="1"/>
  <c r="O245" i="1"/>
  <c r="Q245" i="1" s="1"/>
  <c r="R245" i="1" s="1"/>
  <c r="F157" i="1"/>
  <c r="G57" i="1" s="1"/>
  <c r="O212" i="1"/>
  <c r="Q212" i="1" s="1"/>
  <c r="R212" i="1" s="1"/>
  <c r="T212" i="1" s="1"/>
  <c r="O236" i="1"/>
  <c r="Q236" i="1" s="1"/>
  <c r="R236" i="1" s="1"/>
  <c r="Q292" i="1"/>
  <c r="R292" i="1" s="1"/>
  <c r="F113" i="1"/>
  <c r="G13" i="1" s="1"/>
  <c r="F182" i="1"/>
  <c r="G82" i="1" s="1"/>
  <c r="F116" i="1"/>
  <c r="G16" i="1" s="1"/>
  <c r="F143" i="1"/>
  <c r="G43" i="1" s="1"/>
  <c r="F167" i="1"/>
  <c r="G67" i="1" s="1"/>
  <c r="F188" i="1"/>
  <c r="G88" i="1" s="1"/>
  <c r="Q209" i="1"/>
  <c r="R209" i="1" s="1"/>
  <c r="D221" i="1"/>
  <c r="D225" i="1"/>
  <c r="E225" i="1" s="1"/>
  <c r="Q242" i="1"/>
  <c r="R242" i="1" s="1"/>
  <c r="O247" i="1"/>
  <c r="Q247" i="1" s="1"/>
  <c r="R247" i="1" s="1"/>
  <c r="T247" i="1" s="1"/>
  <c r="O262" i="1"/>
  <c r="Q262" i="1" s="1"/>
  <c r="R262" i="1" s="1"/>
  <c r="T262" i="1" s="1"/>
  <c r="D271" i="1"/>
  <c r="O290" i="1"/>
  <c r="Q290" i="1" s="1"/>
  <c r="R290" i="1" s="1"/>
  <c r="T290" i="1" s="1"/>
  <c r="F191" i="1"/>
  <c r="G91" i="1" s="1"/>
  <c r="F171" i="1"/>
  <c r="G71" i="1" s="1"/>
  <c r="O244" i="1"/>
  <c r="O235" i="1"/>
  <c r="O254" i="1"/>
  <c r="B122" i="1"/>
  <c r="F134" i="1"/>
  <c r="G34" i="1" s="1"/>
  <c r="O278" i="1"/>
  <c r="F135" i="1"/>
  <c r="G35" i="1" s="1"/>
  <c r="Q278" i="1"/>
  <c r="R278" i="1" s="1"/>
  <c r="F123" i="1"/>
  <c r="G23" i="1" s="1"/>
  <c r="O269" i="1"/>
  <c r="Q269" i="1" s="1"/>
  <c r="R269" i="1" s="1"/>
  <c r="F158" i="1"/>
  <c r="G58" i="1" s="1"/>
  <c r="F117" i="1"/>
  <c r="G17" i="1" s="1"/>
  <c r="F129" i="1"/>
  <c r="G29" i="1" s="1"/>
  <c r="F147" i="1"/>
  <c r="G47" i="1" s="1"/>
  <c r="F168" i="1"/>
  <c r="G68" i="1" s="1"/>
  <c r="F189" i="1"/>
  <c r="G89" i="1" s="1"/>
  <c r="D229" i="1"/>
  <c r="D238" i="1"/>
  <c r="D243" i="1"/>
  <c r="E243" i="1" s="1"/>
  <c r="D253" i="1"/>
  <c r="O271" i="1"/>
  <c r="Q271" i="1" s="1"/>
  <c r="R271" i="1" s="1"/>
  <c r="T271" i="1" s="1"/>
  <c r="D276" i="1"/>
  <c r="E276" i="1" s="1"/>
  <c r="D286" i="1"/>
  <c r="E286" i="1" s="1"/>
  <c r="F149" i="1"/>
  <c r="G49" i="1" s="1"/>
  <c r="F169" i="1"/>
  <c r="G69" i="1" s="1"/>
  <c r="F190" i="1"/>
  <c r="G90" i="1" s="1"/>
  <c r="O210" i="1"/>
  <c r="Q210" i="1" s="1"/>
  <c r="R210" i="1" s="1"/>
  <c r="O229" i="1"/>
  <c r="Q229" i="1" s="1"/>
  <c r="R229" i="1" s="1"/>
  <c r="T229" i="1" s="1"/>
  <c r="O238" i="1"/>
  <c r="O253" i="1"/>
  <c r="O281" i="1"/>
  <c r="Q281" i="1" s="1"/>
  <c r="R281" i="1" s="1"/>
  <c r="O206" i="1"/>
  <c r="Q206" i="1" s="1"/>
  <c r="R206" i="1" s="1"/>
  <c r="T206" i="1" s="1"/>
  <c r="F110" i="1"/>
  <c r="G10" i="1" s="1"/>
  <c r="E232" i="1"/>
  <c r="E274" i="1"/>
  <c r="E283" i="1"/>
  <c r="E219" i="1"/>
  <c r="E241" i="1"/>
  <c r="E238" i="1"/>
  <c r="E215" i="1"/>
  <c r="E259" i="1"/>
  <c r="E250" i="1"/>
  <c r="E256" i="1"/>
  <c r="E221" i="1"/>
  <c r="D204" i="1"/>
  <c r="E229" i="1"/>
  <c r="C307" i="1"/>
  <c r="E288" i="1"/>
  <c r="Q265" i="1"/>
  <c r="R265" i="1" s="1"/>
  <c r="T265" i="1" s="1"/>
  <c r="E212" i="1"/>
  <c r="Q225" i="1"/>
  <c r="R225" i="1" s="1"/>
  <c r="E235" i="1"/>
  <c r="Q244" i="1"/>
  <c r="R244" i="1" s="1"/>
  <c r="T244" i="1" s="1"/>
  <c r="E280" i="1"/>
  <c r="E270" i="1"/>
  <c r="Q238" i="1"/>
  <c r="R238" i="1" s="1"/>
  <c r="T238" i="1" s="1"/>
  <c r="E277" i="1"/>
  <c r="Q280" i="1"/>
  <c r="R280" i="1" s="1"/>
  <c r="T280" i="1" s="1"/>
  <c r="O224" i="1"/>
  <c r="Q224" i="1" s="1"/>
  <c r="R224" i="1" s="1"/>
  <c r="F130" i="1"/>
  <c r="G30" i="1" s="1"/>
  <c r="F128" i="1"/>
  <c r="G28" i="1" s="1"/>
  <c r="O226" i="1"/>
  <c r="Q226" i="1" s="1"/>
  <c r="R226" i="1" s="1"/>
  <c r="T226" i="1" s="1"/>
  <c r="D227" i="1"/>
  <c r="E261" i="1"/>
  <c r="T261" i="1"/>
  <c r="E271" i="1"/>
  <c r="Q219" i="1"/>
  <c r="R219" i="1" s="1"/>
  <c r="T219" i="1" s="1"/>
  <c r="E289" i="1"/>
  <c r="E234" i="1"/>
  <c r="T234" i="1"/>
  <c r="E244" i="1"/>
  <c r="Q253" i="1"/>
  <c r="R253" i="1" s="1"/>
  <c r="Q215" i="1"/>
  <c r="R215" i="1" s="1"/>
  <c r="T215" i="1" s="1"/>
  <c r="Q256" i="1"/>
  <c r="R256" i="1" s="1"/>
  <c r="T256" i="1" s="1"/>
  <c r="E279" i="1"/>
  <c r="Q289" i="1"/>
  <c r="R289" i="1" s="1"/>
  <c r="T289" i="1" s="1"/>
  <c r="Q204" i="1"/>
  <c r="R204" i="1" s="1"/>
  <c r="Q235" i="1"/>
  <c r="R235" i="1" s="1"/>
  <c r="T235" i="1" s="1"/>
  <c r="B127" i="1"/>
  <c r="D207" i="1"/>
  <c r="T222" i="1"/>
  <c r="E222" i="1"/>
  <c r="E268" i="1"/>
  <c r="D290" i="1"/>
  <c r="E290" i="1" s="1"/>
  <c r="D287" i="1"/>
  <c r="D284" i="1"/>
  <c r="D281" i="1"/>
  <c r="D278" i="1"/>
  <c r="D275" i="1"/>
  <c r="D272" i="1"/>
  <c r="D269" i="1"/>
  <c r="D266" i="1"/>
  <c r="D263" i="1"/>
  <c r="D260" i="1"/>
  <c r="D257" i="1"/>
  <c r="D254" i="1"/>
  <c r="D251" i="1"/>
  <c r="D248" i="1"/>
  <c r="D245" i="1"/>
  <c r="D242" i="1"/>
  <c r="D239" i="1"/>
  <c r="D236" i="1"/>
  <c r="D233" i="1"/>
  <c r="D230" i="1"/>
  <c r="F111" i="1"/>
  <c r="G11" i="1" s="1"/>
  <c r="F131" i="1"/>
  <c r="G31" i="1" s="1"/>
  <c r="F144" i="1"/>
  <c r="G44" i="1" s="1"/>
  <c r="F159" i="1"/>
  <c r="G59" i="1" s="1"/>
  <c r="F177" i="1"/>
  <c r="G77" i="1" s="1"/>
  <c r="F192" i="1"/>
  <c r="G92" i="1" s="1"/>
  <c r="C294" i="1"/>
  <c r="B208" i="1"/>
  <c r="D208" i="1" s="1"/>
  <c r="B228" i="1"/>
  <c r="D228" i="1" s="1"/>
  <c r="O230" i="1"/>
  <c r="Q230" i="1" s="1"/>
  <c r="R230" i="1" s="1"/>
  <c r="O232" i="1"/>
  <c r="O239" i="1"/>
  <c r="Q239" i="1" s="1"/>
  <c r="R239" i="1" s="1"/>
  <c r="O241" i="1"/>
  <c r="Q241" i="1" s="1"/>
  <c r="R241" i="1" s="1"/>
  <c r="T241" i="1" s="1"/>
  <c r="O248" i="1"/>
  <c r="Q248" i="1" s="1"/>
  <c r="R248" i="1" s="1"/>
  <c r="O250" i="1"/>
  <c r="Q250" i="1" s="1"/>
  <c r="R250" i="1" s="1"/>
  <c r="T250" i="1" s="1"/>
  <c r="O257" i="1"/>
  <c r="Q257" i="1" s="1"/>
  <c r="R257" i="1" s="1"/>
  <c r="O259" i="1"/>
  <c r="Q259" i="1" s="1"/>
  <c r="R259" i="1" s="1"/>
  <c r="T259" i="1" s="1"/>
  <c r="O266" i="1"/>
  <c r="Q266" i="1" s="1"/>
  <c r="R266" i="1" s="1"/>
  <c r="O268" i="1"/>
  <c r="Q268" i="1" s="1"/>
  <c r="R268" i="1" s="1"/>
  <c r="T268" i="1" s="1"/>
  <c r="O275" i="1"/>
  <c r="Q275" i="1" s="1"/>
  <c r="R275" i="1" s="1"/>
  <c r="O277" i="1"/>
  <c r="Q277" i="1" s="1"/>
  <c r="R277" i="1" s="1"/>
  <c r="T277" i="1" s="1"/>
  <c r="O284" i="1"/>
  <c r="Q284" i="1" s="1"/>
  <c r="R284" i="1" s="1"/>
  <c r="O286" i="1"/>
  <c r="F187" i="1"/>
  <c r="G87" i="1" s="1"/>
  <c r="F175" i="1"/>
  <c r="G75" i="1" s="1"/>
  <c r="F163" i="1"/>
  <c r="G63" i="1" s="1"/>
  <c r="F151" i="1"/>
  <c r="G51" i="1" s="1"/>
  <c r="F139" i="1"/>
  <c r="G39" i="1" s="1"/>
  <c r="O291" i="1"/>
  <c r="Q291" i="1" s="1"/>
  <c r="R291" i="1" s="1"/>
  <c r="O288" i="1"/>
  <c r="Q288" i="1" s="1"/>
  <c r="R288" i="1" s="1"/>
  <c r="T288" i="1" s="1"/>
  <c r="O285" i="1"/>
  <c r="Q285" i="1" s="1"/>
  <c r="R285" i="1" s="1"/>
  <c r="T285" i="1" s="1"/>
  <c r="O282" i="1"/>
  <c r="Q282" i="1" s="1"/>
  <c r="R282" i="1" s="1"/>
  <c r="O279" i="1"/>
  <c r="Q279" i="1" s="1"/>
  <c r="R279" i="1" s="1"/>
  <c r="T279" i="1" s="1"/>
  <c r="O276" i="1"/>
  <c r="Q276" i="1" s="1"/>
  <c r="R276" i="1" s="1"/>
  <c r="O273" i="1"/>
  <c r="Q273" i="1" s="1"/>
  <c r="R273" i="1" s="1"/>
  <c r="O270" i="1"/>
  <c r="Q270" i="1" s="1"/>
  <c r="R270" i="1" s="1"/>
  <c r="T270" i="1" s="1"/>
  <c r="O267" i="1"/>
  <c r="Q267" i="1" s="1"/>
  <c r="R267" i="1" s="1"/>
  <c r="T267" i="1" s="1"/>
  <c r="O264" i="1"/>
  <c r="Q264" i="1" s="1"/>
  <c r="R264" i="1" s="1"/>
  <c r="O261" i="1"/>
  <c r="Q261" i="1" s="1"/>
  <c r="R261" i="1" s="1"/>
  <c r="O258" i="1"/>
  <c r="Q258" i="1" s="1"/>
  <c r="R258" i="1" s="1"/>
  <c r="T258" i="1" s="1"/>
  <c r="O255" i="1"/>
  <c r="Q255" i="1" s="1"/>
  <c r="R255" i="1" s="1"/>
  <c r="O252" i="1"/>
  <c r="Q252" i="1" s="1"/>
  <c r="R252" i="1" s="1"/>
  <c r="O249" i="1"/>
  <c r="Q249" i="1" s="1"/>
  <c r="R249" i="1" s="1"/>
  <c r="T249" i="1" s="1"/>
  <c r="O246" i="1"/>
  <c r="Q246" i="1" s="1"/>
  <c r="R246" i="1" s="1"/>
  <c r="O243" i="1"/>
  <c r="Q243" i="1" s="1"/>
  <c r="R243" i="1" s="1"/>
  <c r="O240" i="1"/>
  <c r="Q240" i="1" s="1"/>
  <c r="R240" i="1" s="1"/>
  <c r="T240" i="1" s="1"/>
  <c r="O237" i="1"/>
  <c r="Q237" i="1" s="1"/>
  <c r="R237" i="1" s="1"/>
  <c r="O234" i="1"/>
  <c r="Q234" i="1" s="1"/>
  <c r="R234" i="1" s="1"/>
  <c r="O231" i="1"/>
  <c r="Q231" i="1" s="1"/>
  <c r="R231" i="1" s="1"/>
  <c r="T231" i="1" s="1"/>
  <c r="F186" i="1"/>
  <c r="G86" i="1" s="1"/>
  <c r="F174" i="1"/>
  <c r="G74" i="1" s="1"/>
  <c r="F162" i="1"/>
  <c r="G62" i="1" s="1"/>
  <c r="F150" i="1"/>
  <c r="G50" i="1" s="1"/>
  <c r="F138" i="1"/>
  <c r="G38" i="1" s="1"/>
  <c r="F196" i="1"/>
  <c r="G96" i="1" s="1"/>
  <c r="F184" i="1"/>
  <c r="G84" i="1" s="1"/>
  <c r="F172" i="1"/>
  <c r="G72" i="1" s="1"/>
  <c r="F160" i="1"/>
  <c r="G60" i="1" s="1"/>
  <c r="F148" i="1"/>
  <c r="G48" i="1" s="1"/>
  <c r="F136" i="1"/>
  <c r="G36" i="1" s="1"/>
  <c r="F161" i="1"/>
  <c r="G61" i="1" s="1"/>
  <c r="F178" i="1"/>
  <c r="G78" i="1" s="1"/>
  <c r="F193" i="1"/>
  <c r="G93" i="1" s="1"/>
  <c r="D203" i="1"/>
  <c r="D214" i="1"/>
  <c r="Q232" i="1"/>
  <c r="R232" i="1" s="1"/>
  <c r="T232" i="1" s="1"/>
  <c r="D237" i="1"/>
  <c r="D246" i="1"/>
  <c r="D255" i="1"/>
  <c r="D264" i="1"/>
  <c r="D273" i="1"/>
  <c r="D282" i="1"/>
  <c r="Q286" i="1"/>
  <c r="R286" i="1" s="1"/>
  <c r="T286" i="1" s="1"/>
  <c r="D291" i="1"/>
  <c r="F107" i="1"/>
  <c r="G7" i="1" s="1"/>
  <c r="F112" i="1"/>
  <c r="G12" i="1" s="1"/>
  <c r="B132" i="1"/>
  <c r="F146" i="1"/>
  <c r="G46" i="1" s="1"/>
  <c r="F164" i="1"/>
  <c r="G64" i="1" s="1"/>
  <c r="F179" i="1"/>
  <c r="G79" i="1" s="1"/>
  <c r="F194" i="1"/>
  <c r="G94" i="1" s="1"/>
  <c r="D216" i="1"/>
  <c r="D213" i="1"/>
  <c r="D210" i="1"/>
  <c r="Q203" i="1"/>
  <c r="R203" i="1" s="1"/>
  <c r="F120" i="1"/>
  <c r="G20" i="1" s="1"/>
  <c r="O221" i="1"/>
  <c r="Q221" i="1" s="1"/>
  <c r="R221" i="1" s="1"/>
  <c r="T221" i="1" s="1"/>
  <c r="O211" i="1"/>
  <c r="Q211" i="1" s="1"/>
  <c r="R211" i="1" s="1"/>
  <c r="T211" i="1" s="1"/>
  <c r="O214" i="1"/>
  <c r="Q214" i="1" s="1"/>
  <c r="R214" i="1" s="1"/>
  <c r="O217" i="1"/>
  <c r="Q217" i="1" s="1"/>
  <c r="R217" i="1" s="1"/>
  <c r="B223" i="1"/>
  <c r="D223" i="1" s="1"/>
  <c r="T253" i="1" l="1"/>
  <c r="T252" i="1"/>
  <c r="O218" i="1"/>
  <c r="Q218" i="1" s="1"/>
  <c r="R218" i="1" s="1"/>
  <c r="T218" i="1" s="1"/>
  <c r="F122" i="1"/>
  <c r="G22" i="1" s="1"/>
  <c r="T225" i="1"/>
  <c r="T276" i="1"/>
  <c r="E252" i="1"/>
  <c r="E253" i="1"/>
  <c r="T209" i="1"/>
  <c r="T224" i="1"/>
  <c r="T217" i="1"/>
  <c r="T243" i="1"/>
  <c r="E228" i="1"/>
  <c r="E208" i="1"/>
  <c r="T208" i="1"/>
  <c r="E255" i="1"/>
  <c r="T255" i="1"/>
  <c r="T263" i="1"/>
  <c r="E263" i="1"/>
  <c r="E246" i="1"/>
  <c r="T246" i="1"/>
  <c r="E207" i="1"/>
  <c r="T207" i="1"/>
  <c r="E260" i="1"/>
  <c r="T260" i="1"/>
  <c r="O228" i="1"/>
  <c r="Q228" i="1" s="1"/>
  <c r="R228" i="1" s="1"/>
  <c r="T228" i="1" s="1"/>
  <c r="F132" i="1"/>
  <c r="G32" i="1" s="1"/>
  <c r="E230" i="1"/>
  <c r="T230" i="1"/>
  <c r="E266" i="1"/>
  <c r="T266" i="1"/>
  <c r="E233" i="1"/>
  <c r="T233" i="1"/>
  <c r="E269" i="1"/>
  <c r="T269" i="1"/>
  <c r="B294" i="1"/>
  <c r="B306" i="1" s="1"/>
  <c r="E227" i="1"/>
  <c r="T227" i="1"/>
  <c r="T204" i="1"/>
  <c r="E204" i="1"/>
  <c r="T236" i="1"/>
  <c r="E236" i="1"/>
  <c r="T272" i="1"/>
  <c r="E272" i="1"/>
  <c r="F127" i="1"/>
  <c r="G27" i="1" s="1"/>
  <c r="O223" i="1"/>
  <c r="Q223" i="1" s="1"/>
  <c r="R223" i="1" s="1"/>
  <c r="T223" i="1" s="1"/>
  <c r="T292" i="1"/>
  <c r="E291" i="1"/>
  <c r="E239" i="1"/>
  <c r="T239" i="1"/>
  <c r="E278" i="1"/>
  <c r="T278" i="1"/>
  <c r="E210" i="1"/>
  <c r="T210" i="1"/>
  <c r="E214" i="1"/>
  <c r="T214" i="1"/>
  <c r="T281" i="1"/>
  <c r="E281" i="1"/>
  <c r="T213" i="1"/>
  <c r="E213" i="1"/>
  <c r="E248" i="1"/>
  <c r="T248" i="1"/>
  <c r="E237" i="1"/>
  <c r="T237" i="1"/>
  <c r="E275" i="1"/>
  <c r="T275" i="1"/>
  <c r="E242" i="1"/>
  <c r="T242" i="1"/>
  <c r="E282" i="1"/>
  <c r="T282" i="1"/>
  <c r="D294" i="1"/>
  <c r="E294" i="1" s="1"/>
  <c r="C306" i="1"/>
  <c r="D306" i="1" s="1"/>
  <c r="T245" i="1"/>
  <c r="E245" i="1"/>
  <c r="B197" i="1"/>
  <c r="F197" i="1" s="1"/>
  <c r="G97" i="1" s="1"/>
  <c r="E273" i="1"/>
  <c r="T273" i="1"/>
  <c r="E284" i="1"/>
  <c r="T284" i="1"/>
  <c r="E216" i="1"/>
  <c r="T216" i="1"/>
  <c r="T203" i="1"/>
  <c r="E203" i="1"/>
  <c r="E251" i="1"/>
  <c r="T251" i="1"/>
  <c r="E287" i="1"/>
  <c r="T287" i="1"/>
  <c r="E223" i="1"/>
  <c r="E264" i="1"/>
  <c r="T264" i="1"/>
  <c r="T254" i="1"/>
  <c r="E254" i="1"/>
  <c r="E257" i="1"/>
  <c r="T257" i="1"/>
  <c r="O294" i="1" l="1"/>
  <c r="B307" i="1" s="1"/>
  <c r="D307" i="1" s="1"/>
  <c r="R294" i="1"/>
  <c r="A313" i="1" s="1"/>
  <c r="T294" i="1"/>
  <c r="D313" i="1" s="1"/>
  <c r="E313" i="1" s="1"/>
  <c r="Q2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Wilber Madriz</author>
    <author>Edgar Ayerdis</author>
    <author>Mickey Ampié</author>
  </authors>
  <commentList>
    <comment ref="S222" authorId="0" shapeId="0" xr:uid="{8D6ECFF5-04B2-49F6-A9EE-A3C9F50371CE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S229" authorId="0" shapeId="0" xr:uid="{24D26CA8-A40B-448E-B6DA-C15AF0403DEB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S231" authorId="0" shapeId="0" xr:uid="{96BA9CAF-2B90-4B4C-8B38-9CE90A6ED75C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T274" authorId="1" shapeId="0" xr:uid="{2E29E91B-2E97-41EA-B149-194349158227}">
      <text>
        <r>
          <rPr>
            <b/>
            <sz val="9"/>
            <color indexed="81"/>
            <rFont val="Tahoma"/>
            <family val="2"/>
          </rPr>
          <t>Edgar Ayerdis:</t>
        </r>
        <r>
          <rPr>
            <sz val="9"/>
            <color indexed="81"/>
            <rFont val="Tahoma"/>
            <family val="2"/>
          </rPr>
          <t xml:space="preserve">
Reestructuración de servicio 
</t>
        </r>
      </text>
    </comment>
    <comment ref="S287" authorId="2" shapeId="0" xr:uid="{CFF58921-1276-4276-A11F-0F55AC6BF8E5}">
      <text>
        <r>
          <rPr>
            <b/>
            <sz val="9"/>
            <color indexed="81"/>
            <rFont val="Tahoma"/>
            <family val="2"/>
          </rPr>
          <t>No hay Presupuesto</t>
        </r>
      </text>
    </comment>
    <comment ref="C313" authorId="0" shapeId="0" xr:uid="{8D1BF5A8-287A-43EC-885D-DEA63813596B}">
      <text>
        <r>
          <rPr>
            <b/>
            <sz val="9"/>
            <color indexed="81"/>
            <rFont val="Tahoma"/>
            <family val="2"/>
          </rPr>
          <t>47k. Monitoreo + 68k. AMPM86</t>
        </r>
      </text>
    </comment>
    <comment ref="D313" authorId="0" shapeId="0" xr:uid="{96E73C3C-422B-4ECA-8452-38A0B71201DE}">
      <text>
        <r>
          <rPr>
            <b/>
            <sz val="9"/>
            <color indexed="81"/>
            <rFont val="Tahoma"/>
            <family val="2"/>
          </rPr>
          <t>Este mes nos cobraron 33 dias en muchas tiendas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<sst xmlns="http://schemas.openxmlformats.org/spreadsheetml/2006/main" count="418" uniqueCount="137">
  <si>
    <t>NOMBRE</t>
  </si>
  <si>
    <t>Energia Electrica</t>
  </si>
  <si>
    <t>Suma de Saldo</t>
  </si>
  <si>
    <t>Etiquetas de columna</t>
  </si>
  <si>
    <t>2025</t>
  </si>
  <si>
    <t>2026</t>
  </si>
  <si>
    <t>Total general</t>
  </si>
  <si>
    <t>Comentario</t>
  </si>
  <si>
    <t>Etiquetas de fila</t>
  </si>
  <si>
    <t>dic</t>
  </si>
  <si>
    <t>ene</t>
  </si>
  <si>
    <t>feb</t>
  </si>
  <si>
    <t>Delta LM- Montos</t>
  </si>
  <si>
    <t>Delta LM-KWH x dia</t>
  </si>
  <si>
    <t>ADMINISTRACION</t>
  </si>
  <si>
    <t>CEDI</t>
  </si>
  <si>
    <t>MONITOREO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</si>
  <si>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</si>
  <si>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</si>
  <si>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</si>
  <si>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</si>
  <si>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</si>
  <si>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</si>
  <si>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</si>
  <si>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 xml:space="preserve">Aumento en el consumo de Energia 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</si>
  <si>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</si>
  <si>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</si>
  <si>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</si>
  <si>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</si>
  <si>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</si>
  <si>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</si>
  <si>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</si>
  <si>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</si>
  <si>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</si>
  <si>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</si>
  <si>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</si>
  <si>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</si>
  <si>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</si>
  <si>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</si>
  <si>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</si>
  <si>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</si>
  <si>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</si>
  <si>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</si>
  <si>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</si>
  <si>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</si>
  <si>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</si>
  <si>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</si>
  <si>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</si>
  <si>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</si>
  <si>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</si>
  <si>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</si>
  <si>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</si>
  <si>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</si>
  <si>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</si>
  <si>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</si>
  <si>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</si>
  <si>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</si>
  <si>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</si>
  <si>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</si>
  <si>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</si>
  <si>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</si>
  <si>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</si>
  <si>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</si>
  <si>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</si>
  <si>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</si>
  <si>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</si>
  <si>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</si>
  <si>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</si>
  <si>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</si>
  <si>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</si>
  <si>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</si>
  <si>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</si>
  <si>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</si>
  <si>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</si>
  <si>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</si>
  <si>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</si>
  <si>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</si>
  <si>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</si>
  <si>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</si>
  <si>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</si>
  <si>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</si>
  <si>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</si>
  <si>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</si>
  <si>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</si>
  <si>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</si>
  <si>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</si>
  <si>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</si>
  <si>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</si>
  <si>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</si>
  <si>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</si>
  <si>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</si>
  <si>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</si>
  <si>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</si>
  <si>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</si>
  <si>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</si>
  <si>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</si>
  <si>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</si>
  <si>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</si>
  <si>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</si>
  <si>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</si>
  <si>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</si>
  <si>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</si>
  <si>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</si>
  <si>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</si>
  <si>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</si>
  <si>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Tiendas</t>
  </si>
  <si>
    <t>Presupuesto</t>
  </si>
  <si>
    <t>Enero</t>
  </si>
  <si>
    <t>Febrero</t>
  </si>
  <si>
    <t>Delta KWH x Dias LM</t>
  </si>
  <si>
    <t>Total</t>
  </si>
  <si>
    <t xml:space="preserve">Presupuesto x Monto </t>
  </si>
  <si>
    <t xml:space="preserve">Presupuesto x KW Diarios </t>
  </si>
  <si>
    <t xml:space="preserve">Tiendas </t>
  </si>
  <si>
    <t xml:space="preserve">Febrero </t>
  </si>
  <si>
    <t>Diferencia</t>
  </si>
  <si>
    <t xml:space="preserve">Tarifas </t>
  </si>
  <si>
    <t xml:space="preserve">Febreo </t>
  </si>
  <si>
    <t xml:space="preserve">Aumento % Presupuesto </t>
  </si>
  <si>
    <t xml:space="preserve">Demanda + Areas Comunes + Tarifa </t>
  </si>
  <si>
    <t>Otras Variable</t>
  </si>
  <si>
    <t>6ONCE-01</t>
  </si>
  <si>
    <t xml:space="preserve">Total </t>
  </si>
  <si>
    <t>Tasas Energia T1AH</t>
  </si>
  <si>
    <t>Tasas Energia T1</t>
  </si>
  <si>
    <t>Diferencia T1AH vs T1</t>
  </si>
  <si>
    <t>Tasas Energia T1 A</t>
  </si>
  <si>
    <t>Diferencia T1AH vs T1A</t>
  </si>
  <si>
    <t xml:space="preserve">Cuentas </t>
  </si>
  <si>
    <t xml:space="preserve">Presupuesto </t>
  </si>
  <si>
    <t xml:space="preserve">Gastos </t>
  </si>
  <si>
    <t>Diferencias</t>
  </si>
  <si>
    <t>Montos</t>
  </si>
  <si>
    <t xml:space="preserve">KW </t>
  </si>
  <si>
    <t xml:space="preserve">Disminución % Presupuesto </t>
  </si>
  <si>
    <t>Energia de Monitoreo y AMPM89 No preupuestada</t>
  </si>
  <si>
    <t>Total detalle de 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</si>
</sst>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_(* #,##0.0000_);_(* \(#,##0.0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theme="8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 style="thin">
        <color theme="8" tint="-0.249977111117893"/>
      </top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164" fontId="2" fillId="0" borderId="0" xfId="0" applyNumberFormat="1" applyFont="1"/>
    <xf numFmtId="43" fontId="2" fillId="0" borderId="0" xfId="3" applyFont="1"/>
    <xf numFmtId="43" fontId="3" fillId="0" borderId="0" xfId="3" applyFont="1"/>
    <xf numFmtId="164" fontId="3" fillId="0" borderId="0" xfId="0" applyNumberFormat="1" applyFont="1"/>
    <xf numFmtId="164" fontId="2" fillId="2" borderId="0" xfId="0" applyNumberFormat="1" applyFont="1" applyFill="1"/>
    <xf numFmtId="164" fontId="4" fillId="2" borderId="1" xfId="0" applyNumberFormat="1" applyFont="1" applyFill="1" applyBorder="1"/>
    <xf numFmtId="0" fontId="2" fillId="0" borderId="0" xfId="0" applyFont="1"/>
    <xf numFmtId="164" fontId="4" fillId="2" borderId="1" xfId="0" applyNumberFormat="1" applyFont="1" applyFill="1" applyBorder="1" applyAlignment="1">
      <alignment horizontal="center"/>
    </xf>
    <xf numFmtId="43" fontId="4" fillId="3" borderId="2" xfId="3" applyFont="1" applyFill="1" applyBorder="1" applyAlignment="1">
      <alignment horizontal="center" wrapText="1"/>
    </xf>
    <xf numFmtId="0" fontId="3" fillId="0" borderId="0" xfId="0" applyFont="1"/>
    <xf numFmtId="43" fontId="2" fillId="0" borderId="0" xfId="3" applyFont="1" applyFill="1"/>
    <xf numFmtId="164" fontId="5" fillId="0" borderId="0" xfId="0" applyNumberFormat="1" applyFont="1" applyAlignment="1">
      <alignment horizontal="left"/>
    </xf>
    <xf numFmtId="165" fontId="5" fillId="0" borderId="0" xfId="0" applyNumberFormat="1" applyFont="1"/>
    <xf numFmtId="43" fontId="6" fillId="0" borderId="0" xfId="3" applyFont="1" applyFill="1"/>
    <xf numFmtId="164" fontId="6" fillId="0" borderId="0" xfId="0" applyNumberFormat="1" applyFont="1"/>
    <xf numFmtId="43" fontId="2" fillId="0" borderId="0" xfId="1" applyFont="1"/>
    <xf numFmtId="164" fontId="5" fillId="4" borderId="0" xfId="0" applyNumberFormat="1" applyFont="1" applyFill="1" applyAlignment="1">
      <alignment horizontal="left"/>
    </xf>
    <xf numFmtId="165" fontId="5" fillId="4" borderId="0" xfId="0" applyNumberFormat="1" applyFont="1" applyFill="1"/>
    <xf numFmtId="43" fontId="6" fillId="4" borderId="0" xfId="3" applyFont="1" applyFill="1"/>
    <xf numFmtId="164" fontId="6" fillId="4" borderId="0" xfId="0" applyNumberFormat="1" applyFont="1" applyFill="1"/>
    <xf numFmtId="0" fontId="7" fillId="0" borderId="0" xfId="0" applyFont="1"/>
    <xf numFmtId="43" fontId="5" fillId="0" borderId="0" xfId="3" applyFont="1" applyFill="1"/>
    <xf numFmtId="0" fontId="5" fillId="0" borderId="0" xfId="0" applyFont="1"/>
    <xf numFmtId="164" fontId="5" fillId="0" borderId="0" xfId="0" applyNumberFormat="1" applyFont="1"/>
    <xf numFmtId="43" fontId="3" fillId="0" borderId="0" xfId="3" applyFont="1" applyFill="1"/>
    <xf numFmtId="165" fontId="6" fillId="0" borderId="0" xfId="0" applyNumberFormat="1" applyFont="1"/>
    <xf numFmtId="43" fontId="2" fillId="0" borderId="0" xfId="3" applyFont="1" applyBorder="1"/>
    <xf numFmtId="164" fontId="2" fillId="0" borderId="0" xfId="0" applyNumberFormat="1" applyFont="1" applyAlignment="1">
      <alignment horizontal="left"/>
    </xf>
    <xf numFmtId="43" fontId="2" fillId="0" borderId="0" xfId="3" applyFont="1" applyFill="1" applyBorder="1"/>
    <xf numFmtId="164" fontId="6" fillId="0" borderId="3" xfId="0" applyNumberFormat="1" applyFont="1" applyBorder="1"/>
    <xf numFmtId="43" fontId="3" fillId="0" borderId="0" xfId="3" applyFont="1" applyBorder="1"/>
    <xf numFmtId="43" fontId="7" fillId="3" borderId="1" xfId="3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 wrapText="1"/>
    </xf>
    <xf numFmtId="43" fontId="3" fillId="0" borderId="0" xfId="3" applyFont="1" applyFill="1" applyAlignment="1">
      <alignment horizontal="left"/>
    </xf>
    <xf numFmtId="165" fontId="8" fillId="5" borderId="0" xfId="3" applyNumberFormat="1" applyFont="1" applyFill="1"/>
    <xf numFmtId="165" fontId="8" fillId="0" borderId="0" xfId="3" applyNumberFormat="1" applyFont="1" applyFill="1"/>
    <xf numFmtId="2" fontId="2" fillId="0" borderId="0" xfId="3" applyNumberFormat="1" applyFont="1" applyFill="1"/>
    <xf numFmtId="165" fontId="8" fillId="4" borderId="0" xfId="3" applyNumberFormat="1" applyFont="1" applyFill="1"/>
    <xf numFmtId="43" fontId="3" fillId="4" borderId="0" xfId="3" applyFont="1" applyFill="1" applyAlignment="1">
      <alignment horizontal="left"/>
    </xf>
    <xf numFmtId="165" fontId="3" fillId="0" borderId="0" xfId="3" applyNumberFormat="1" applyFont="1" applyFill="1"/>
    <xf numFmtId="2" fontId="3" fillId="0" borderId="0" xfId="3" applyNumberFormat="1" applyFont="1" applyFill="1"/>
    <xf numFmtId="166" fontId="3" fillId="0" borderId="0" xfId="3" applyNumberFormat="1" applyFont="1"/>
    <xf numFmtId="14" fontId="9" fillId="2" borderId="1" xfId="0" applyNumberFormat="1" applyFont="1" applyFill="1" applyBorder="1" applyAlignment="1">
      <alignment horizontal="center"/>
    </xf>
    <xf numFmtId="14" fontId="7" fillId="0" borderId="0" xfId="0" applyNumberFormat="1" applyFont="1"/>
    <xf numFmtId="14" fontId="10" fillId="2" borderId="1" xfId="0" applyNumberFormat="1" applyFont="1" applyFill="1" applyBorder="1" applyAlignment="1">
      <alignment horizontal="center"/>
    </xf>
    <xf numFmtId="14" fontId="4" fillId="0" borderId="0" xfId="0" applyNumberFormat="1" applyFont="1"/>
    <xf numFmtId="14" fontId="7" fillId="2" borderId="2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4" fontId="7" fillId="2" borderId="5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left"/>
    </xf>
    <xf numFmtId="165" fontId="3" fillId="0" borderId="0" xfId="3" applyNumberFormat="1" applyFont="1"/>
    <xf numFmtId="9" fontId="3" fillId="0" borderId="0" xfId="2" applyFont="1"/>
    <xf numFmtId="165" fontId="3" fillId="0" borderId="0" xfId="3" applyNumberFormat="1" applyFont="1" applyFill="1" applyBorder="1"/>
    <xf numFmtId="165" fontId="2" fillId="0" borderId="0" xfId="3" applyNumberFormat="1" applyFont="1" applyFill="1" applyBorder="1"/>
    <xf numFmtId="164" fontId="2" fillId="0" borderId="6" xfId="0" applyNumberFormat="1" applyFont="1" applyBorder="1" applyAlignment="1">
      <alignment horizontal="left"/>
    </xf>
    <xf numFmtId="165" fontId="2" fillId="0" borderId="0" xfId="3" applyNumberFormat="1" applyFont="1" applyFill="1"/>
    <xf numFmtId="165" fontId="11" fillId="0" borderId="0" xfId="3" applyNumberFormat="1" applyFont="1" applyFill="1"/>
    <xf numFmtId="165" fontId="12" fillId="0" borderId="0" xfId="3" applyNumberFormat="1" applyFont="1"/>
    <xf numFmtId="165" fontId="2" fillId="0" borderId="0" xfId="3" applyNumberFormat="1" applyFont="1" applyFill="1" applyBorder="1" applyAlignment="1">
      <alignment horizontal="center"/>
    </xf>
    <xf numFmtId="165" fontId="2" fillId="0" borderId="0" xfId="3" applyNumberFormat="1" applyFont="1"/>
    <xf numFmtId="166" fontId="11" fillId="0" borderId="0" xfId="3" applyNumberFormat="1" applyFont="1" applyFill="1"/>
    <xf numFmtId="165" fontId="2" fillId="4" borderId="0" xfId="3" applyNumberFormat="1" applyFont="1" applyFill="1"/>
    <xf numFmtId="165" fontId="11" fillId="0" borderId="0" xfId="1" applyNumberFormat="1" applyFont="1" applyFill="1"/>
    <xf numFmtId="43" fontId="3" fillId="0" borderId="0" xfId="3" applyFont="1" applyFill="1" applyBorder="1"/>
    <xf numFmtId="167" fontId="3" fillId="0" borderId="0" xfId="2" applyNumberFormat="1" applyFont="1" applyFill="1" applyBorder="1"/>
    <xf numFmtId="167" fontId="3" fillId="0" borderId="0" xfId="2" applyNumberFormat="1" applyFont="1" applyFill="1"/>
    <xf numFmtId="43" fontId="3" fillId="0" borderId="6" xfId="1" applyFont="1" applyBorder="1" applyAlignment="1">
      <alignment horizontal="left"/>
    </xf>
    <xf numFmtId="167" fontId="3" fillId="0" borderId="0" xfId="2" applyNumberFormat="1" applyFont="1"/>
    <xf numFmtId="168" fontId="3" fillId="0" borderId="0" xfId="3" applyNumberFormat="1" applyFont="1"/>
    <xf numFmtId="43" fontId="3" fillId="0" borderId="0" xfId="3" applyFont="1" applyBorder="1" applyAlignment="1">
      <alignment horizontal="center"/>
    </xf>
    <xf numFmtId="165" fontId="3" fillId="0" borderId="0" xfId="3" applyNumberFormat="1" applyFont="1" applyBorder="1"/>
    <xf numFmtId="43" fontId="3" fillId="0" borderId="7" xfId="3" applyFont="1" applyBorder="1" applyAlignment="1">
      <alignment horizontal="left"/>
    </xf>
    <xf numFmtId="43" fontId="3" fillId="0" borderId="7" xfId="3" applyFont="1" applyBorder="1" applyAlignment="1">
      <alignment horizontal="center"/>
    </xf>
    <xf numFmtId="43" fontId="3" fillId="0" borderId="7" xfId="3" applyFont="1" applyBorder="1" applyAlignment="1"/>
    <xf numFmtId="165" fontId="12" fillId="0" borderId="7" xfId="3" applyNumberFormat="1" applyFont="1" applyBorder="1" applyAlignment="1">
      <alignment horizontal="center"/>
    </xf>
    <xf numFmtId="165" fontId="3" fillId="0" borderId="7" xfId="3" applyNumberFormat="1" applyFont="1" applyBorder="1"/>
    <xf numFmtId="165" fontId="12" fillId="0" borderId="7" xfId="3" applyNumberFormat="1" applyFont="1" applyBorder="1"/>
    <xf numFmtId="43" fontId="3" fillId="0" borderId="7" xfId="3" applyFont="1" applyBorder="1"/>
    <xf numFmtId="43" fontId="3" fillId="0" borderId="7" xfId="3" applyFont="1" applyBorder="1" applyAlignment="1">
      <alignment horizontal="center" wrapText="1"/>
    </xf>
    <xf numFmtId="165" fontId="2" fillId="0" borderId="7" xfId="3" applyNumberFormat="1" applyFont="1" applyBorder="1"/>
    <xf numFmtId="166" fontId="2" fillId="0" borderId="7" xfId="3" applyNumberFormat="1" applyFont="1" applyBorder="1"/>
    <xf numFmtId="166" fontId="3" fillId="0" borderId="0" xfId="3" applyNumberFormat="1" applyFont="1" applyAlignment="1">
      <alignment horizontal="left"/>
    </xf>
    <xf numFmtId="166" fontId="3" fillId="0" borderId="0" xfId="3" applyNumberFormat="1" applyFont="1" applyAlignment="1">
      <alignment wrapText="1"/>
    </xf>
    <xf numFmtId="166" fontId="3" fillId="0" borderId="0" xfId="3" applyNumberFormat="1" applyFont="1" applyAlignment="1">
      <alignment vertical="center" wrapText="1"/>
    </xf>
    <xf numFmtId="43" fontId="3" fillId="0" borderId="0" xfId="3" applyFont="1" applyAlignment="1">
      <alignment horizontal="center"/>
    </xf>
    <xf numFmtId="164" fontId="2" fillId="0" borderId="0" xfId="0" pivotButton="1" applyNumberFormat="1" applyFont="1"/>
    <xf numFmtId="164" fontId="2" fillId="2" borderId="0" xfId="0" pivotButton="1" applyNumberFormat="1" applyFont="1" applyFill="1"/>
  </cellXfs>
  <cellStyles count="4">
    <cellStyle name="Millares" xfId="1" builtinId="3"/>
    <cellStyle name="Millares 10 10" xfId="3" xr:uid="{54F5F4CD-D312-4DF0-95EC-241F9DA31537}"/>
    <cellStyle name="Normal" xfId="0" builtinId="0"/>
    <cellStyle name="Porcentaje" xfId="2" builtinId="5"/>
  </cellStyles>
  <dxfs count="183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</dxf>
    <dxf>
      <font>
        <color auto="1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99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fgColor rgb="FF009900"/>
        </patternFill>
      </fill>
    </dxf>
    <dxf>
      <fill>
        <patternFill>
          <fgColor rgb="FF0099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stado de Resultado Financier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1186641</xdr:colOff>
      <xdr:row>1</xdr:row>
      <xdr:rowOff>100215</xdr:rowOff>
    </xdr:from>
    <xdr:to>
      <xdr:col>9</xdr:col>
      <xdr:colOff>53340</xdr:colOff>
      <xdr:row>4</xdr:row>
      <xdr:rowOff>53340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52B11-B6E0-49AA-9C86-7A3914FB09F4}"/>
            </a:ext>
          </a:extLst>
        </xdr:cNvPr>
        <xdr:cNvSpPr/>
      </xdr:nvSpPr>
      <xdr:spPr>
        <a:xfrm>
          <a:off x="8570421" y="229755"/>
          <a:ext cx="1084119" cy="341745"/>
        </a:xfrm>
        <a:prstGeom prst="roundRect">
          <a:avLst/>
        </a:prstGeom>
        <a:solidFill>
          <a:srgbClr val="FF66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NI" sz="1000"/>
            <a:t>Estado</a:t>
          </a:r>
          <a:r>
            <a:rPr lang="es-NI" sz="1000" baseline="0"/>
            <a:t> de Resultado</a:t>
          </a:r>
          <a:r>
            <a:rPr lang="es-NI" sz="1100" baseline="0"/>
            <a:t>	|</a:t>
          </a:r>
          <a:endParaRPr lang="es-NI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EEFF%20Nic/Presupuesto/Presupuesto%202026/2.%20Presupuesto%20Febrer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Presupuesto%20Oficiales/2025/3.%20Presupuesto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Planilla"/>
      <sheetName val="Viáticos"/>
      <sheetName val="Energía Eléctrica"/>
      <sheetName val="Alquiler de locales"/>
      <sheetName val="Mercadeo y publicidad"/>
      <sheetName val="Suministros"/>
      <sheetName val="Fletes y transportes"/>
      <sheetName val="Servicios generales"/>
      <sheetName val="Seguridad"/>
      <sheetName val="Mantenimiento"/>
      <sheetName val="Otros gastos"/>
    </sheetNames>
    <sheetDataSet>
      <sheetData sheetId="0"/>
      <sheetData sheetId="1">
        <row r="28">
          <cell r="CU28">
            <v>23134775.305353221</v>
          </cell>
        </row>
      </sheetData>
      <sheetData sheetId="2"/>
      <sheetData sheetId="3"/>
      <sheetData sheetId="4">
        <row r="10">
          <cell r="B10">
            <v>61888.026640753611</v>
          </cell>
          <cell r="C10">
            <v>56584.093559362249</v>
          </cell>
          <cell r="D10">
            <v>70781.442369891462</v>
          </cell>
          <cell r="E10">
            <v>60274.525002975526</v>
          </cell>
          <cell r="F10">
            <v>68422.697914655175</v>
          </cell>
          <cell r="G10">
            <v>77223.160002766948</v>
          </cell>
          <cell r="H10">
            <v>74271.467999999993</v>
          </cell>
          <cell r="I10">
            <v>52734.263880107523</v>
          </cell>
          <cell r="J10">
            <v>68956.061515758251</v>
          </cell>
          <cell r="K10">
            <v>62614.890135956608</v>
          </cell>
          <cell r="M10">
            <v>72411.460400114171</v>
          </cell>
          <cell r="N10">
            <v>69006.598368061736</v>
          </cell>
          <cell r="O10">
            <v>49853.517089293659</v>
          </cell>
          <cell r="P10">
            <v>46854.305749749714</v>
          </cell>
          <cell r="Q10">
            <v>62450.223380422693</v>
          </cell>
          <cell r="S10">
            <v>68552.92768572217</v>
          </cell>
          <cell r="T10">
            <v>54440.612293047838</v>
          </cell>
          <cell r="U10">
            <v>61884.881580756395</v>
          </cell>
          <cell r="V10">
            <v>58703.988431117905</v>
          </cell>
          <cell r="X10">
            <v>53756.174443979413</v>
          </cell>
          <cell r="Z10">
            <v>57570.13177422135</v>
          </cell>
          <cell r="AA10">
            <v>53862.224792431567</v>
          </cell>
          <cell r="AB10">
            <v>69928.836349999983</v>
          </cell>
          <cell r="AC10">
            <v>55044.439547956063</v>
          </cell>
          <cell r="AD10">
            <v>72350.23950666016</v>
          </cell>
          <cell r="AE10">
            <v>63783.803479421578</v>
          </cell>
          <cell r="AF10">
            <v>42054.108</v>
          </cell>
          <cell r="AG10">
            <v>58369.290586262519</v>
          </cell>
          <cell r="AH10">
            <v>76245.673489126784</v>
          </cell>
          <cell r="AI10">
            <v>82075.323102892085</v>
          </cell>
          <cell r="AJ10">
            <v>48894.694997979233</v>
          </cell>
          <cell r="AK10">
            <v>41140.820949230212</v>
          </cell>
          <cell r="AL10">
            <v>50524.575834468858</v>
          </cell>
          <cell r="AM10">
            <v>64566.643443061737</v>
          </cell>
          <cell r="AN10">
            <v>56435.406321720438</v>
          </cell>
          <cell r="AO10">
            <v>61384.523999999998</v>
          </cell>
          <cell r="AP10">
            <v>63681.123336651828</v>
          </cell>
          <cell r="AQ10">
            <v>55806.94158622923</v>
          </cell>
          <cell r="AR10">
            <v>62562.89492151</v>
          </cell>
          <cell r="AS10">
            <v>60228.140500903784</v>
          </cell>
          <cell r="AT10">
            <v>67928.589956402735</v>
          </cell>
          <cell r="AU10">
            <v>55925.732021788092</v>
          </cell>
          <cell r="AV10">
            <v>59685.747373442719</v>
          </cell>
          <cell r="AW10">
            <v>52469.849042130976</v>
          </cell>
          <cell r="AX10">
            <v>76997.501481340354</v>
          </cell>
          <cell r="AY10">
            <v>51621.233057689096</v>
          </cell>
          <cell r="AZ10">
            <v>68901.907999999996</v>
          </cell>
          <cell r="BA10">
            <v>54901.737816782537</v>
          </cell>
          <cell r="BB10">
            <v>52226.291956666668</v>
          </cell>
          <cell r="BC10">
            <v>69829.803356924342</v>
          </cell>
          <cell r="BD10">
            <v>68013.830782494435</v>
          </cell>
          <cell r="BE10">
            <v>52596.48261826735</v>
          </cell>
          <cell r="BF10">
            <v>63844.754511290324</v>
          </cell>
          <cell r="BG10">
            <v>59272.467824763618</v>
          </cell>
          <cell r="BH10">
            <v>44846.279200000004</v>
          </cell>
          <cell r="BI10">
            <v>65260.790848275879</v>
          </cell>
          <cell r="BJ10">
            <v>54897.909616156845</v>
          </cell>
          <cell r="BK10">
            <v>53437.575199999999</v>
          </cell>
          <cell r="BL10">
            <v>60709.521330923257</v>
          </cell>
          <cell r="BM10">
            <v>44201.931999999993</v>
          </cell>
          <cell r="BN10">
            <v>80287.868849944382</v>
          </cell>
          <cell r="BO10">
            <v>63873.138099217977</v>
          </cell>
          <cell r="BP10">
            <v>65079.981691228226</v>
          </cell>
          <cell r="BQ10">
            <v>71229.236919892486</v>
          </cell>
          <cell r="BR10">
            <v>55336.079001668521</v>
          </cell>
          <cell r="BS10">
            <v>52809.718017363142</v>
          </cell>
          <cell r="BT10">
            <v>60798.32961262513</v>
          </cell>
          <cell r="BU10">
            <v>54296.7048</v>
          </cell>
          <cell r="BV10">
            <v>61541.011733036707</v>
          </cell>
          <cell r="BW10">
            <v>52574.996299777529</v>
          </cell>
          <cell r="BX10">
            <v>52901.597248331484</v>
          </cell>
          <cell r="BY10">
            <v>53572.568697526884</v>
          </cell>
          <cell r="BZ10">
            <v>53081.014220918871</v>
          </cell>
          <cell r="CA10">
            <v>68937.520904894322</v>
          </cell>
          <cell r="CB10">
            <v>66210.994666379294</v>
          </cell>
          <cell r="CC10">
            <v>44638.214</v>
          </cell>
          <cell r="CD10">
            <v>66826.287858120122</v>
          </cell>
          <cell r="CE10">
            <v>77093.730347348916</v>
          </cell>
          <cell r="CF10">
            <v>63500.389444327026</v>
          </cell>
          <cell r="CG10">
            <v>57278.438191879883</v>
          </cell>
          <cell r="CH10">
            <v>78048.309599999993</v>
          </cell>
          <cell r="CI10">
            <v>78048.309599999993</v>
          </cell>
          <cell r="CJ10">
            <v>69635.695599999992</v>
          </cell>
          <cell r="CK10">
            <v>69635.695599999992</v>
          </cell>
          <cell r="CL10">
            <v>78048.309599999993</v>
          </cell>
          <cell r="CN10">
            <v>578.1579999999999</v>
          </cell>
          <cell r="CO10">
            <v>59371.566145494988</v>
          </cell>
          <cell r="CQ10">
            <v>24965.876762096774</v>
          </cell>
          <cell r="CR10">
            <v>34068.761193118269</v>
          </cell>
          <cell r="CS10">
            <v>44713.521578049687</v>
          </cell>
        </row>
        <row r="25">
          <cell r="B25">
            <v>287.34424534204669</v>
          </cell>
          <cell r="C25">
            <v>262.64979606970707</v>
          </cell>
          <cell r="D25">
            <v>328.75087702666264</v>
          </cell>
          <cell r="E25">
            <v>279.83198345383761</v>
          </cell>
          <cell r="F25">
            <v>317.7688577586207</v>
          </cell>
          <cell r="G25">
            <v>358.74270891268077</v>
          </cell>
          <cell r="H25">
            <v>345</v>
          </cell>
          <cell r="I25">
            <v>244.72547043010752</v>
          </cell>
          <cell r="J25">
            <v>320.25213199851686</v>
          </cell>
          <cell r="K25">
            <v>290.72843089543937</v>
          </cell>
          <cell r="M25">
            <v>336.34003717303733</v>
          </cell>
          <cell r="N25">
            <v>320.48742526418243</v>
          </cell>
          <cell r="O25">
            <v>231.31307355394884</v>
          </cell>
          <cell r="P25">
            <v>217.34912055061179</v>
          </cell>
          <cell r="Q25">
            <v>289.96176307007784</v>
          </cell>
          <cell r="S25">
            <v>318.37519128998548</v>
          </cell>
          <cell r="T25">
            <v>252.67001529477199</v>
          </cell>
          <cell r="U25">
            <v>287.32960233592883</v>
          </cell>
          <cell r="V25">
            <v>272.51976154060065</v>
          </cell>
          <cell r="X25">
            <v>249.48335824527251</v>
          </cell>
          <cell r="Z25">
            <v>267.24066671301443</v>
          </cell>
          <cell r="AA25">
            <v>249.97711540811338</v>
          </cell>
          <cell r="AB25">
            <v>324.78125</v>
          </cell>
          <cell r="AC25">
            <v>255.48135949666295</v>
          </cell>
          <cell r="AD25">
            <v>336.05500034760843</v>
          </cell>
          <cell r="AE25">
            <v>296.17074527252504</v>
          </cell>
          <cell r="AF25">
            <v>195</v>
          </cell>
          <cell r="AG25">
            <v>270.96145022246941</v>
          </cell>
          <cell r="AH25">
            <v>354.19165392102332</v>
          </cell>
          <cell r="AI25">
            <v>381.33377363737486</v>
          </cell>
          <cell r="AJ25">
            <v>226.84891777901373</v>
          </cell>
          <cell r="AK25">
            <v>190.74784968056139</v>
          </cell>
          <cell r="AL25">
            <v>234.4374391685206</v>
          </cell>
          <cell r="AM25">
            <v>299.81555026418243</v>
          </cell>
          <cell r="AN25">
            <v>261.95752688172047</v>
          </cell>
          <cell r="AO25">
            <v>285</v>
          </cell>
          <cell r="AP25">
            <v>295.69267936596214</v>
          </cell>
          <cell r="AQ25">
            <v>259.0314736506773</v>
          </cell>
          <cell r="AR25">
            <v>290.48634767797552</v>
          </cell>
          <cell r="AS25">
            <v>279.61602301167966</v>
          </cell>
          <cell r="AT25">
            <v>315.46835288367549</v>
          </cell>
          <cell r="AU25">
            <v>259.58454706618465</v>
          </cell>
          <cell r="AV25">
            <v>277.09070842602893</v>
          </cell>
          <cell r="AW25">
            <v>243.49438800446862</v>
          </cell>
          <cell r="AX25">
            <v>357.69207105116794</v>
          </cell>
          <cell r="AY25">
            <v>239.54333808398221</v>
          </cell>
          <cell r="AZ25">
            <v>320</v>
          </cell>
          <cell r="BA25">
            <v>254.81695807842047</v>
          </cell>
          <cell r="BB25">
            <v>242.36041666666668</v>
          </cell>
          <cell r="BC25">
            <v>324.32016476640712</v>
          </cell>
          <cell r="BD25">
            <v>315.86522351223584</v>
          </cell>
          <cell r="BE25">
            <v>244.08397810187125</v>
          </cell>
          <cell r="BF25">
            <v>264.90725806451616</v>
          </cell>
          <cell r="BG25">
            <v>275.16653052002221</v>
          </cell>
          <cell r="BH25">
            <v>208</v>
          </cell>
          <cell r="BI25">
            <v>303.04741379310349</v>
          </cell>
          <cell r="BJ25">
            <v>254.79913445494995</v>
          </cell>
          <cell r="BK25">
            <v>248</v>
          </cell>
          <cell r="BL25">
            <v>281.85727196885432</v>
          </cell>
          <cell r="BM25">
            <v>205</v>
          </cell>
          <cell r="BN25">
            <v>373.01161012235821</v>
          </cell>
          <cell r="BO25">
            <v>296.58667609272447</v>
          </cell>
          <cell r="BP25">
            <v>302.20558896459033</v>
          </cell>
          <cell r="BQ25">
            <v>295.12231182795699</v>
          </cell>
          <cell r="BR25">
            <v>256.83919632925472</v>
          </cell>
          <cell r="BS25">
            <v>245.0767754590839</v>
          </cell>
          <cell r="BT25">
            <v>282.27075222469409</v>
          </cell>
          <cell r="BU25">
            <v>252</v>
          </cell>
          <cell r="BV25">
            <v>285.72858731924362</v>
          </cell>
          <cell r="BW25">
            <v>243.98394048943271</v>
          </cell>
          <cell r="BX25">
            <v>245.50455367074528</v>
          </cell>
          <cell r="BY25">
            <v>221.66317204301077</v>
          </cell>
          <cell r="BZ25">
            <v>246.33989666247732</v>
          </cell>
          <cell r="CA25">
            <v>320.16580923248051</v>
          </cell>
          <cell r="CB25">
            <v>307.47144396551721</v>
          </cell>
          <cell r="CC25">
            <v>185</v>
          </cell>
          <cell r="CD25">
            <v>310.33617213570631</v>
          </cell>
          <cell r="CE25">
            <v>320.02855024100853</v>
          </cell>
          <cell r="CF25">
            <v>263.4745550611791</v>
          </cell>
          <cell r="CG25">
            <v>265.88257786429369</v>
          </cell>
          <cell r="CH25">
            <v>324</v>
          </cell>
          <cell r="CI25">
            <v>324</v>
          </cell>
          <cell r="CJ25">
            <v>289</v>
          </cell>
          <cell r="CK25">
            <v>289</v>
          </cell>
          <cell r="CL25">
            <v>324</v>
          </cell>
          <cell r="CN25">
            <v>2</v>
          </cell>
          <cell r="CO25">
            <v>276</v>
          </cell>
          <cell r="CQ25">
            <v>91</v>
          </cell>
          <cell r="CR25">
            <v>159</v>
          </cell>
          <cell r="CS25">
            <v>185</v>
          </cell>
        </row>
      </sheetData>
      <sheetData sheetId="5">
        <row r="15">
          <cell r="B15">
            <v>98702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Mercadeo y Publicidad"/>
      <sheetName val="Back Office Variable"/>
      <sheetName val="Planilla Tiendas"/>
      <sheetName val="Resumen (2)"/>
      <sheetName val="Planilla"/>
      <sheetName val="Serv. Generales"/>
      <sheetName val="Planilla AMPM"/>
      <sheetName val="Planilla AMPM (2)"/>
      <sheetName val="Resumen"/>
      <sheetName val="SASA"/>
      <sheetName val="Planilla CA"/>
      <sheetName val="Alquiler de local"/>
      <sheetName val="Venta "/>
      <sheetName val="Estructura Salarial"/>
      <sheetName val="Estructura Salarial Variable"/>
      <sheetName val="Viatico de Alimentación y Trans"/>
      <sheetName val="Energia"/>
      <sheetName val="Suministros "/>
      <sheetName val="Fletes y Transporte "/>
      <sheetName val="Seguridad"/>
      <sheetName val="Mantenimiento"/>
      <sheetName val="Seguros"/>
      <sheetName val="Otros Ga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1">
          <cell r="B21">
            <v>6.7171250000000002</v>
          </cell>
          <cell r="C21">
            <v>7.6184000000000003</v>
          </cell>
          <cell r="D21">
            <v>8.6999999999999993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pmsa-my.sharepoint.com/personal/wilber_madriz_ampmcentroamerica_com/Documents/Documentos/Contabilidad%20Nic/EEFF%20Nic/EEFF%202026/0226%20FEBRERO/NIC%20-%20202602%20EEFF%20ER%20AMP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084.687907291664" createdVersion="8" refreshedVersion="7" minRefreshableVersion="3" recordCount="398" xr:uid="{3D64BFA7-64FD-4381-861F-FA5DBA890866}">
  <cacheSource type="worksheet">
    <worksheetSource name="Tabla7" r:id="rId2"/>
  </cacheSource>
  <cacheFields count="22">
    <cacheField name="PDA" numFmtId="0">
      <sharedItems containsSemiMixedTypes="0" containsString="0" containsNumber="1" containsInteger="1" minValue="2763198" maxValue="2997908"/>
    </cacheField>
    <cacheField name="FECHA" numFmtId="14">
      <sharedItems containsSemiMixedTypes="0" containsNonDate="0" containsDate="1" containsString="0" minDate="2025-12-01T00:00:00" maxDate="2026-03-01T00:00:00" count="26">
        <d v="2025-12-03T00:00:00"/>
        <d v="2025-12-01T00:00:00"/>
        <d v="2025-12-10T00:00:00"/>
        <d v="2025-12-06T00:00:00"/>
        <d v="2025-12-16T00:00:00"/>
        <d v="2025-12-15T00:00:00"/>
        <d v="2025-12-29T00:00:00"/>
        <d v="2025-12-31T00:00:00"/>
        <d v="2026-01-02T00:00:00"/>
        <d v="2026-01-01T00:00:00"/>
        <d v="2026-01-07T00:00:00"/>
        <d v="2026-01-12T00:00:00"/>
        <d v="2026-01-26T00:00:00"/>
        <d v="2026-01-16T00:00:00"/>
        <d v="2026-01-29T00:00:00"/>
        <d v="2026-01-31T00:00:00"/>
        <d v="2026-01-14T00:00:00"/>
        <d v="2026-02-03T00:00:00"/>
        <d v="2026-02-01T00:00:00"/>
        <d v="2026-02-09T00:00:00"/>
        <d v="2026-02-10T00:00:00"/>
        <d v="2026-02-23T00:00:00"/>
        <d v="2026-02-05T00:00:00"/>
        <d v="2026-02-28T00:00:00"/>
        <d v="2026-02-26T00:00:00"/>
        <d v="2026-02-25T00:00:00"/>
      </sharedItems>
      <fieldGroup par="21" base="1">
        <rangePr groupBy="months" startDate="2025-12-01T00:00:00" endDate="2026-03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3/2026"/>
        </groupItems>
      </fieldGroup>
    </cacheField>
    <cacheField name="CUENTA" numFmtId="0">
      <sharedItems/>
    </cacheField>
    <cacheField name="NOMBRE" numFmtId="0">
      <sharedItems count="1">
        <s v="Energia Electrica"/>
      </sharedItems>
    </cacheField>
    <cacheField name="DEBITO" numFmtId="164">
      <sharedItems containsSemiMixedTypes="0" containsString="0" containsNumber="1" minValue="0" maxValue="97310.34"/>
    </cacheField>
    <cacheField name="CREDITO" numFmtId="164">
      <sharedItems containsSemiMixedTypes="0" containsString="0" containsNumber="1" minValue="0" maxValue="21204.74"/>
    </cacheField>
    <cacheField name="SALDO" numFmtId="164">
      <sharedItems containsSemiMixedTypes="0" containsString="0" containsNumber="1" minValue="-21204.74" maxValue="97310.34"/>
    </cacheField>
    <cacheField name="ASIGNA" numFmtId="0">
      <sharedItems containsSemiMixedTypes="0" containsString="0" containsNumber="1" containsInteger="1" minValue="10000" maxValue="10000"/>
    </cacheField>
    <cacheField name="% ASIGNACION" numFmtId="0">
      <sharedItems containsString="0" containsBlank="1" containsNumber="1" containsInteger="1" minValue="100" maxValue="100"/>
    </cacheField>
    <cacheField name="C-COSTO" numFmtId="0">
      <sharedItems/>
    </cacheField>
    <cacheField name="COST-DESCRIPCION" numFmtId="0">
      <sharedItems count="90">
        <s v="PANADERIA"/>
        <s v="TIENDA-15"/>
        <s v="TIENDA-28"/>
        <s v="TIENDA-80"/>
        <s v="TIENDA-57"/>
        <s v="TIENDA-68"/>
        <s v="TIENDA-76"/>
        <s v="TIENDA-26"/>
        <s v="TIENDA-27"/>
        <s v="TIENDA-88"/>
        <s v="OPERACIONES"/>
        <s v="TIENDA-33"/>
        <s v="TIENDA-05"/>
        <s v="TIENDA-06"/>
        <s v="TIENDA-35"/>
        <s v="TIENDA-83"/>
        <s v="TIENDA-52"/>
        <s v="TIENDA-73"/>
        <s v="TIENDA-54"/>
        <s v="TIENDA-64"/>
        <s v="TIENDA-53"/>
        <s v="TIENDA-42"/>
        <s v="TIENDA-70"/>
        <s v="TIENDA-56"/>
        <s v="TIENDA-41"/>
        <s v="TIENDA-01"/>
        <s v="TIENDA-04"/>
        <s v="TIENDA-72"/>
        <s v="TIENDA-02"/>
        <s v="TIENDA-84"/>
        <s v="TIENDA-69"/>
        <s v="TIENDA-39"/>
        <s v="TIENDA-63"/>
        <s v="TIENDA-77"/>
        <s v="TIENDA-46"/>
        <s v="TIENDA-43"/>
        <s v="TIENDA-75"/>
        <s v="TIENDA-55"/>
        <s v="TIENDA-44"/>
        <s v="TIENDA-30"/>
        <s v="TIENDA-74"/>
        <s v="TIENDA-38"/>
        <s v="TIENDA-09"/>
        <s v="TIENDA-16"/>
        <s v="TIENDA-07"/>
        <s v="TIENDA-10"/>
        <s v="TIENDA-58"/>
        <s v="TIENDA-08"/>
        <s v="ADMINISTRACION"/>
        <s v="TIENDA-37"/>
        <s v="TIENDA-21"/>
        <s v="TIENDA-12"/>
        <s v="TIENDA-71"/>
        <s v="TIENDA-14"/>
        <s v="TIENDA-13"/>
        <s v="TIENDA-18"/>
        <s v="TIENDA-19"/>
        <s v="TIENDA-20"/>
        <s v="TIENDA-29"/>
        <s v="TIENDA-23"/>
        <s v="TIENDA-47"/>
        <s v="TIENDA-03"/>
        <s v="TIENDA-25"/>
        <s v="MONITOREO"/>
        <s v="TIENDA-31"/>
        <s v="TIENDA-32"/>
        <s v="TIENDA-36"/>
        <s v="TIENDA-40"/>
        <s v="TIENDA-45"/>
        <s v="TIENDA-48"/>
        <s v="TIENDA-50"/>
        <s v="TIENDA-51"/>
        <s v="TIENDA-49"/>
        <s v="CEDI"/>
        <s v="TIENDA-59"/>
        <s v="TIENDA-61"/>
        <s v="TIENDA-60"/>
        <s v="TIENDA-62"/>
        <s v="TIENDA-65"/>
        <s v="TIENDA-66"/>
        <s v="TIENDA-67"/>
        <s v="TIENDA-78"/>
        <s v="TIENDA-79"/>
        <s v="TIENDA-81"/>
        <s v="TIENDA-82"/>
        <s v="TIENDA-34"/>
        <s v="TIENDA-85"/>
        <s v="TIENDA-89"/>
        <s v="TIENDA-86"/>
        <s v="TIENDA-87"/>
      </sharedItems>
    </cacheField>
    <cacheField name="REFERENCIA" numFmtId="0">
      <sharedItems/>
    </cacheField>
    <cacheField name="DESCRIPCION" numFmtId="0">
      <sharedItems/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202163" maxValue="4402106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5"/>
    </cacheField>
    <cacheField name="REF AA" numFmtId="0">
      <sharedItems/>
    </cacheField>
    <cacheField name="Columna1" numFmtId="0">
      <sharedItems containsNonDate="0" containsString="0" containsBlank="1"/>
    </cacheField>
    <cacheField name="Trimestres" numFmtId="0" databaseField="0">
      <fieldGroup base="1">
        <rangePr groupBy="quarters" startDate="2025-12-01T00:00:00" endDate="2026-03-01T00:00:00"/>
        <groupItems count="6">
          <s v="&lt;1/12/2025"/>
          <s v="Trim.1"/>
          <s v="Trim.2"/>
          <s v="Trim.3"/>
          <s v="Trim.4"/>
          <s v="&gt;1/3/2026"/>
        </groupItems>
      </fieldGroup>
    </cacheField>
    <cacheField name="Años" numFmtId="0" databaseField="0">
      <fieldGroup base="1">
        <rangePr groupBy="years" startDate="2025-12-01T00:00:00" endDate="2026-03-01T00:00:00"/>
        <groupItems count="4">
          <s v="&lt;1/12/2025"/>
          <s v="2025"/>
          <s v="2026"/>
          <s v="&gt;1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n v="2763198"/>
    <x v="0"/>
    <s v="06-10-002-000"/>
    <x v="0"/>
    <n v="30420.46"/>
    <n v="0"/>
    <n v="30420.46"/>
    <n v="10000"/>
    <n v="100"/>
    <s v="PANADE"/>
    <x v="0"/>
    <s v="ENERGIA PANADERIA DIC"/>
    <s v="ENERGIA PANADERIA DIC"/>
    <s v="xmaltez"/>
    <s v="PMTRX00078013"/>
    <n v="4202163"/>
    <n v="1"/>
    <n v="32"/>
    <s v=""/>
    <m/>
  </r>
  <r>
    <n v="2763200"/>
    <x v="1"/>
    <s v="06-10-002-000"/>
    <x v="0"/>
    <n v="2746.82"/>
    <n v="0"/>
    <n v="2746.82"/>
    <n v="10000"/>
    <n v="100"/>
    <s v="AMPM15"/>
    <x v="1"/>
    <s v="ALQUILER A15 DIC"/>
    <s v="ENERGIA A15 DIC"/>
    <s v="xmaltez"/>
    <s v="PMTRX00078013"/>
    <n v="4202164"/>
    <n v="1"/>
    <n v="15"/>
    <s v=""/>
    <m/>
  </r>
  <r>
    <n v="2763221"/>
    <x v="1"/>
    <s v="06-10-002-000"/>
    <x v="0"/>
    <n v="966.52"/>
    <n v="0"/>
    <n v="966.52"/>
    <n v="10000"/>
    <n v="100"/>
    <s v="AMPM28"/>
    <x v="2"/>
    <s v="ALQUILER A28 DIC"/>
    <s v="PLANTA ELECTRICA A28"/>
    <s v="xmaltez"/>
    <s v="PMTRX00078016"/>
    <n v="4202180"/>
    <n v="1"/>
    <n v="35"/>
    <s v=""/>
    <m/>
  </r>
  <r>
    <n v="2767433"/>
    <x v="2"/>
    <s v="06-10-002-000"/>
    <x v="0"/>
    <n v="30118.09"/>
    <n v="0"/>
    <n v="30118.09"/>
    <n v="10000"/>
    <n v="100"/>
    <s v="AMPM80"/>
    <x v="3"/>
    <s v="ENERGIA A80 DICIEMBRE"/>
    <s v="2438323 A80"/>
    <s v="xmaltez"/>
    <s v="PMTRX00078137"/>
    <n v="4205761"/>
    <n v="1"/>
    <n v="98"/>
    <s v=""/>
    <m/>
  </r>
  <r>
    <n v="2767437"/>
    <x v="2"/>
    <s v="06-10-002-000"/>
    <x v="0"/>
    <n v="33392.82"/>
    <n v="0"/>
    <n v="33392.82"/>
    <n v="10000"/>
    <n v="100"/>
    <s v="AMPM57"/>
    <x v="4"/>
    <s v="ENERGIA A57 DIC"/>
    <s v="2929393 A57"/>
    <s v="xmaltez"/>
    <s v="PMTRX00078137"/>
    <n v="4205762"/>
    <n v="1"/>
    <n v="73"/>
    <s v=""/>
    <m/>
  </r>
  <r>
    <n v="2767444"/>
    <x v="2"/>
    <s v="06-10-002-000"/>
    <x v="0"/>
    <n v="3361.72"/>
    <n v="0"/>
    <n v="3361.72"/>
    <n v="10000"/>
    <n v="100"/>
    <s v="AMPM57"/>
    <x v="4"/>
    <s v="ENERGIA A57 BODEGA"/>
    <s v="2929518 A57 BODEG"/>
    <s v="xmaltez"/>
    <s v="PMTRX00078137"/>
    <n v="4205763"/>
    <n v="1"/>
    <n v="73"/>
    <s v=""/>
    <m/>
  </r>
  <r>
    <n v="2767448"/>
    <x v="2"/>
    <s v="06-10-002-000"/>
    <x v="0"/>
    <n v="59591.29"/>
    <n v="0"/>
    <n v="59591.29"/>
    <n v="10000"/>
    <n v="100"/>
    <s v="AMPM68"/>
    <x v="5"/>
    <s v="ENERGIA A68 DIC"/>
    <s v="1376165 A68"/>
    <s v="xmaltez"/>
    <s v="PMTRX00078137"/>
    <n v="4205764"/>
    <n v="1"/>
    <n v="84"/>
    <s v=""/>
    <m/>
  </r>
  <r>
    <n v="2767453"/>
    <x v="2"/>
    <s v="06-10-002-000"/>
    <x v="0"/>
    <n v="53194.93"/>
    <n v="0"/>
    <n v="53194.93"/>
    <n v="10000"/>
    <n v="100"/>
    <s v="AMPM76"/>
    <x v="6"/>
    <s v="ENERGIA A76 DIC"/>
    <s v="1554270 A76"/>
    <s v="xmaltez"/>
    <s v="PMTRX00078137"/>
    <n v="4205765"/>
    <n v="1"/>
    <n v="93"/>
    <s v=""/>
    <m/>
  </r>
  <r>
    <n v="2768934"/>
    <x v="3"/>
    <s v="06-10-002-000"/>
    <x v="0"/>
    <n v="11701.46"/>
    <n v="0"/>
    <n v="11701.46"/>
    <n v="10000"/>
    <n v="100"/>
    <s v="AMPM26"/>
    <x v="7"/>
    <s v="AREAS COMUNES A26 DIC"/>
    <s v="ENERGIA A26 DIC"/>
    <s v="xmaltez"/>
    <s v="PMTRX00078152"/>
    <n v="4206587"/>
    <n v="1"/>
    <n v="26"/>
    <s v=""/>
    <m/>
  </r>
  <r>
    <n v="2780841"/>
    <x v="1"/>
    <s v="06-10-002-000"/>
    <x v="0"/>
    <n v="549.37"/>
    <n v="0"/>
    <n v="549.37"/>
    <n v="10000"/>
    <n v="100"/>
    <s v="AMPM27"/>
    <x v="8"/>
    <s v="ALQUILER A27 DIC"/>
    <s v="CONSUMO ENERGIA A27"/>
    <s v="xmaltez"/>
    <s v="PMTRX00078406"/>
    <n v="4217129"/>
    <n v="1"/>
    <n v="34"/>
    <s v=""/>
    <m/>
  </r>
  <r>
    <n v="2802157"/>
    <x v="4"/>
    <s v="06-10-002-000"/>
    <x v="0"/>
    <n v="292.99"/>
    <n v="0"/>
    <n v="292.99"/>
    <n v="10000"/>
    <n v="100"/>
    <s v="AMPM15"/>
    <x v="1"/>
    <s v="SERV PLANTA ELECTRICA A15"/>
    <s v="SERV PLANTA ELECTRICA A15"/>
    <s v="xmaltez"/>
    <s v="PMTRX00078788"/>
    <n v="4234688"/>
    <n v="1"/>
    <n v="15"/>
    <s v=""/>
    <m/>
  </r>
  <r>
    <n v="2809783"/>
    <x v="5"/>
    <s v="06-10-002-000"/>
    <x v="0"/>
    <n v="48501.24"/>
    <n v="0"/>
    <n v="48501.24"/>
    <n v="10000"/>
    <n v="100"/>
    <s v="AMPM88"/>
    <x v="9"/>
    <s v="ENERGIA A88 DICIE,BRE"/>
    <s v="5121000329 A88"/>
    <s v="xmaltez"/>
    <s v="PMTRX00078950"/>
    <n v="4240668"/>
    <n v="1"/>
    <n v="102"/>
    <s v=""/>
    <m/>
  </r>
  <r>
    <n v="2837842"/>
    <x v="1"/>
    <s v="06-10-002-000"/>
    <x v="0"/>
    <n v="0"/>
    <n v="21204.74"/>
    <n v="-21204.74"/>
    <n v="10000"/>
    <n v="100"/>
    <s v="OPERACIONES"/>
    <x v="10"/>
    <s v="PG DIF DISSUR 01-12."/>
    <s v="PG DIF DISSUR 01-12."/>
    <s v="jlopez"/>
    <s v="PMTRX00079382"/>
    <n v="4264301"/>
    <n v="1"/>
    <n v="31"/>
    <s v=""/>
    <m/>
  </r>
  <r>
    <n v="2837848"/>
    <x v="1"/>
    <s v="06-10-002-000"/>
    <x v="0"/>
    <n v="21204.74"/>
    <n v="0"/>
    <n v="21204.74"/>
    <n v="10000"/>
    <n v="100"/>
    <s v="OPERACIONES"/>
    <x v="10"/>
    <s v="Anul. trans. abierta"/>
    <s v="Compras"/>
    <s v="jlopez"/>
    <s v="PMVVR00003444"/>
    <n v="4264303"/>
    <n v="1"/>
    <n v="31"/>
    <s v=""/>
    <m/>
  </r>
  <r>
    <n v="2847985"/>
    <x v="6"/>
    <s v="06-10-002-000"/>
    <x v="0"/>
    <n v="80718.61"/>
    <n v="0"/>
    <n v="80718.61"/>
    <n v="10000"/>
    <n v="100"/>
    <s v="AMPM33"/>
    <x v="11"/>
    <s v="2166101-A33"/>
    <s v="Compras"/>
    <s v="sa"/>
    <s v="PMTRX00079727"/>
    <n v="4273130"/>
    <n v="1"/>
    <n v="39"/>
    <s v=""/>
    <m/>
  </r>
  <r>
    <n v="2848047"/>
    <x v="6"/>
    <s v="06-10-002-000"/>
    <x v="0"/>
    <n v="60679.09"/>
    <n v="0"/>
    <n v="60679.09"/>
    <n v="10000"/>
    <n v="100"/>
    <s v="AMPM05"/>
    <x v="12"/>
    <s v="Energia -A05-Dic"/>
    <s v="Compras"/>
    <s v="sa"/>
    <s v="PMTRX00079743"/>
    <n v="4273193"/>
    <n v="1"/>
    <n v="5"/>
    <s v=""/>
    <m/>
  </r>
  <r>
    <n v="2848048"/>
    <x v="6"/>
    <s v="06-10-002-000"/>
    <x v="0"/>
    <n v="78534.149999999994"/>
    <n v="0"/>
    <n v="78534.149999999994"/>
    <n v="10000"/>
    <n v="100"/>
    <s v="AMPM06"/>
    <x v="13"/>
    <s v="Energia -A06-Dic"/>
    <s v="Compras"/>
    <s v="sa"/>
    <s v="PMTRX00079743"/>
    <n v="4273194"/>
    <n v="1"/>
    <n v="6"/>
    <s v=""/>
    <m/>
  </r>
  <r>
    <n v="2848049"/>
    <x v="6"/>
    <s v="06-10-002-000"/>
    <x v="0"/>
    <n v="43474.28"/>
    <n v="0"/>
    <n v="43474.28"/>
    <n v="10000"/>
    <n v="100"/>
    <s v="AMPM35"/>
    <x v="14"/>
    <s v="Energia -A35-Dic"/>
    <s v="Compras"/>
    <s v="sa"/>
    <s v="PMTRX00079743"/>
    <n v="4273195"/>
    <n v="1"/>
    <n v="43"/>
    <s v=""/>
    <m/>
  </r>
  <r>
    <n v="2848050"/>
    <x v="6"/>
    <s v="06-10-002-000"/>
    <x v="0"/>
    <n v="61149.18"/>
    <n v="0"/>
    <n v="61149.18"/>
    <n v="10000"/>
    <n v="100"/>
    <s v="AMPM83"/>
    <x v="15"/>
    <s v="Energia -A83-Dic"/>
    <s v="Compras"/>
    <s v="sa"/>
    <s v="PMTRX00079743"/>
    <n v="4273196"/>
    <n v="1"/>
    <n v="97"/>
    <s v=""/>
    <m/>
  </r>
  <r>
    <n v="2848051"/>
    <x v="6"/>
    <s v="06-10-002-000"/>
    <x v="0"/>
    <n v="54721.17"/>
    <n v="0"/>
    <n v="54721.17"/>
    <n v="10000"/>
    <n v="100"/>
    <s v="AMPM52"/>
    <x v="16"/>
    <s v="Energia -A52-Dic"/>
    <s v="Compras"/>
    <s v="sa"/>
    <s v="PMTRX00079743"/>
    <n v="4273197"/>
    <n v="1"/>
    <n v="66"/>
    <s v=""/>
    <m/>
  </r>
  <r>
    <n v="2848052"/>
    <x v="6"/>
    <s v="06-10-002-000"/>
    <x v="0"/>
    <n v="68842.7"/>
    <n v="0"/>
    <n v="68842.7"/>
    <n v="10000"/>
    <n v="100"/>
    <s v="AMPM73"/>
    <x v="17"/>
    <s v="Energia -A73-Dic"/>
    <s v="Compras"/>
    <s v="sa"/>
    <s v="PMTRX00079743"/>
    <n v="4273198"/>
    <n v="1"/>
    <n v="89"/>
    <s v=""/>
    <m/>
  </r>
  <r>
    <n v="2848053"/>
    <x v="6"/>
    <s v="06-10-002-000"/>
    <x v="0"/>
    <n v="79060.02"/>
    <n v="0"/>
    <n v="79060.02"/>
    <n v="10000"/>
    <n v="100"/>
    <s v="AMPM54"/>
    <x v="18"/>
    <s v="Energia -A54-Dic"/>
    <s v="Compras"/>
    <s v="sa"/>
    <s v="PMTRX00079743"/>
    <n v="4273199"/>
    <n v="1"/>
    <n v="70"/>
    <s v=""/>
    <m/>
  </r>
  <r>
    <n v="2848054"/>
    <x v="6"/>
    <s v="06-10-002-000"/>
    <x v="0"/>
    <n v="46031.05"/>
    <n v="0"/>
    <n v="46031.05"/>
    <n v="10000"/>
    <n v="100"/>
    <s v="AMPM64"/>
    <x v="19"/>
    <s v="Energia -A64-Dic"/>
    <s v="Compras"/>
    <s v="sa"/>
    <s v="PMTRX00079743"/>
    <n v="4273200"/>
    <n v="1"/>
    <n v="80"/>
    <s v=""/>
    <m/>
  </r>
  <r>
    <n v="2848055"/>
    <x v="6"/>
    <s v="06-10-002-000"/>
    <x v="0"/>
    <n v="58079.53"/>
    <n v="0"/>
    <n v="58079.53"/>
    <n v="10000"/>
    <n v="100"/>
    <s v="AMPM53"/>
    <x v="20"/>
    <s v="Energia -A53-Dic"/>
    <s v="Compras"/>
    <s v="sa"/>
    <s v="PMTRX00079743"/>
    <n v="4273201"/>
    <n v="1"/>
    <n v="64"/>
    <s v=""/>
    <m/>
  </r>
  <r>
    <n v="2848056"/>
    <x v="6"/>
    <s v="06-10-002-000"/>
    <x v="0"/>
    <n v="48816.79"/>
    <n v="0"/>
    <n v="48816.79"/>
    <n v="10000"/>
    <n v="100"/>
    <s v="AMPM42"/>
    <x v="21"/>
    <s v="Energia -A42-Dic"/>
    <s v="Compras"/>
    <s v="sa"/>
    <s v="PMTRX00079743"/>
    <n v="4273202"/>
    <n v="1"/>
    <n v="51"/>
    <s v=""/>
    <m/>
  </r>
  <r>
    <n v="2848057"/>
    <x v="6"/>
    <s v="06-10-002-000"/>
    <x v="0"/>
    <n v="57456.82"/>
    <n v="0"/>
    <n v="57456.82"/>
    <n v="10000"/>
    <n v="100"/>
    <s v="AMPM70"/>
    <x v="22"/>
    <s v="Energia -A70-Dic"/>
    <s v="Compras"/>
    <s v="sa"/>
    <s v="PMTRX00079743"/>
    <n v="4273203"/>
    <n v="1"/>
    <n v="87"/>
    <s v=""/>
    <m/>
  </r>
  <r>
    <n v="2848058"/>
    <x v="6"/>
    <s v="06-10-002-000"/>
    <x v="0"/>
    <n v="56902.97"/>
    <n v="0"/>
    <n v="56902.97"/>
    <n v="10000"/>
    <n v="100"/>
    <s v="AMPM56"/>
    <x v="23"/>
    <s v="Energia -A56-Dic"/>
    <s v="Compras"/>
    <s v="sa"/>
    <s v="PMTRX00079743"/>
    <n v="4273204"/>
    <n v="1"/>
    <n v="72"/>
    <s v=""/>
    <m/>
  </r>
  <r>
    <n v="2848059"/>
    <x v="6"/>
    <s v="06-10-002-000"/>
    <x v="0"/>
    <n v="63630.44"/>
    <n v="0"/>
    <n v="63630.44"/>
    <n v="10000"/>
    <n v="100"/>
    <s v="AMPM41"/>
    <x v="24"/>
    <s v="Energia -A41-Dic"/>
    <s v="Compras"/>
    <s v="sa"/>
    <s v="PMTRX00079743"/>
    <n v="4273205"/>
    <n v="1"/>
    <n v="50"/>
    <s v=""/>
    <m/>
  </r>
  <r>
    <n v="2848060"/>
    <x v="6"/>
    <s v="06-10-002-000"/>
    <x v="0"/>
    <n v="56545.65"/>
    <n v="0"/>
    <n v="56545.65"/>
    <n v="10000"/>
    <n v="100"/>
    <s v="AMPM01"/>
    <x v="25"/>
    <s v="Energia -A01-Dic"/>
    <s v="Compras"/>
    <s v="sa"/>
    <s v="PMTRX00079743"/>
    <n v="4273206"/>
    <n v="1"/>
    <n v="1"/>
    <s v=""/>
    <m/>
  </r>
  <r>
    <n v="2848061"/>
    <x v="6"/>
    <s v="06-10-002-000"/>
    <x v="0"/>
    <n v="57725.52"/>
    <n v="0"/>
    <n v="57725.52"/>
    <n v="10000"/>
    <n v="100"/>
    <s v="AMPM04"/>
    <x v="26"/>
    <s v="Energia -A04-Dic"/>
    <s v="Compras"/>
    <s v="sa"/>
    <s v="PMTRX00079743"/>
    <n v="4273207"/>
    <n v="1"/>
    <n v="4"/>
    <s v=""/>
    <m/>
  </r>
  <r>
    <n v="2848062"/>
    <x v="6"/>
    <s v="06-10-002-000"/>
    <x v="0"/>
    <n v="31331.85"/>
    <n v="0"/>
    <n v="31331.85"/>
    <n v="10000"/>
    <n v="100"/>
    <s v="AMPM72"/>
    <x v="27"/>
    <s v="Energia -A72-Dic"/>
    <s v="Compras"/>
    <s v="sa"/>
    <s v="PMTRX00079743"/>
    <n v="4273208"/>
    <n v="1"/>
    <n v="88"/>
    <s v=""/>
    <m/>
  </r>
  <r>
    <n v="2848063"/>
    <x v="6"/>
    <s v="06-10-002-000"/>
    <x v="0"/>
    <n v="56204.78"/>
    <n v="0"/>
    <n v="56204.78"/>
    <n v="10000"/>
    <n v="100"/>
    <s v="AMPM02"/>
    <x v="28"/>
    <s v="Energia -A02-Dic"/>
    <s v="Compras"/>
    <s v="sa"/>
    <s v="PMTRX00079743"/>
    <n v="4273209"/>
    <n v="1"/>
    <n v="2"/>
    <s v=""/>
    <m/>
  </r>
  <r>
    <n v="2848064"/>
    <x v="6"/>
    <s v="06-10-002-000"/>
    <x v="0"/>
    <n v="59575.97"/>
    <n v="0"/>
    <n v="59575.97"/>
    <n v="10000"/>
    <n v="100"/>
    <s v="AMPM84"/>
    <x v="29"/>
    <s v="Energia -A84-Dic"/>
    <s v="Compras"/>
    <s v="sa"/>
    <s v="PMTRX00079743"/>
    <n v="4273210"/>
    <n v="1"/>
    <n v="100"/>
    <s v=""/>
    <m/>
  </r>
  <r>
    <n v="2848065"/>
    <x v="6"/>
    <s v="06-10-002-000"/>
    <x v="0"/>
    <n v="56578.21"/>
    <n v="0"/>
    <n v="56578.21"/>
    <n v="10000"/>
    <n v="100"/>
    <s v="AMPM69"/>
    <x v="30"/>
    <s v="Energia -A69-Dic"/>
    <s v="Compras"/>
    <s v="sa"/>
    <s v="PMTRX00079743"/>
    <n v="4273211"/>
    <n v="1"/>
    <n v="85"/>
    <s v=""/>
    <m/>
  </r>
  <r>
    <n v="2848066"/>
    <x v="6"/>
    <s v="06-10-002-000"/>
    <x v="0"/>
    <n v="53036.33"/>
    <n v="0"/>
    <n v="53036.33"/>
    <n v="10000"/>
    <n v="100"/>
    <s v="AMPM39"/>
    <x v="31"/>
    <s v="Energia -A39-Dic"/>
    <s v="Compras"/>
    <s v="sa"/>
    <s v="PMTRX00079743"/>
    <n v="4273212"/>
    <n v="1"/>
    <n v="48"/>
    <s v=""/>
    <m/>
  </r>
  <r>
    <n v="2848067"/>
    <x v="6"/>
    <s v="06-10-002-000"/>
    <x v="0"/>
    <n v="42481.04"/>
    <n v="0"/>
    <n v="42481.04"/>
    <n v="10000"/>
    <n v="100"/>
    <s v="AMPM15"/>
    <x v="1"/>
    <s v="Energia -A15-Dic"/>
    <s v="Compras"/>
    <s v="sa"/>
    <s v="PMTRX00079743"/>
    <n v="4273213"/>
    <n v="1"/>
    <n v="15"/>
    <s v=""/>
    <m/>
  </r>
  <r>
    <n v="2848068"/>
    <x v="6"/>
    <s v="06-10-002-000"/>
    <x v="0"/>
    <n v="65336.37"/>
    <n v="0"/>
    <n v="65336.37"/>
    <n v="10000"/>
    <n v="100"/>
    <s v="AMPM63"/>
    <x v="32"/>
    <s v="Energia -A63-Dic"/>
    <s v="Compras"/>
    <s v="sa"/>
    <s v="PMTRX00079743"/>
    <n v="4273214"/>
    <n v="1"/>
    <n v="79"/>
    <s v=""/>
    <m/>
  </r>
  <r>
    <n v="2848069"/>
    <x v="6"/>
    <s v="06-10-002-000"/>
    <x v="0"/>
    <n v="56849.46"/>
    <n v="0"/>
    <n v="56849.46"/>
    <n v="10000"/>
    <n v="100"/>
    <s v="AMPM77"/>
    <x v="33"/>
    <s v="Energia -A77-Dic"/>
    <s v="Compras"/>
    <s v="sa"/>
    <s v="PMTRX00079743"/>
    <n v="4273215"/>
    <n v="1"/>
    <n v="92"/>
    <s v=""/>
    <m/>
  </r>
  <r>
    <n v="2848070"/>
    <x v="6"/>
    <s v="06-10-002-000"/>
    <x v="0"/>
    <n v="57283.78"/>
    <n v="0"/>
    <n v="57283.78"/>
    <n v="10000"/>
    <n v="100"/>
    <s v="AMPM28"/>
    <x v="2"/>
    <s v="Energia -A28-Dic"/>
    <s v="Compras"/>
    <s v="sa"/>
    <s v="PMTRX00079743"/>
    <n v="4273216"/>
    <n v="1"/>
    <n v="35"/>
    <s v=""/>
    <m/>
  </r>
  <r>
    <n v="2848071"/>
    <x v="6"/>
    <s v="06-10-002-000"/>
    <x v="0"/>
    <n v="61411.09"/>
    <n v="0"/>
    <n v="61411.09"/>
    <n v="10000"/>
    <n v="100"/>
    <s v="AMPM46"/>
    <x v="34"/>
    <s v="Energia -A46-Dic"/>
    <s v="Compras"/>
    <s v="sa"/>
    <s v="PMTRX00079743"/>
    <n v="4273217"/>
    <n v="1"/>
    <n v="60"/>
    <s v=""/>
    <m/>
  </r>
  <r>
    <n v="2848072"/>
    <x v="6"/>
    <s v="06-10-002-000"/>
    <x v="0"/>
    <n v="66464.75"/>
    <n v="0"/>
    <n v="66464.75"/>
    <n v="10000"/>
    <n v="100"/>
    <s v="AMPM43"/>
    <x v="35"/>
    <s v="Energia -A43-Dic"/>
    <s v="Compras"/>
    <s v="sa"/>
    <s v="PMTRX00079743"/>
    <n v="4273218"/>
    <n v="1"/>
    <n v="58"/>
    <s v=""/>
    <m/>
  </r>
  <r>
    <n v="2848073"/>
    <x v="6"/>
    <s v="06-10-002-000"/>
    <x v="0"/>
    <n v="2876.77"/>
    <n v="0"/>
    <n v="2876.77"/>
    <n v="10000"/>
    <n v="100"/>
    <s v="AMPM39"/>
    <x v="31"/>
    <s v="Energia -A39-Dic"/>
    <s v="Compras"/>
    <s v="sa"/>
    <s v="PMTRX00079743"/>
    <n v="4273219"/>
    <n v="1"/>
    <n v="48"/>
    <s v=""/>
    <m/>
  </r>
  <r>
    <n v="2848074"/>
    <x v="6"/>
    <s v="06-10-002-000"/>
    <x v="0"/>
    <n v="60577.79"/>
    <n v="0"/>
    <n v="60577.79"/>
    <n v="10000"/>
    <n v="100"/>
    <s v="AMPM75"/>
    <x v="36"/>
    <s v="Energia -A75-Dic"/>
    <s v="Compras"/>
    <s v="sa"/>
    <s v="PMTRX00079743"/>
    <n v="4273220"/>
    <n v="1"/>
    <n v="91"/>
    <s v=""/>
    <m/>
  </r>
  <r>
    <n v="2848075"/>
    <x v="6"/>
    <s v="06-10-002-000"/>
    <x v="0"/>
    <n v="69434.12"/>
    <n v="0"/>
    <n v="69434.12"/>
    <n v="10000"/>
    <n v="100"/>
    <s v="AMPM55"/>
    <x v="37"/>
    <s v="Energia -A55-Dic"/>
    <s v="Compras"/>
    <s v="sa"/>
    <s v="PMTRX00079743"/>
    <n v="4273221"/>
    <n v="1"/>
    <n v="71"/>
    <s v=""/>
    <m/>
  </r>
  <r>
    <n v="2848076"/>
    <x v="6"/>
    <s v="06-10-002-000"/>
    <x v="0"/>
    <n v="59945.95"/>
    <n v="0"/>
    <n v="59945.95"/>
    <n v="10000"/>
    <n v="100"/>
    <s v="AMPM44"/>
    <x v="38"/>
    <s v="Energia -A44-Dic"/>
    <s v="Compras"/>
    <s v="sa"/>
    <s v="PMTRX00079743"/>
    <n v="4273222"/>
    <n v="1"/>
    <n v="57"/>
    <s v=""/>
    <m/>
  </r>
  <r>
    <n v="2848077"/>
    <x v="6"/>
    <s v="06-10-002-000"/>
    <x v="0"/>
    <n v="384.55"/>
    <n v="0"/>
    <n v="384.55"/>
    <n v="10000"/>
    <n v="100"/>
    <s v="OPERACIONES"/>
    <x v="10"/>
    <s v="Energia -OPER-Dic"/>
    <s v="Compras"/>
    <s v="sa"/>
    <s v="PMTRX00079743"/>
    <n v="4273223"/>
    <n v="1"/>
    <n v="31"/>
    <s v=""/>
    <m/>
  </r>
  <r>
    <n v="2848078"/>
    <x v="6"/>
    <s v="06-10-002-000"/>
    <x v="0"/>
    <n v="68091.34"/>
    <n v="0"/>
    <n v="68091.34"/>
    <n v="10000"/>
    <n v="100"/>
    <s v="AMPM30"/>
    <x v="39"/>
    <s v="Energia -A30-Dic"/>
    <s v="Compras"/>
    <s v="sa"/>
    <s v="PMTRX00079743"/>
    <n v="4273224"/>
    <n v="1"/>
    <n v="37"/>
    <s v=""/>
    <m/>
  </r>
  <r>
    <n v="2848079"/>
    <x v="6"/>
    <s v="06-10-002-000"/>
    <x v="0"/>
    <n v="61357.59"/>
    <n v="0"/>
    <n v="61357.59"/>
    <n v="10000"/>
    <n v="100"/>
    <s v="AMPM74"/>
    <x v="40"/>
    <s v="Energia -A74-Dic"/>
    <s v="Compras"/>
    <s v="sa"/>
    <s v="PMTRX00079743"/>
    <n v="4273225"/>
    <n v="1"/>
    <n v="90"/>
    <s v=""/>
    <m/>
  </r>
  <r>
    <n v="2848080"/>
    <x v="6"/>
    <s v="06-10-002-000"/>
    <x v="0"/>
    <n v="2584.23"/>
    <n v="0"/>
    <n v="2584.23"/>
    <n v="10000"/>
    <n v="100"/>
    <s v="AMPM38"/>
    <x v="41"/>
    <s v="Energia -A38-Dic"/>
    <s v="Compras"/>
    <s v="sa"/>
    <s v="PMTRX00079743"/>
    <n v="4273226"/>
    <n v="1"/>
    <n v="47"/>
    <s v=""/>
    <m/>
  </r>
  <r>
    <n v="2848081"/>
    <x v="6"/>
    <s v="06-10-002-000"/>
    <x v="0"/>
    <n v="67834.63"/>
    <n v="0"/>
    <n v="67834.63"/>
    <n v="10000"/>
    <n v="100"/>
    <s v="AMPM38"/>
    <x v="41"/>
    <s v="Energia -A38-Dic"/>
    <s v="Compras"/>
    <s v="sa"/>
    <s v="PMTRX00079743"/>
    <n v="4273227"/>
    <n v="1"/>
    <n v="47"/>
    <s v=""/>
    <m/>
  </r>
  <r>
    <n v="2848082"/>
    <x v="6"/>
    <s v="06-10-002-000"/>
    <x v="0"/>
    <n v="40162.33"/>
    <n v="0"/>
    <n v="40162.33"/>
    <n v="10000"/>
    <n v="100"/>
    <s v="AMPM09"/>
    <x v="42"/>
    <s v="Energia -A09-Dic"/>
    <s v="Compras"/>
    <s v="sa"/>
    <s v="PMTRX00079743"/>
    <n v="4273228"/>
    <n v="1"/>
    <n v="9"/>
    <s v=""/>
    <m/>
  </r>
  <r>
    <n v="2848083"/>
    <x v="6"/>
    <s v="06-10-002-000"/>
    <x v="0"/>
    <n v="60725.83"/>
    <n v="0"/>
    <n v="60725.83"/>
    <n v="10000"/>
    <n v="100"/>
    <s v="AMPM16"/>
    <x v="43"/>
    <s v="Energia -A16-Dic"/>
    <s v="Compras"/>
    <s v="sa"/>
    <s v="PMTRX00079743"/>
    <n v="4273229"/>
    <n v="1"/>
    <n v="16"/>
    <s v=""/>
    <m/>
  </r>
  <r>
    <n v="2848084"/>
    <x v="6"/>
    <s v="06-10-002-000"/>
    <x v="0"/>
    <n v="75494.77"/>
    <n v="0"/>
    <n v="75494.77"/>
    <n v="10000"/>
    <n v="100"/>
    <s v="AMPM07"/>
    <x v="44"/>
    <s v="Energia -A07-Dic"/>
    <s v="Compras"/>
    <s v="sa"/>
    <s v="PMTRX00079743"/>
    <n v="4273230"/>
    <n v="1"/>
    <n v="7"/>
    <s v=""/>
    <m/>
  </r>
  <r>
    <n v="2848085"/>
    <x v="6"/>
    <s v="06-10-002-000"/>
    <x v="0"/>
    <n v="80205.289999999994"/>
    <n v="0"/>
    <n v="80205.289999999994"/>
    <n v="10000"/>
    <n v="100"/>
    <s v="AMPM27"/>
    <x v="8"/>
    <s v="Energia -A27-Dic"/>
    <s v="Compras"/>
    <s v="sa"/>
    <s v="PMTRX00079743"/>
    <n v="4273231"/>
    <n v="1"/>
    <n v="34"/>
    <s v=""/>
    <m/>
  </r>
  <r>
    <n v="2848086"/>
    <x v="6"/>
    <s v="06-10-002-000"/>
    <x v="0"/>
    <n v="57486.720000000001"/>
    <n v="0"/>
    <n v="57486.720000000001"/>
    <n v="10000"/>
    <n v="100"/>
    <s v="AMPM10"/>
    <x v="45"/>
    <s v="Energia -A10-Dic"/>
    <s v="Compras"/>
    <s v="sa"/>
    <s v="PMTRX00079743"/>
    <n v="4273232"/>
    <n v="1"/>
    <n v="10"/>
    <s v=""/>
    <m/>
  </r>
  <r>
    <n v="2848087"/>
    <x v="6"/>
    <s v="06-10-002-000"/>
    <x v="0"/>
    <n v="63520.05"/>
    <n v="0"/>
    <n v="63520.05"/>
    <n v="10000"/>
    <n v="100"/>
    <s v="AMPM58"/>
    <x v="46"/>
    <s v="Energia -A58-Dic"/>
    <s v="Compras"/>
    <s v="sa"/>
    <s v="PMTRX00079743"/>
    <n v="4273233"/>
    <n v="1"/>
    <n v="74"/>
    <s v=""/>
    <m/>
  </r>
  <r>
    <n v="2848088"/>
    <x v="6"/>
    <s v="06-10-002-000"/>
    <x v="0"/>
    <n v="21968.82"/>
    <n v="0"/>
    <n v="21968.82"/>
    <n v="10000"/>
    <n v="100"/>
    <s v="AMPM08"/>
    <x v="47"/>
    <s v="Energia -A08-Dic"/>
    <s v="Compras"/>
    <s v="sa"/>
    <s v="PMTRX00079743"/>
    <n v="4273234"/>
    <n v="1"/>
    <n v="8"/>
    <s v=""/>
    <m/>
  </r>
  <r>
    <n v="2848089"/>
    <x v="6"/>
    <s v="06-10-002-000"/>
    <x v="0"/>
    <n v="35911.75"/>
    <n v="0"/>
    <n v="35911.75"/>
    <n v="10000"/>
    <n v="100"/>
    <s v="AMPM08"/>
    <x v="47"/>
    <s v="Energia -A08-Dic"/>
    <s v="Compras"/>
    <s v="sa"/>
    <s v="PMTRX00079743"/>
    <n v="4273235"/>
    <n v="1"/>
    <n v="8"/>
    <s v=""/>
    <m/>
  </r>
  <r>
    <n v="2848090"/>
    <x v="6"/>
    <s v="06-10-002-000"/>
    <x v="0"/>
    <n v="9131.8700000000008"/>
    <n v="0"/>
    <n v="9131.8700000000008"/>
    <n v="10000"/>
    <n v="100"/>
    <s v="ADMON"/>
    <x v="48"/>
    <s v="Energia -ADMON-Dic"/>
    <s v="Compras"/>
    <s v="sa"/>
    <s v="PMTRX00079743"/>
    <n v="4273236"/>
    <n v="1"/>
    <n v="27"/>
    <s v=""/>
    <m/>
  </r>
  <r>
    <n v="2848091"/>
    <x v="6"/>
    <s v="06-10-002-000"/>
    <x v="0"/>
    <n v="55485.06"/>
    <n v="0"/>
    <n v="55485.06"/>
    <n v="10000"/>
    <n v="100"/>
    <s v="AMPM37"/>
    <x v="49"/>
    <s v="Energia -A37-Dic"/>
    <s v="Compras"/>
    <s v="sa"/>
    <s v="PMTRX00079743"/>
    <n v="4273237"/>
    <n v="1"/>
    <n v="42"/>
    <s v=""/>
    <m/>
  </r>
  <r>
    <n v="2848092"/>
    <x v="6"/>
    <s v="06-10-002-000"/>
    <x v="0"/>
    <n v="54091.24"/>
    <n v="0"/>
    <n v="54091.24"/>
    <n v="10000"/>
    <n v="100"/>
    <s v="AMPM21"/>
    <x v="50"/>
    <s v="Energia -A21-Dic"/>
    <s v="Compras"/>
    <s v="sa"/>
    <s v="PMTRX00079743"/>
    <n v="4273238"/>
    <n v="1"/>
    <n v="21"/>
    <s v=""/>
    <m/>
  </r>
  <r>
    <n v="2848093"/>
    <x v="6"/>
    <s v="06-10-002-000"/>
    <x v="0"/>
    <n v="74417.56"/>
    <n v="0"/>
    <n v="74417.56"/>
    <n v="10000"/>
    <n v="100"/>
    <s v="AMPM12"/>
    <x v="51"/>
    <s v="Energia -A12-Dic"/>
    <s v="Compras"/>
    <s v="sa"/>
    <s v="PMTRX00079743"/>
    <n v="4273239"/>
    <n v="1"/>
    <n v="12"/>
    <s v=""/>
    <m/>
  </r>
  <r>
    <n v="2848094"/>
    <x v="6"/>
    <s v="06-10-002-000"/>
    <x v="0"/>
    <n v="72260.81"/>
    <n v="0"/>
    <n v="72260.81"/>
    <n v="10000"/>
    <n v="100"/>
    <s v="AMPM71"/>
    <x v="52"/>
    <s v="Energia -A71-Dic"/>
    <s v="Compras"/>
    <s v="sa"/>
    <s v="PMTRX00079743"/>
    <n v="4273240"/>
    <n v="1"/>
    <n v="86"/>
    <s v=""/>
    <m/>
  </r>
  <r>
    <n v="2848095"/>
    <x v="6"/>
    <s v="06-10-002-000"/>
    <x v="0"/>
    <n v="10566.17"/>
    <n v="0"/>
    <n v="10566.17"/>
    <n v="10000"/>
    <n v="100"/>
    <s v="AMPM14"/>
    <x v="53"/>
    <s v="Energia -A14-Dic"/>
    <s v="Compras"/>
    <s v="sa"/>
    <s v="PMTRX00079743"/>
    <n v="4273241"/>
    <n v="1"/>
    <n v="14"/>
    <s v=""/>
    <m/>
  </r>
  <r>
    <n v="2848096"/>
    <x v="6"/>
    <s v="06-10-002-000"/>
    <x v="0"/>
    <n v="70476.679999999993"/>
    <n v="0"/>
    <n v="70476.679999999993"/>
    <n v="10000"/>
    <n v="100"/>
    <s v="AMPM13"/>
    <x v="54"/>
    <s v="Energia -A13-Dic"/>
    <s v="Compras"/>
    <s v="sa"/>
    <s v="PMTRX00079743"/>
    <n v="4273242"/>
    <n v="1"/>
    <n v="13"/>
    <s v=""/>
    <m/>
  </r>
  <r>
    <n v="2848097"/>
    <x v="6"/>
    <s v="06-10-002-000"/>
    <x v="0"/>
    <n v="40368.74"/>
    <n v="0"/>
    <n v="40368.74"/>
    <n v="10000"/>
    <n v="100"/>
    <s v="AMPM14"/>
    <x v="53"/>
    <s v="Energia -A14-Dic"/>
    <s v="Compras"/>
    <s v="sa"/>
    <s v="PMTRX00079743"/>
    <n v="4273243"/>
    <n v="1"/>
    <n v="14"/>
    <s v=""/>
    <m/>
  </r>
  <r>
    <n v="2848098"/>
    <x v="6"/>
    <s v="06-10-002-000"/>
    <x v="0"/>
    <n v="1525.04"/>
    <n v="0"/>
    <n v="1525.04"/>
    <n v="10000"/>
    <n v="100"/>
    <s v="AMPM14"/>
    <x v="53"/>
    <s v="Energia -A14-Dic"/>
    <s v="Compras"/>
    <s v="sa"/>
    <s v="PMTRX00079743"/>
    <n v="4273244"/>
    <n v="1"/>
    <n v="14"/>
    <s v=""/>
    <m/>
  </r>
  <r>
    <n v="2848099"/>
    <x v="6"/>
    <s v="06-10-002-000"/>
    <x v="0"/>
    <n v="2586.88"/>
    <n v="0"/>
    <n v="2586.88"/>
    <n v="10000"/>
    <n v="100"/>
    <s v="AMPM13"/>
    <x v="54"/>
    <s v="Energia -A13-Dic"/>
    <s v="Compras"/>
    <s v="sa"/>
    <s v="PMTRX00079743"/>
    <n v="4273245"/>
    <n v="1"/>
    <n v="13"/>
    <s v=""/>
    <m/>
  </r>
  <r>
    <n v="2848100"/>
    <x v="6"/>
    <s v="06-10-002-000"/>
    <x v="0"/>
    <n v="1173.71"/>
    <n v="0"/>
    <n v="1173.71"/>
    <n v="10000"/>
    <n v="100"/>
    <s v="AMPM15"/>
    <x v="1"/>
    <s v="Energia -A15-Dic"/>
    <s v="Compras"/>
    <s v="sa"/>
    <s v="PMTRX00079743"/>
    <n v="4273246"/>
    <n v="1"/>
    <n v="15"/>
    <s v=""/>
    <m/>
  </r>
  <r>
    <n v="2848101"/>
    <x v="6"/>
    <s v="06-10-002-000"/>
    <x v="0"/>
    <n v="10666.2"/>
    <n v="0"/>
    <n v="10666.2"/>
    <n v="10000"/>
    <n v="100"/>
    <s v="ADMON"/>
    <x v="48"/>
    <s v="Energia -ADMON-Dic"/>
    <s v="Compras"/>
    <s v="sa"/>
    <s v="PMTRX00079743"/>
    <n v="4273247"/>
    <n v="1"/>
    <n v="27"/>
    <s v=""/>
    <m/>
  </r>
  <r>
    <n v="2848102"/>
    <x v="6"/>
    <s v="06-10-002-000"/>
    <x v="0"/>
    <n v="63769.41"/>
    <n v="0"/>
    <n v="63769.41"/>
    <n v="10000"/>
    <n v="100"/>
    <s v="AMPM18"/>
    <x v="55"/>
    <s v="Energia -A18-Dic"/>
    <s v="Compras"/>
    <s v="sa"/>
    <s v="PMTRX00079743"/>
    <n v="4273248"/>
    <n v="1"/>
    <n v="18"/>
    <s v=""/>
    <m/>
  </r>
  <r>
    <n v="2848103"/>
    <x v="6"/>
    <s v="06-10-002-000"/>
    <x v="0"/>
    <n v="66161.86"/>
    <n v="0"/>
    <n v="66161.86"/>
    <n v="10000"/>
    <n v="100"/>
    <s v="AMPM19"/>
    <x v="56"/>
    <s v="Energia -A19-Dic"/>
    <s v="Compras"/>
    <s v="sa"/>
    <s v="PMTRX00079743"/>
    <n v="4273249"/>
    <n v="1"/>
    <n v="19"/>
    <s v=""/>
    <m/>
  </r>
  <r>
    <n v="2848104"/>
    <x v="6"/>
    <s v="06-10-002-000"/>
    <x v="0"/>
    <n v="64262.29"/>
    <n v="0"/>
    <n v="64262.29"/>
    <n v="10000"/>
    <n v="100"/>
    <s v="AMPM20"/>
    <x v="57"/>
    <s v="Energia -A20-Dic"/>
    <s v="Compras"/>
    <s v="sa"/>
    <s v="PMTRX00079743"/>
    <n v="4273250"/>
    <n v="1"/>
    <n v="20"/>
    <s v=""/>
    <m/>
  </r>
  <r>
    <n v="2848105"/>
    <x v="6"/>
    <s v="06-10-002-000"/>
    <x v="0"/>
    <n v="24361.78"/>
    <n v="0"/>
    <n v="24361.78"/>
    <n v="10000"/>
    <n v="100"/>
    <s v="ADMON"/>
    <x v="48"/>
    <s v="Energia -ADMON-Dic"/>
    <s v="Compras"/>
    <s v="sa"/>
    <s v="PMTRX00079743"/>
    <n v="4273251"/>
    <n v="1"/>
    <n v="27"/>
    <s v=""/>
    <m/>
  </r>
  <r>
    <n v="2848106"/>
    <x v="6"/>
    <s v="06-10-002-000"/>
    <x v="0"/>
    <n v="4395.12"/>
    <n v="0"/>
    <n v="4395.12"/>
    <n v="10000"/>
    <n v="100"/>
    <s v="AMPM18"/>
    <x v="55"/>
    <s v="Energia -A18-Dic"/>
    <s v="Compras"/>
    <s v="sa"/>
    <s v="PMTRX00079743"/>
    <n v="4273252"/>
    <n v="1"/>
    <n v="18"/>
    <s v=""/>
    <m/>
  </r>
  <r>
    <n v="2848107"/>
    <x v="6"/>
    <s v="06-10-002-000"/>
    <x v="0"/>
    <n v="67929.11"/>
    <n v="0"/>
    <n v="67929.11"/>
    <n v="10000"/>
    <n v="100"/>
    <s v="AMPM29"/>
    <x v="58"/>
    <s v="Energia -A29-Dic"/>
    <s v="Compras"/>
    <s v="sa"/>
    <s v="PMTRX00079743"/>
    <n v="4273253"/>
    <n v="1"/>
    <n v="36"/>
    <s v=""/>
    <m/>
  </r>
  <r>
    <n v="2848108"/>
    <x v="6"/>
    <s v="06-10-002-000"/>
    <x v="0"/>
    <n v="50846.84"/>
    <n v="0"/>
    <n v="50846.84"/>
    <n v="10000"/>
    <n v="100"/>
    <s v="AMPM23"/>
    <x v="59"/>
    <s v="Energia -A23-Dic"/>
    <s v="Compras"/>
    <s v="sa"/>
    <s v="PMTRX00079743"/>
    <n v="4273254"/>
    <n v="1"/>
    <n v="23"/>
    <s v=""/>
    <m/>
  </r>
  <r>
    <n v="2848109"/>
    <x v="6"/>
    <s v="06-10-002-000"/>
    <x v="0"/>
    <n v="62893.91"/>
    <n v="0"/>
    <n v="62893.91"/>
    <n v="10000"/>
    <n v="100"/>
    <s v="AMPM47"/>
    <x v="60"/>
    <s v="Energia -A47-Dic"/>
    <s v="Compras"/>
    <s v="sa"/>
    <s v="PMTRX00079743"/>
    <n v="4273255"/>
    <n v="1"/>
    <n v="61"/>
    <s v=""/>
    <m/>
  </r>
  <r>
    <n v="2848110"/>
    <x v="6"/>
    <s v="06-10-002-000"/>
    <x v="0"/>
    <n v="65160.05"/>
    <n v="0"/>
    <n v="65160.05"/>
    <n v="10000"/>
    <n v="100"/>
    <s v="AMPM03"/>
    <x v="61"/>
    <s v="Energia -A03-Dic"/>
    <s v="Compras"/>
    <s v="sa"/>
    <s v="PMTRX00079743"/>
    <n v="4273256"/>
    <n v="1"/>
    <n v="3"/>
    <s v=""/>
    <m/>
  </r>
  <r>
    <n v="2848111"/>
    <x v="6"/>
    <s v="06-10-002-000"/>
    <x v="0"/>
    <n v="65077.85"/>
    <n v="0"/>
    <n v="65077.85"/>
    <n v="10000"/>
    <n v="100"/>
    <s v="AMPM25"/>
    <x v="62"/>
    <s v="Energia -A25-Dic"/>
    <s v="Compras"/>
    <s v="sa"/>
    <s v="PMTRX00079743"/>
    <n v="4273257"/>
    <n v="1"/>
    <n v="25"/>
    <s v=""/>
    <m/>
  </r>
  <r>
    <n v="2848112"/>
    <x v="6"/>
    <s v="06-10-002-000"/>
    <x v="0"/>
    <n v="390.65"/>
    <n v="0"/>
    <n v="390.65"/>
    <n v="10000"/>
    <n v="100"/>
    <s v="AMPM07"/>
    <x v="44"/>
    <s v="Energia -A07-Dic"/>
    <s v="Compras"/>
    <s v="sa"/>
    <s v="PMTRX00079743"/>
    <n v="4273258"/>
    <n v="1"/>
    <n v="7"/>
    <s v=""/>
    <m/>
  </r>
  <r>
    <n v="2848113"/>
    <x v="6"/>
    <s v="06-10-002-000"/>
    <x v="0"/>
    <n v="2159.9"/>
    <n v="0"/>
    <n v="2159.9"/>
    <n v="10000"/>
    <n v="100"/>
    <s v="AMPM26"/>
    <x v="7"/>
    <s v="Energia -A26-Dic"/>
    <s v="Compras"/>
    <s v="sa"/>
    <s v="PMTRX00079743"/>
    <n v="4273259"/>
    <n v="1"/>
    <n v="26"/>
    <s v=""/>
    <m/>
  </r>
  <r>
    <n v="2848114"/>
    <x v="6"/>
    <s v="06-10-002-000"/>
    <x v="0"/>
    <n v="47414.58"/>
    <n v="0"/>
    <n v="47414.58"/>
    <n v="10000"/>
    <n v="100"/>
    <s v="MONITOREO"/>
    <x v="63"/>
    <s v="Energia -MONI-Dic"/>
    <s v="Compras"/>
    <s v="sa"/>
    <s v="PMTRX00079743"/>
    <n v="4273260"/>
    <n v="1"/>
    <n v="30"/>
    <s v=""/>
    <m/>
  </r>
  <r>
    <n v="2848115"/>
    <x v="6"/>
    <s v="06-10-002-000"/>
    <x v="0"/>
    <n v="44590.95"/>
    <n v="0"/>
    <n v="44590.95"/>
    <n v="10000"/>
    <n v="100"/>
    <s v="AMPM31"/>
    <x v="64"/>
    <s v="Energia -A31-Dic"/>
    <s v="Compras"/>
    <s v="sa"/>
    <s v="PMTRX00079743"/>
    <n v="4273261"/>
    <n v="1"/>
    <n v="38"/>
    <s v=""/>
    <m/>
  </r>
  <r>
    <n v="2848116"/>
    <x v="6"/>
    <s v="06-10-002-000"/>
    <x v="0"/>
    <n v="66000.070000000007"/>
    <n v="0"/>
    <n v="66000.070000000007"/>
    <n v="10000"/>
    <n v="100"/>
    <s v="AMPM32"/>
    <x v="65"/>
    <s v="Energia -A32-Dic"/>
    <s v="Compras"/>
    <s v="sa"/>
    <s v="PMTRX00079743"/>
    <n v="4273262"/>
    <n v="1"/>
    <n v="40"/>
    <s v=""/>
    <m/>
  </r>
  <r>
    <n v="2848117"/>
    <x v="6"/>
    <s v="06-10-002-000"/>
    <x v="0"/>
    <n v="3124.1"/>
    <n v="0"/>
    <n v="3124.1"/>
    <n v="10000"/>
    <n v="100"/>
    <s v="AMPM27"/>
    <x v="8"/>
    <s v="Energia -A27-Dic"/>
    <s v="Compras"/>
    <s v="sa"/>
    <s v="PMTRX00079743"/>
    <n v="4273263"/>
    <n v="1"/>
    <n v="34"/>
    <s v=""/>
    <m/>
  </r>
  <r>
    <n v="2848118"/>
    <x v="6"/>
    <s v="06-10-002-000"/>
    <x v="0"/>
    <n v="3879.57"/>
    <n v="0"/>
    <n v="3879.57"/>
    <n v="10000"/>
    <n v="100"/>
    <s v="AMPM01"/>
    <x v="25"/>
    <s v="Energia -A01-Dic"/>
    <s v="Compras"/>
    <s v="sa"/>
    <s v="PMTRX00079743"/>
    <n v="4273264"/>
    <n v="1"/>
    <n v="1"/>
    <s v=""/>
    <m/>
  </r>
  <r>
    <n v="2848119"/>
    <x v="6"/>
    <s v="06-10-002-000"/>
    <x v="0"/>
    <n v="46838.2"/>
    <n v="0"/>
    <n v="46838.2"/>
    <n v="10000"/>
    <n v="100"/>
    <s v="AMPM36"/>
    <x v="66"/>
    <s v="Energia -A36-Dic"/>
    <s v="Compras"/>
    <s v="sa"/>
    <s v="PMTRX00079743"/>
    <n v="4273265"/>
    <n v="1"/>
    <n v="44"/>
    <s v=""/>
    <m/>
  </r>
  <r>
    <n v="2848120"/>
    <x v="6"/>
    <s v="06-10-002-000"/>
    <x v="0"/>
    <n v="103.75"/>
    <n v="0"/>
    <n v="103.75"/>
    <n v="10000"/>
    <n v="100"/>
    <s v="AMPM36"/>
    <x v="66"/>
    <s v="Energia -A36-Dic"/>
    <s v="Compras"/>
    <s v="sa"/>
    <s v="PMTRX00079743"/>
    <n v="4273266"/>
    <n v="1"/>
    <n v="44"/>
    <s v=""/>
    <m/>
  </r>
  <r>
    <n v="2848121"/>
    <x v="6"/>
    <s v="06-10-002-000"/>
    <x v="0"/>
    <n v="2079.04"/>
    <n v="0"/>
    <n v="2079.04"/>
    <n v="10000"/>
    <n v="100"/>
    <s v="AMPM35"/>
    <x v="14"/>
    <s v="Energia -A35-Dic"/>
    <s v="Compras"/>
    <s v="sa"/>
    <s v="PMTRX00079743"/>
    <n v="4273267"/>
    <n v="1"/>
    <n v="43"/>
    <s v=""/>
    <m/>
  </r>
  <r>
    <n v="2848122"/>
    <x v="6"/>
    <s v="06-10-002-000"/>
    <x v="0"/>
    <n v="66409.91"/>
    <n v="0"/>
    <n v="66409.91"/>
    <n v="10000"/>
    <n v="100"/>
    <s v="AMPM40"/>
    <x v="67"/>
    <s v="Energia -A40-Dic"/>
    <s v="Compras"/>
    <s v="sa"/>
    <s v="PMTRX00079743"/>
    <n v="4273268"/>
    <n v="1"/>
    <n v="49"/>
    <s v=""/>
    <m/>
  </r>
  <r>
    <n v="2848123"/>
    <x v="6"/>
    <s v="06-10-002-000"/>
    <x v="0"/>
    <n v="75595.8"/>
    <n v="0"/>
    <n v="75595.8"/>
    <n v="10000"/>
    <n v="100"/>
    <s v="AMPM45"/>
    <x v="68"/>
    <s v="Energia -A45-Dic"/>
    <s v="Compras"/>
    <s v="sa"/>
    <s v="PMTRX00079743"/>
    <n v="4273269"/>
    <n v="1"/>
    <n v="59"/>
    <s v=""/>
    <m/>
  </r>
  <r>
    <n v="2848124"/>
    <x v="6"/>
    <s v="06-10-002-000"/>
    <x v="0"/>
    <n v="2063.4499999999998"/>
    <n v="0"/>
    <n v="2063.4499999999998"/>
    <n v="10000"/>
    <n v="100"/>
    <s v="AMPM12"/>
    <x v="51"/>
    <s v="Energia -A12-Dic"/>
    <s v="Compras"/>
    <s v="sa"/>
    <s v="PMTRX00079743"/>
    <n v="4273270"/>
    <n v="1"/>
    <n v="12"/>
    <s v=""/>
    <m/>
  </r>
  <r>
    <n v="2848125"/>
    <x v="6"/>
    <s v="06-10-002-000"/>
    <x v="0"/>
    <n v="2208.11"/>
    <n v="0"/>
    <n v="2208.11"/>
    <n v="10000"/>
    <n v="100"/>
    <s v="AMPM40"/>
    <x v="67"/>
    <s v="Energia -A40-Dic"/>
    <s v="Compras"/>
    <s v="sa"/>
    <s v="PMTRX00079743"/>
    <n v="4273271"/>
    <n v="1"/>
    <n v="49"/>
    <s v=""/>
    <m/>
  </r>
  <r>
    <n v="2848126"/>
    <x v="6"/>
    <s v="06-10-002-000"/>
    <x v="0"/>
    <n v="347.89"/>
    <n v="0"/>
    <n v="347.89"/>
    <n v="10000"/>
    <n v="100"/>
    <s v="AMPM01"/>
    <x v="25"/>
    <s v="Energia -A01-Dic"/>
    <s v="Compras"/>
    <s v="sa"/>
    <s v="PMTRX00079743"/>
    <n v="4273272"/>
    <n v="1"/>
    <n v="1"/>
    <s v=""/>
    <m/>
  </r>
  <r>
    <n v="2848127"/>
    <x v="6"/>
    <s v="06-10-002-000"/>
    <x v="0"/>
    <n v="2661.38"/>
    <n v="0"/>
    <n v="2661.38"/>
    <n v="10000"/>
    <n v="100"/>
    <s v="AMPM41"/>
    <x v="24"/>
    <s v="Energia -A41-Dic"/>
    <s v="Compras"/>
    <s v="sa"/>
    <s v="PMTRX00079743"/>
    <n v="4273273"/>
    <n v="1"/>
    <n v="50"/>
    <s v=""/>
    <m/>
  </r>
  <r>
    <n v="2848128"/>
    <x v="6"/>
    <s v="06-10-002-000"/>
    <x v="0"/>
    <n v="219.63"/>
    <n v="0"/>
    <n v="219.63"/>
    <n v="10000"/>
    <n v="100"/>
    <s v="AMPM28"/>
    <x v="2"/>
    <s v="Energia -A28-Dic"/>
    <s v="Compras"/>
    <s v="sa"/>
    <s v="PMTRX00079743"/>
    <n v="4273274"/>
    <n v="1"/>
    <n v="35"/>
    <s v=""/>
    <m/>
  </r>
  <r>
    <n v="2848129"/>
    <x v="6"/>
    <s v="06-10-002-000"/>
    <x v="0"/>
    <n v="225.75"/>
    <n v="0"/>
    <n v="225.75"/>
    <n v="10000"/>
    <n v="100"/>
    <s v="AMPM29"/>
    <x v="58"/>
    <s v="Energia -A29-Dic"/>
    <s v="Compras"/>
    <s v="sa"/>
    <s v="PMTRX00079743"/>
    <n v="4273275"/>
    <n v="1"/>
    <n v="36"/>
    <s v=""/>
    <m/>
  </r>
  <r>
    <n v="2848130"/>
    <x v="6"/>
    <s v="06-10-002-000"/>
    <x v="0"/>
    <n v="1822.36"/>
    <n v="0"/>
    <n v="1822.36"/>
    <n v="10000"/>
    <n v="100"/>
    <s v="AMPM42"/>
    <x v="21"/>
    <s v="Energia -A42-Dic"/>
    <s v="Compras"/>
    <s v="sa"/>
    <s v="PMTRX00079743"/>
    <n v="4273276"/>
    <n v="1"/>
    <n v="51"/>
    <s v=""/>
    <m/>
  </r>
  <r>
    <n v="2848131"/>
    <x v="6"/>
    <s v="06-10-002-000"/>
    <x v="0"/>
    <n v="2586.88"/>
    <n v="0"/>
    <n v="2586.88"/>
    <n v="10000"/>
    <n v="100"/>
    <s v="AMPM45"/>
    <x v="68"/>
    <s v="Energia -A45-Dic"/>
    <s v="Compras"/>
    <s v="sa"/>
    <s v="PMTRX00079743"/>
    <n v="4273277"/>
    <n v="1"/>
    <n v="59"/>
    <s v=""/>
    <m/>
  </r>
  <r>
    <n v="2848132"/>
    <x v="6"/>
    <s v="06-10-002-000"/>
    <x v="0"/>
    <n v="55150.35"/>
    <n v="0"/>
    <n v="55150.35"/>
    <n v="10000"/>
    <n v="100"/>
    <s v="AMPM48"/>
    <x v="69"/>
    <s v="Energia -A48-Dic"/>
    <s v="Compras"/>
    <s v="sa"/>
    <s v="PMTRX00079743"/>
    <n v="4273278"/>
    <n v="1"/>
    <n v="62"/>
    <s v=""/>
    <m/>
  </r>
  <r>
    <n v="2848133"/>
    <x v="6"/>
    <s v="06-10-002-000"/>
    <x v="0"/>
    <n v="56552.33"/>
    <n v="0"/>
    <n v="56552.33"/>
    <n v="10000"/>
    <n v="100"/>
    <s v="AMPM50"/>
    <x v="70"/>
    <s v="Energia -A50-Dic"/>
    <s v="Compras"/>
    <s v="sa"/>
    <s v="PMTRX00079743"/>
    <n v="4273279"/>
    <n v="1"/>
    <n v="28"/>
    <s v=""/>
    <m/>
  </r>
  <r>
    <n v="2848134"/>
    <x v="6"/>
    <s v="06-10-002-000"/>
    <x v="0"/>
    <n v="66168.72"/>
    <n v="0"/>
    <n v="66168.72"/>
    <n v="10000"/>
    <n v="100"/>
    <s v="AMPM51"/>
    <x v="71"/>
    <s v="Energia -A51-Dic"/>
    <s v="Compras"/>
    <s v="sa"/>
    <s v="PMTRX00079743"/>
    <n v="4273280"/>
    <n v="1"/>
    <n v="65"/>
    <s v=""/>
    <m/>
  </r>
  <r>
    <n v="2848135"/>
    <x v="6"/>
    <s v="06-10-002-000"/>
    <x v="0"/>
    <n v="62453.87"/>
    <n v="0"/>
    <n v="62453.87"/>
    <n v="10000"/>
    <n v="100"/>
    <s v="AMPM49"/>
    <x v="72"/>
    <s v="Energia -A49-Dic"/>
    <s v="Compras"/>
    <s v="sa"/>
    <s v="PMTRX00079743"/>
    <n v="4273281"/>
    <n v="1"/>
    <n v="63"/>
    <s v=""/>
    <m/>
  </r>
  <r>
    <n v="2848136"/>
    <x v="6"/>
    <s v="06-10-002-000"/>
    <x v="0"/>
    <n v="3153.21"/>
    <n v="0"/>
    <n v="3153.21"/>
    <n v="10000"/>
    <n v="100"/>
    <s v="AMPM47"/>
    <x v="60"/>
    <s v="Energia -A47-Dic"/>
    <s v="Compras"/>
    <s v="sa"/>
    <s v="PMTRX00079743"/>
    <n v="4273282"/>
    <n v="1"/>
    <n v="61"/>
    <s v=""/>
    <m/>
  </r>
  <r>
    <n v="2848137"/>
    <x v="6"/>
    <s v="06-10-002-000"/>
    <x v="0"/>
    <n v="57124.959999999999"/>
    <n v="0"/>
    <n v="57124.959999999999"/>
    <n v="10000"/>
    <n v="100"/>
    <s v="AMPM26"/>
    <x v="7"/>
    <s v="Energia -A26-Dic"/>
    <s v="Compras"/>
    <s v="sa"/>
    <s v="PMTRX00079743"/>
    <n v="4273283"/>
    <n v="1"/>
    <n v="26"/>
    <s v=""/>
    <m/>
  </r>
  <r>
    <n v="2848138"/>
    <x v="6"/>
    <s v="06-10-002-000"/>
    <x v="0"/>
    <n v="25753.77"/>
    <n v="0"/>
    <n v="25753.77"/>
    <n v="10000"/>
    <n v="100"/>
    <s v="AMPM49"/>
    <x v="72"/>
    <s v="Energia -A49-Dic"/>
    <s v="Compras"/>
    <s v="sa"/>
    <s v="PMTRX00079743"/>
    <n v="4273284"/>
    <n v="1"/>
    <n v="63"/>
    <s v=""/>
    <m/>
  </r>
  <r>
    <n v="2848139"/>
    <x v="6"/>
    <s v="06-10-002-000"/>
    <x v="0"/>
    <n v="3769.91"/>
    <n v="0"/>
    <n v="3769.91"/>
    <n v="10000"/>
    <n v="100"/>
    <s v="AMPM51"/>
    <x v="71"/>
    <s v="Energia -A51-Dic"/>
    <s v="Compras"/>
    <s v="sa"/>
    <s v="PMTRX00079743"/>
    <n v="4273285"/>
    <n v="1"/>
    <n v="65"/>
    <s v=""/>
    <m/>
  </r>
  <r>
    <n v="2848140"/>
    <x v="6"/>
    <s v="06-10-002-000"/>
    <x v="0"/>
    <n v="12459.43"/>
    <n v="0"/>
    <n v="12459.43"/>
    <n v="10000"/>
    <n v="100"/>
    <s v="ADMON"/>
    <x v="48"/>
    <s v="Energia -ADMON-Dic"/>
    <s v="Compras"/>
    <s v="sa"/>
    <s v="PMTRX00079743"/>
    <n v="4273286"/>
    <n v="1"/>
    <n v="27"/>
    <s v=""/>
    <m/>
  </r>
  <r>
    <n v="2848141"/>
    <x v="6"/>
    <s v="06-10-002-000"/>
    <x v="0"/>
    <n v="11499.14"/>
    <n v="0"/>
    <n v="11499.14"/>
    <n v="10000"/>
    <n v="100"/>
    <s v="ADMON"/>
    <x v="48"/>
    <s v="Energia -ADMON-Dic"/>
    <s v="Compras"/>
    <s v="sa"/>
    <s v="PMTRX00079743"/>
    <n v="4273287"/>
    <n v="1"/>
    <n v="27"/>
    <s v=""/>
    <m/>
  </r>
  <r>
    <n v="2848142"/>
    <x v="6"/>
    <s v="06-10-002-000"/>
    <x v="0"/>
    <n v="27812.62"/>
    <n v="0"/>
    <n v="27812.62"/>
    <n v="10000"/>
    <n v="100"/>
    <s v="AMPM99"/>
    <x v="73"/>
    <s v="Energia -A99-Dic"/>
    <s v="Compras"/>
    <s v="sa"/>
    <s v="PMTRX00079743"/>
    <n v="4273288"/>
    <n v="1"/>
    <n v="33"/>
    <s v=""/>
    <m/>
  </r>
  <r>
    <n v="2848143"/>
    <x v="6"/>
    <s v="06-10-002-000"/>
    <x v="0"/>
    <n v="48870.28"/>
    <n v="0"/>
    <n v="48870.28"/>
    <n v="10000"/>
    <n v="100"/>
    <s v="AMPM59"/>
    <x v="74"/>
    <s v="Energia -A59-Dic"/>
    <s v="Compras"/>
    <s v="sa"/>
    <s v="PMTRX00079743"/>
    <n v="4273289"/>
    <n v="1"/>
    <n v="75"/>
    <s v=""/>
    <m/>
  </r>
  <r>
    <n v="2848144"/>
    <x v="6"/>
    <s v="06-10-002-000"/>
    <x v="0"/>
    <n v="62597.33"/>
    <n v="0"/>
    <n v="62597.33"/>
    <n v="10000"/>
    <n v="100"/>
    <s v="AMPM61"/>
    <x v="75"/>
    <s v="Energia -A61-Dic"/>
    <s v="Compras"/>
    <s v="sa"/>
    <s v="PMTRX00079743"/>
    <n v="4273290"/>
    <n v="1"/>
    <n v="77"/>
    <s v=""/>
    <m/>
  </r>
  <r>
    <n v="2848145"/>
    <x v="6"/>
    <s v="06-10-002-000"/>
    <x v="0"/>
    <n v="72642.75"/>
    <n v="0"/>
    <n v="72642.75"/>
    <n v="10000"/>
    <n v="100"/>
    <s v="AMPM60"/>
    <x v="76"/>
    <s v="Energia -A60-Dic"/>
    <s v="Compras"/>
    <s v="sa"/>
    <s v="PMTRX00079743"/>
    <n v="4273291"/>
    <n v="1"/>
    <n v="76"/>
    <s v=""/>
    <m/>
  </r>
  <r>
    <n v="2848146"/>
    <x v="6"/>
    <s v="06-10-002-000"/>
    <x v="0"/>
    <n v="60891.41"/>
    <n v="0"/>
    <n v="60891.41"/>
    <n v="10000"/>
    <n v="100"/>
    <s v="AMPM62"/>
    <x v="77"/>
    <s v="Energia -A62-Dic"/>
    <s v="Compras"/>
    <s v="sa"/>
    <s v="PMTRX00079743"/>
    <n v="4273292"/>
    <n v="1"/>
    <n v="78"/>
    <s v=""/>
    <m/>
  </r>
  <r>
    <n v="2848147"/>
    <x v="6"/>
    <s v="06-10-002-000"/>
    <x v="0"/>
    <n v="87024.39"/>
    <n v="0"/>
    <n v="87024.39"/>
    <n v="10000"/>
    <n v="100"/>
    <s v="AMPM65"/>
    <x v="78"/>
    <s v="Energia -A65-Dic"/>
    <s v="Compras"/>
    <s v="sa"/>
    <s v="PMTRX00079743"/>
    <n v="4273293"/>
    <n v="1"/>
    <n v="81"/>
    <s v=""/>
    <m/>
  </r>
  <r>
    <n v="2848148"/>
    <x v="6"/>
    <s v="06-10-002-000"/>
    <x v="0"/>
    <n v="69565.61"/>
    <n v="0"/>
    <n v="69565.61"/>
    <n v="10000"/>
    <n v="100"/>
    <s v="AMPM66"/>
    <x v="79"/>
    <s v="Energia -A66-Dic"/>
    <s v="Compras"/>
    <s v="sa"/>
    <s v="PMTRX00079743"/>
    <n v="4273294"/>
    <n v="1"/>
    <n v="82"/>
    <s v=""/>
    <m/>
  </r>
  <r>
    <n v="2848149"/>
    <x v="6"/>
    <s v="06-10-002-000"/>
    <x v="0"/>
    <n v="68745.38"/>
    <n v="0"/>
    <n v="68745.38"/>
    <n v="10000"/>
    <n v="100"/>
    <s v="AMPM67"/>
    <x v="80"/>
    <s v="Energia -A67-Dic"/>
    <s v="Compras"/>
    <s v="sa"/>
    <s v="PMTRX00079743"/>
    <n v="4273295"/>
    <n v="1"/>
    <n v="83"/>
    <s v=""/>
    <m/>
  </r>
  <r>
    <n v="2848150"/>
    <x v="6"/>
    <s v="06-10-002-000"/>
    <x v="0"/>
    <n v="2198.4699999999998"/>
    <n v="0"/>
    <n v="2198.4699999999998"/>
    <n v="10000"/>
    <n v="100"/>
    <s v="AMPM67"/>
    <x v="80"/>
    <s v="Energia -A67-Dic"/>
    <s v="Compras"/>
    <s v="sa"/>
    <s v="PMTRX00079743"/>
    <n v="4273296"/>
    <n v="1"/>
    <n v="83"/>
    <s v=""/>
    <m/>
  </r>
  <r>
    <n v="2848151"/>
    <x v="6"/>
    <s v="06-10-002-000"/>
    <x v="0"/>
    <n v="72542.559999999998"/>
    <n v="0"/>
    <n v="72542.559999999998"/>
    <n v="10000"/>
    <n v="100"/>
    <s v="AMPM78"/>
    <x v="81"/>
    <s v="Energia -A78-Dic"/>
    <s v="Compras"/>
    <s v="sa"/>
    <s v="PMTRX00079743"/>
    <n v="4273297"/>
    <n v="1"/>
    <n v="94"/>
    <s v=""/>
    <m/>
  </r>
  <r>
    <n v="2848152"/>
    <x v="6"/>
    <s v="06-10-002-000"/>
    <x v="0"/>
    <n v="81285.64"/>
    <n v="0"/>
    <n v="81285.64"/>
    <n v="10000"/>
    <n v="100"/>
    <s v="AMPM79"/>
    <x v="82"/>
    <s v="Energia -A79-Dic"/>
    <s v="Compras"/>
    <s v="sa"/>
    <s v="PMTRX00079743"/>
    <n v="4273298"/>
    <n v="1"/>
    <n v="95"/>
    <s v=""/>
    <m/>
  </r>
  <r>
    <n v="2848153"/>
    <x v="6"/>
    <s v="06-10-002-000"/>
    <x v="0"/>
    <n v="74946.34"/>
    <n v="0"/>
    <n v="74946.34"/>
    <n v="10000"/>
    <n v="100"/>
    <s v="AMPM81"/>
    <x v="83"/>
    <s v="Energia -A81-Dic"/>
    <s v="Compras"/>
    <s v="sa"/>
    <s v="PMTRX00079743"/>
    <n v="4273299"/>
    <n v="1"/>
    <n v="99"/>
    <s v=""/>
    <m/>
  </r>
  <r>
    <n v="2848154"/>
    <x v="6"/>
    <s v="06-10-002-000"/>
    <x v="0"/>
    <n v="68760.75"/>
    <n v="0"/>
    <n v="68760.75"/>
    <n v="10000"/>
    <n v="100"/>
    <s v="AMPM82"/>
    <x v="84"/>
    <s v="Energia -A82-Dic"/>
    <s v="Compras"/>
    <s v="sa"/>
    <s v="PMTRX00079743"/>
    <n v="4273300"/>
    <n v="1"/>
    <n v="96"/>
    <s v=""/>
    <m/>
  </r>
  <r>
    <n v="2848155"/>
    <x v="6"/>
    <s v="06-10-002-000"/>
    <x v="0"/>
    <n v="89265.919999999998"/>
    <n v="0"/>
    <n v="89265.919999999998"/>
    <n v="10000"/>
    <n v="100"/>
    <s v="AMPM34"/>
    <x v="85"/>
    <s v="Energia -A34-Dic"/>
    <s v="Compras"/>
    <s v="sa"/>
    <s v="PMTRX00079743"/>
    <n v="4273301"/>
    <n v="1"/>
    <n v="41"/>
    <s v=""/>
    <m/>
  </r>
  <r>
    <n v="2848156"/>
    <x v="6"/>
    <s v="06-10-002-000"/>
    <x v="0"/>
    <n v="97310.34"/>
    <n v="0"/>
    <n v="97310.34"/>
    <n v="10000"/>
    <n v="100"/>
    <s v="AMPM85"/>
    <x v="86"/>
    <s v="Energia -A85-Dic"/>
    <s v="Compras"/>
    <s v="sa"/>
    <s v="PMTRX00079743"/>
    <n v="4273302"/>
    <n v="1"/>
    <n v="101"/>
    <s v=""/>
    <m/>
  </r>
  <r>
    <n v="2848157"/>
    <x v="6"/>
    <s v="06-10-002-000"/>
    <x v="0"/>
    <n v="1000"/>
    <n v="0"/>
    <n v="1000"/>
    <n v="10000"/>
    <n v="100"/>
    <s v="AMPM73"/>
    <x v="17"/>
    <s v="DESCRIPCION"/>
    <s v="Compras"/>
    <s v="sa"/>
    <s v="PMTRX00079743"/>
    <n v="4273303"/>
    <n v="1"/>
    <n v="89"/>
    <s v=""/>
    <m/>
  </r>
  <r>
    <n v="2848231"/>
    <x v="7"/>
    <s v="06-10-002-000"/>
    <x v="0"/>
    <n v="4094.85"/>
    <n v="0"/>
    <n v="4094.85"/>
    <n v="10000"/>
    <m/>
    <s v="AMPM37"/>
    <x v="49"/>
    <s v="Entrada: Transacción Externa."/>
    <s v="Pago de energia bodega"/>
    <s v="mvasquez"/>
    <s v="GLTRX00890585"/>
    <n v="4273378"/>
    <n v="1"/>
    <n v="42"/>
    <s v=""/>
    <m/>
  </r>
  <r>
    <n v="2855252"/>
    <x v="7"/>
    <s v="06-10-002-000"/>
    <x v="0"/>
    <n v="612.01"/>
    <n v="0"/>
    <n v="612.01"/>
    <n v="10000"/>
    <n v="100"/>
    <s v="AMPM03"/>
    <x v="61"/>
    <s v="ENERGIA A03 RT"/>
    <s v="25121130275 A03RT"/>
    <s v="xmaltez"/>
    <s v="PMTRX00080018"/>
    <n v="4278982"/>
    <n v="1"/>
    <n v="3"/>
    <s v=""/>
    <m/>
  </r>
  <r>
    <n v="2855324"/>
    <x v="7"/>
    <s v="06-10-002-000"/>
    <x v="0"/>
    <n v="39918.35"/>
    <n v="0"/>
    <n v="39918.35"/>
    <n v="10000"/>
    <n v="100"/>
    <s v="AMPM89"/>
    <x v="87"/>
    <s v="ENERGIA A89 DICIEMBRE"/>
    <s v="25121220237 A89"/>
    <s v="xmaltez"/>
    <s v="PMTRX00080018"/>
    <n v="4278983"/>
    <n v="1"/>
    <n v="105"/>
    <s v=""/>
    <m/>
  </r>
  <r>
    <n v="2855395"/>
    <x v="7"/>
    <s v="06-10-002-000"/>
    <x v="0"/>
    <n v="80101.84"/>
    <n v="0"/>
    <n v="80101.84"/>
    <n v="10000"/>
    <n v="100"/>
    <s v="AMPM86"/>
    <x v="88"/>
    <s v="ENERGIA A86 DICIEMBRE"/>
    <s v="25121220324 A86"/>
    <s v="xmaltez"/>
    <s v="PMTRX00080018"/>
    <n v="4278984"/>
    <n v="1"/>
    <n v="104"/>
    <s v=""/>
    <m/>
  </r>
  <r>
    <n v="2855827"/>
    <x v="7"/>
    <s v="06-10-002-000"/>
    <x v="0"/>
    <n v="346.42"/>
    <n v="0"/>
    <n v="346.42"/>
    <n v="10000"/>
    <n v="100"/>
    <s v="ADMON"/>
    <x v="48"/>
    <s v="ENERGIA ADMON"/>
    <s v="ENERGIA ADMON"/>
    <s v="xmaltez"/>
    <s v="PMTRX00080019"/>
    <n v="4278986"/>
    <n v="1"/>
    <n v="27"/>
    <s v=""/>
    <m/>
  </r>
  <r>
    <n v="2855841"/>
    <x v="7"/>
    <s v="06-10-002-000"/>
    <x v="0"/>
    <n v="141.35"/>
    <n v="0"/>
    <n v="141.35"/>
    <n v="10000"/>
    <n v="100"/>
    <s v="AMPM99"/>
    <x v="73"/>
    <s v="ENERGIA CEDI"/>
    <s v="ENERGIA CEDI"/>
    <s v="xmaltez"/>
    <s v="PMTRX00080019"/>
    <n v="4278987"/>
    <n v="1"/>
    <n v="33"/>
    <s v=""/>
    <m/>
  </r>
  <r>
    <n v="2855857"/>
    <x v="7"/>
    <s v="06-10-002-000"/>
    <x v="0"/>
    <n v="230.94"/>
    <n v="0"/>
    <n v="230.94"/>
    <n v="10000"/>
    <n v="100"/>
    <s v="MONITOREO"/>
    <x v="63"/>
    <s v="ENERGIA MONITOREO"/>
    <s v="ENERGIA MONITOREO"/>
    <s v="xmaltez"/>
    <s v="PMTRX00080019"/>
    <n v="4278988"/>
    <n v="1"/>
    <n v="30"/>
    <s v=""/>
    <m/>
  </r>
  <r>
    <n v="2855879"/>
    <x v="7"/>
    <s v="06-10-002-000"/>
    <x v="0"/>
    <n v="1.89"/>
    <n v="0"/>
    <n v="1.89"/>
    <n v="10000"/>
    <n v="100"/>
    <s v="OPERACIONES"/>
    <x v="10"/>
    <s v="ENERGIA OPERACIONES"/>
    <s v="ENERGIA OPERACIONES"/>
    <s v="xmaltez"/>
    <s v="PMTRX00080019"/>
    <n v="4278989"/>
    <n v="1"/>
    <n v="31"/>
    <s v=""/>
    <m/>
  </r>
  <r>
    <n v="2858142"/>
    <x v="8"/>
    <s v="06-10-002-000"/>
    <x v="0"/>
    <n v="2746.82"/>
    <n v="0"/>
    <n v="2746.82"/>
    <n v="10000"/>
    <n v="100"/>
    <s v="AMPM15"/>
    <x v="1"/>
    <s v="ALQUILER AMPM15 ENERO 26"/>
    <s v="Compras"/>
    <s v="rgonzalez"/>
    <s v="PMTRX00080116"/>
    <n v="4282690"/>
    <n v="1"/>
    <n v="15"/>
    <s v=""/>
    <m/>
  </r>
  <r>
    <n v="2858264"/>
    <x v="9"/>
    <s v="06-10-002-000"/>
    <x v="0"/>
    <n v="815.26"/>
    <n v="0"/>
    <n v="815.26"/>
    <n v="10000"/>
    <n v="100"/>
    <s v="AMPM28"/>
    <x v="2"/>
    <s v="ALQUILER A28 ENERO"/>
    <s v="ENERGIA A28"/>
    <s v="xmaltez"/>
    <s v="PMTRX00080119"/>
    <n v="4282797"/>
    <n v="1"/>
    <n v="35"/>
    <s v=""/>
    <m/>
  </r>
  <r>
    <n v="2858283"/>
    <x v="10"/>
    <s v="06-10-002-000"/>
    <x v="0"/>
    <n v="45529.1"/>
    <n v="0"/>
    <n v="45529.1"/>
    <n v="10000"/>
    <n v="100"/>
    <s v="PANADE"/>
    <x v="0"/>
    <s v="ENERGIA PANADERIA   ENERO"/>
    <s v="ENERGIA PANADERIA   ENERO"/>
    <s v="xmaltez"/>
    <s v="PMTRX00080125"/>
    <n v="4282804"/>
    <n v="1"/>
    <n v="32"/>
    <s v=""/>
    <m/>
  </r>
  <r>
    <n v="2863557"/>
    <x v="11"/>
    <s v="06-10-002-000"/>
    <x v="0"/>
    <n v="12280.49"/>
    <n v="0"/>
    <n v="12280.49"/>
    <n v="10000"/>
    <n v="100"/>
    <s v="AMPM26"/>
    <x v="7"/>
    <s v="AREAS COMUNES ENERO A26"/>
    <s v="ENERGUIA A26"/>
    <s v="xmaltez"/>
    <s v="PMTRX00080351"/>
    <n v="4285605"/>
    <n v="1"/>
    <n v="26"/>
    <s v=""/>
    <m/>
  </r>
  <r>
    <n v="2865514"/>
    <x v="11"/>
    <s v="06-10-002-000"/>
    <x v="0"/>
    <n v="2363.9499999999998"/>
    <n v="0"/>
    <n v="2363.9499999999998"/>
    <n v="10000"/>
    <n v="100"/>
    <s v="AMPM15"/>
    <x v="1"/>
    <s v="AREAS COMUNES A15 DIC"/>
    <s v="ENERGIA A15"/>
    <s v="xmaltez"/>
    <s v="PMTRX00080494"/>
    <n v="4286883"/>
    <n v="1"/>
    <n v="15"/>
    <s v=""/>
    <m/>
  </r>
  <r>
    <n v="2865523"/>
    <x v="11"/>
    <s v="06-10-002-000"/>
    <x v="0"/>
    <n v="2396.86"/>
    <n v="0"/>
    <n v="2396.86"/>
    <n v="10000"/>
    <n v="100"/>
    <s v="AMPM15"/>
    <x v="1"/>
    <s v="AREAS COMUNES A15 NOV"/>
    <s v="ENERGIA A15"/>
    <s v="xmaltez"/>
    <s v="PMTRX00080494"/>
    <n v="4286884"/>
    <n v="1"/>
    <n v="15"/>
    <s v=""/>
    <m/>
  </r>
  <r>
    <n v="2865529"/>
    <x v="11"/>
    <s v="06-10-002-000"/>
    <x v="0"/>
    <n v="2330.19"/>
    <n v="0"/>
    <n v="2330.19"/>
    <n v="10000"/>
    <n v="100"/>
    <s v="AMPM15"/>
    <x v="1"/>
    <s v="AREAS COMUNES A15 OCTU"/>
    <s v="ENERGIA A15"/>
    <s v="xmaltez"/>
    <s v="PMTRX00080494"/>
    <n v="4286885"/>
    <n v="1"/>
    <n v="15"/>
    <s v=""/>
    <m/>
  </r>
  <r>
    <n v="2869692"/>
    <x v="9"/>
    <s v="06-10-002-000"/>
    <x v="0"/>
    <n v="549.36"/>
    <n v="0"/>
    <n v="549.36"/>
    <n v="10000"/>
    <n v="100"/>
    <s v="AMPM27"/>
    <x v="8"/>
    <s v="ALQUILER A27 ENERO"/>
    <s v="ENERGIA A27"/>
    <s v="xmaltez"/>
    <s v="PMTRX00080677"/>
    <n v="4289740"/>
    <n v="1"/>
    <n v="34"/>
    <s v=""/>
    <m/>
  </r>
  <r>
    <n v="2882559"/>
    <x v="8"/>
    <s v="06-10-002-000"/>
    <x v="0"/>
    <n v="58727.8"/>
    <n v="0"/>
    <n v="58727.8"/>
    <n v="10000"/>
    <n v="100"/>
    <s v="AMPM76"/>
    <x v="6"/>
    <s v="ENERGIA A76 ENERO"/>
    <s v="1566080 A76"/>
    <s v="xmaltez"/>
    <s v="PMTRX00080779"/>
    <n v="4302114"/>
    <n v="1"/>
    <n v="93"/>
    <s v=""/>
    <m/>
  </r>
  <r>
    <n v="2882562"/>
    <x v="8"/>
    <s v="06-10-002-000"/>
    <x v="0"/>
    <n v="67378.149999999994"/>
    <n v="0"/>
    <n v="67378.149999999994"/>
    <n v="10000"/>
    <n v="100"/>
    <s v="AMPM68"/>
    <x v="5"/>
    <s v="ENERGIA A68 ENERO"/>
    <s v="1388143 A68"/>
    <s v="xmaltez"/>
    <s v="PMTRX00080779"/>
    <n v="4302115"/>
    <n v="1"/>
    <n v="84"/>
    <s v=""/>
    <m/>
  </r>
  <r>
    <n v="2882563"/>
    <x v="8"/>
    <s v="06-10-002-000"/>
    <x v="0"/>
    <n v="39049.49"/>
    <n v="0"/>
    <n v="39049.49"/>
    <n v="10000"/>
    <n v="100"/>
    <s v="AMPM57"/>
    <x v="4"/>
    <s v="ENERGIA A57 ENERO"/>
    <s v="2942614 A57"/>
    <s v="xmaltez"/>
    <s v="PMTRX00080779"/>
    <n v="4302116"/>
    <n v="1"/>
    <n v="73"/>
    <s v=""/>
    <m/>
  </r>
  <r>
    <n v="2882564"/>
    <x v="8"/>
    <s v="06-10-002-000"/>
    <x v="0"/>
    <n v="2861.21"/>
    <n v="0"/>
    <n v="2861.21"/>
    <n v="10000"/>
    <n v="100"/>
    <s v="AMPM57"/>
    <x v="4"/>
    <s v="ENERGIA A57 BODEGA"/>
    <s v="2942739 A57 BODEGA"/>
    <s v="xmaltez"/>
    <s v="PMTRX00080779"/>
    <n v="4302117"/>
    <n v="1"/>
    <n v="73"/>
    <s v=""/>
    <m/>
  </r>
  <r>
    <n v="2882565"/>
    <x v="8"/>
    <s v="06-10-002-000"/>
    <x v="0"/>
    <n v="37934.14"/>
    <n v="0"/>
    <n v="37934.14"/>
    <n v="10000"/>
    <n v="100"/>
    <s v="AMPM80"/>
    <x v="3"/>
    <s v="ENERGIA A80 ENERO"/>
    <s v="2451144 A80"/>
    <s v="xmaltez"/>
    <s v="PMTRX00080779"/>
    <n v="4302118"/>
    <n v="1"/>
    <n v="98"/>
    <s v=""/>
    <m/>
  </r>
  <r>
    <n v="2901610"/>
    <x v="12"/>
    <s v="06-10-002-000"/>
    <x v="0"/>
    <n v="1245.23"/>
    <n v="0"/>
    <n v="1245.23"/>
    <n v="10000"/>
    <n v="100"/>
    <s v="AMPM15"/>
    <x v="1"/>
    <s v="PLANTA ELECTRICACA"/>
    <s v="PLANTA ELECTRICA A15"/>
    <s v="xmaltez"/>
    <s v="PMTRX00081613"/>
    <n v="4324320"/>
    <n v="1"/>
    <n v="15"/>
    <s v=""/>
    <m/>
  </r>
  <r>
    <n v="2914713"/>
    <x v="13"/>
    <s v="06-10-002-000"/>
    <x v="0"/>
    <n v="4418.2299999999996"/>
    <n v="0"/>
    <n v="4418.2299999999996"/>
    <n v="10000"/>
    <n v="100"/>
    <s v="AMPM89"/>
    <x v="87"/>
    <s v="DISSUR 1800 1530 BANPRO"/>
    <s v="Energia-DIRIAMBA"/>
    <s v="jlopez"/>
    <s v="GLTRX00915521"/>
    <n v="4333255"/>
    <n v="1"/>
    <n v="105"/>
    <s v=""/>
    <m/>
  </r>
  <r>
    <n v="2921151"/>
    <x v="14"/>
    <s v="06-10-002-000"/>
    <x v="0"/>
    <n v="3018.2"/>
    <n v="0"/>
    <n v="3018.2"/>
    <n v="10000"/>
    <n v="100"/>
    <s v="AMPM47"/>
    <x v="60"/>
    <s v="Energia -A47-Ener"/>
    <s v="Compras"/>
    <s v="mbonilla"/>
    <s v="PMTRX00081993"/>
    <n v="4339740"/>
    <n v="1"/>
    <n v="61"/>
    <s v=""/>
    <m/>
  </r>
  <r>
    <n v="2921152"/>
    <x v="14"/>
    <s v="06-10-002-000"/>
    <x v="0"/>
    <n v="531.12"/>
    <n v="0"/>
    <n v="531.12"/>
    <n v="10000"/>
    <n v="100"/>
    <s v="OPERACIONES"/>
    <x v="10"/>
    <s v="Energia -OPERA-Ener"/>
    <s v="Compras"/>
    <s v="mbonilla"/>
    <s v="PMTRX00081993"/>
    <n v="4339741"/>
    <n v="1"/>
    <n v="31"/>
    <s v=""/>
    <m/>
  </r>
  <r>
    <n v="2921153"/>
    <x v="14"/>
    <s v="06-10-002-000"/>
    <x v="0"/>
    <n v="712.04"/>
    <n v="0"/>
    <n v="712.04"/>
    <n v="10000"/>
    <n v="100"/>
    <s v="AMPM03"/>
    <x v="61"/>
    <s v="Energia -A03-Ener"/>
    <s v="Compras"/>
    <s v="mbonilla"/>
    <s v="PMTRX00081993"/>
    <n v="4339742"/>
    <n v="1"/>
    <n v="3"/>
    <s v=""/>
    <m/>
  </r>
  <r>
    <n v="2921154"/>
    <x v="14"/>
    <s v="06-10-002-000"/>
    <x v="0"/>
    <n v="2633.05"/>
    <n v="0"/>
    <n v="2633.05"/>
    <n v="10000"/>
    <n v="100"/>
    <s v="AMPM35"/>
    <x v="14"/>
    <s v="Energia -A35-Ener"/>
    <s v="Compras"/>
    <s v="mbonilla"/>
    <s v="PMTRX00081993"/>
    <n v="4339743"/>
    <n v="1"/>
    <n v="43"/>
    <s v=""/>
    <m/>
  </r>
  <r>
    <n v="2921155"/>
    <x v="14"/>
    <s v="06-10-002-000"/>
    <x v="0"/>
    <n v="59160.43"/>
    <n v="0"/>
    <n v="59160.43"/>
    <n v="10000"/>
    <n v="100"/>
    <s v="AMPM44"/>
    <x v="38"/>
    <s v="Energia -A44-Ener"/>
    <s v="Compras"/>
    <s v="mbonilla"/>
    <s v="PMTRX00081993"/>
    <n v="4339744"/>
    <n v="1"/>
    <n v="57"/>
    <s v=""/>
    <m/>
  </r>
  <r>
    <n v="2921156"/>
    <x v="14"/>
    <s v="06-10-002-000"/>
    <x v="0"/>
    <n v="57281.49"/>
    <n v="0"/>
    <n v="57281.49"/>
    <n v="10000"/>
    <n v="100"/>
    <s v="AMPM47"/>
    <x v="60"/>
    <s v="Energia -A47-Ener"/>
    <s v="Compras"/>
    <s v="mbonilla"/>
    <s v="PMTRX00081993"/>
    <n v="4339745"/>
    <n v="1"/>
    <n v="61"/>
    <s v=""/>
    <m/>
  </r>
  <r>
    <n v="2921157"/>
    <x v="14"/>
    <s v="06-10-002-000"/>
    <x v="0"/>
    <n v="65771.259999999995"/>
    <n v="0"/>
    <n v="65771.259999999995"/>
    <n v="10000"/>
    <n v="100"/>
    <s v="AMPM55"/>
    <x v="37"/>
    <s v="Energia -A55-Ener"/>
    <s v="Compras"/>
    <s v="mbonilla"/>
    <s v="PMTRX00081993"/>
    <n v="4339746"/>
    <n v="1"/>
    <n v="71"/>
    <s v=""/>
    <m/>
  </r>
  <r>
    <n v="2921158"/>
    <x v="14"/>
    <s v="06-10-002-000"/>
    <x v="0"/>
    <n v="60261.86"/>
    <n v="0"/>
    <n v="60261.86"/>
    <n v="10000"/>
    <n v="100"/>
    <s v="AMPM46"/>
    <x v="34"/>
    <s v="Energia -A46-Ener"/>
    <s v="Compras"/>
    <s v="mbonilla"/>
    <s v="PMTRX00081993"/>
    <n v="4339747"/>
    <n v="1"/>
    <n v="60"/>
    <s v=""/>
    <m/>
  </r>
  <r>
    <n v="2921159"/>
    <x v="14"/>
    <s v="06-10-002-000"/>
    <x v="0"/>
    <n v="46397.07"/>
    <n v="0"/>
    <n v="46397.07"/>
    <n v="10000"/>
    <n v="100"/>
    <s v="AMPM64"/>
    <x v="19"/>
    <s v="Energia -A64-Ener"/>
    <s v="Compras"/>
    <s v="mbonilla"/>
    <s v="PMTRX00081993"/>
    <n v="4339748"/>
    <n v="1"/>
    <n v="80"/>
    <s v=""/>
    <m/>
  </r>
  <r>
    <n v="2921160"/>
    <x v="14"/>
    <s v="06-10-002-000"/>
    <x v="0"/>
    <n v="77664.539999999994"/>
    <n v="0"/>
    <n v="77664.539999999994"/>
    <n v="10000"/>
    <n v="100"/>
    <s v="AMPM87"/>
    <x v="89"/>
    <s v="Energia -A87-Ener"/>
    <s v="Compras"/>
    <s v="mbonilla"/>
    <s v="PMTRX00081993"/>
    <n v="4339749"/>
    <n v="1"/>
    <n v="103"/>
    <s v=""/>
    <m/>
  </r>
  <r>
    <n v="2921161"/>
    <x v="14"/>
    <s v="06-10-002-000"/>
    <x v="0"/>
    <n v="54545.86"/>
    <n v="0"/>
    <n v="54545.86"/>
    <n v="10000"/>
    <n v="100"/>
    <s v="AMPM50"/>
    <x v="70"/>
    <s v="Energia -A50-Ener"/>
    <s v="Compras"/>
    <s v="mbonilla"/>
    <s v="PMTRX00081993"/>
    <n v="4339750"/>
    <n v="1"/>
    <n v="28"/>
    <s v=""/>
    <m/>
  </r>
  <r>
    <n v="2921162"/>
    <x v="14"/>
    <s v="06-10-002-000"/>
    <x v="0"/>
    <n v="62127.19"/>
    <n v="0"/>
    <n v="62127.19"/>
    <n v="10000"/>
    <n v="100"/>
    <s v="AMPM58"/>
    <x v="46"/>
    <s v="Energia -A58-Ener"/>
    <s v="Compras"/>
    <s v="mbonilla"/>
    <s v="PMTRX00081993"/>
    <n v="4339751"/>
    <n v="1"/>
    <n v="74"/>
    <s v=""/>
    <m/>
  </r>
  <r>
    <n v="2921163"/>
    <x v="14"/>
    <s v="06-10-002-000"/>
    <x v="0"/>
    <n v="2410.64"/>
    <n v="0"/>
    <n v="2410.64"/>
    <n v="10000"/>
    <n v="100"/>
    <s v="AMPM67"/>
    <x v="80"/>
    <s v="Energia -A67-Ener"/>
    <s v="Compras"/>
    <s v="mbonilla"/>
    <s v="PMTRX00081993"/>
    <n v="4339752"/>
    <n v="1"/>
    <n v="83"/>
    <s v=""/>
    <m/>
  </r>
  <r>
    <n v="2921164"/>
    <x v="14"/>
    <s v="06-10-002-000"/>
    <x v="0"/>
    <n v="2487.7800000000002"/>
    <n v="0"/>
    <n v="2487.7800000000002"/>
    <n v="10000"/>
    <n v="100"/>
    <s v="AMPM41"/>
    <x v="24"/>
    <s v="Energia -A41-Ener"/>
    <s v="Compras"/>
    <s v="mbonilla"/>
    <s v="PMTRX00081993"/>
    <n v="4339753"/>
    <n v="1"/>
    <n v="50"/>
    <s v=""/>
    <m/>
  </r>
  <r>
    <n v="2921165"/>
    <x v="14"/>
    <s v="06-10-002-000"/>
    <x v="0"/>
    <n v="48848.08"/>
    <n v="0"/>
    <n v="48848.08"/>
    <n v="10000"/>
    <n v="100"/>
    <s v="AMPM39"/>
    <x v="31"/>
    <s v="Energia -A39-Ener"/>
    <s v="Compras"/>
    <s v="mbonilla"/>
    <s v="PMTRX00081993"/>
    <n v="4339754"/>
    <n v="1"/>
    <n v="48"/>
    <s v=""/>
    <m/>
  </r>
  <r>
    <n v="2921166"/>
    <x v="14"/>
    <s v="06-10-002-000"/>
    <x v="0"/>
    <n v="2740.32"/>
    <n v="0"/>
    <n v="2740.32"/>
    <n v="10000"/>
    <n v="100"/>
    <s v="AMPM39"/>
    <x v="31"/>
    <s v="Energia -A39-Ener"/>
    <s v="Compras"/>
    <s v="mbonilla"/>
    <s v="PMTRX00081993"/>
    <n v="4339755"/>
    <n v="1"/>
    <n v="48"/>
    <s v=""/>
    <m/>
  </r>
  <r>
    <n v="2921167"/>
    <x v="14"/>
    <s v="06-10-002-000"/>
    <x v="0"/>
    <n v="1928.44"/>
    <n v="0"/>
    <n v="1928.44"/>
    <n v="10000"/>
    <n v="100"/>
    <s v="AMPM12"/>
    <x v="51"/>
    <s v="Energia -A12-Ener"/>
    <s v="Compras"/>
    <s v="mbonilla"/>
    <s v="PMTRX00081993"/>
    <n v="4339756"/>
    <n v="1"/>
    <n v="12"/>
    <s v=""/>
    <m/>
  </r>
  <r>
    <n v="2921168"/>
    <x v="14"/>
    <s v="06-10-002-000"/>
    <x v="0"/>
    <n v="2409.91"/>
    <n v="0"/>
    <n v="2409.91"/>
    <n v="10000"/>
    <n v="100"/>
    <s v="AMPM13"/>
    <x v="54"/>
    <s v="Energia -A13-Ener"/>
    <s v="Compras"/>
    <s v="mbonilla"/>
    <s v="PMTRX00081993"/>
    <n v="4339757"/>
    <n v="1"/>
    <n v="13"/>
    <s v=""/>
    <m/>
  </r>
  <r>
    <n v="2921169"/>
    <x v="14"/>
    <s v="06-10-002-000"/>
    <x v="0"/>
    <n v="70054.39"/>
    <n v="0"/>
    <n v="70054.39"/>
    <n v="10000"/>
    <n v="100"/>
    <s v="AMPM13"/>
    <x v="54"/>
    <s v="Energia -A13-Ener"/>
    <s v="Compras"/>
    <s v="mbonilla"/>
    <s v="PMTRX00081993"/>
    <n v="4339758"/>
    <n v="1"/>
    <n v="13"/>
    <s v=""/>
    <m/>
  </r>
  <r>
    <n v="2921170"/>
    <x v="14"/>
    <s v="06-10-002-000"/>
    <x v="0"/>
    <n v="213.53"/>
    <n v="0"/>
    <n v="213.53"/>
    <n v="10000"/>
    <n v="100"/>
    <s v="AMPM28"/>
    <x v="2"/>
    <s v="Energia -A28-Ener"/>
    <s v="Compras"/>
    <s v="mbonilla"/>
    <s v="PMTRX00081993"/>
    <n v="4339759"/>
    <n v="1"/>
    <n v="35"/>
    <s v=""/>
    <m/>
  </r>
  <r>
    <n v="2921171"/>
    <x v="14"/>
    <s v="06-10-002-000"/>
    <x v="0"/>
    <n v="52697.59"/>
    <n v="0"/>
    <n v="52697.59"/>
    <n v="10000"/>
    <n v="100"/>
    <s v="AMPM28"/>
    <x v="2"/>
    <s v="Energia -A28-Ener"/>
    <s v="Compras"/>
    <s v="mbonilla"/>
    <s v="PMTRX00081993"/>
    <n v="4339760"/>
    <n v="1"/>
    <n v="35"/>
    <s v=""/>
    <m/>
  </r>
  <r>
    <n v="2921172"/>
    <x v="14"/>
    <s v="06-10-002-000"/>
    <x v="0"/>
    <n v="366.22"/>
    <n v="0"/>
    <n v="366.22"/>
    <n v="10000"/>
    <n v="100"/>
    <s v="AMPM07"/>
    <x v="44"/>
    <s v="Energia -A07-Ener"/>
    <s v="Compras"/>
    <s v="mbonilla"/>
    <s v="PMTRX00081993"/>
    <n v="4339761"/>
    <n v="1"/>
    <n v="7"/>
    <s v=""/>
    <m/>
  </r>
  <r>
    <n v="2921173"/>
    <x v="14"/>
    <s v="06-10-002-000"/>
    <x v="0"/>
    <n v="52666.09"/>
    <n v="0"/>
    <n v="52666.09"/>
    <n v="10000"/>
    <n v="100"/>
    <s v="AMPM02"/>
    <x v="28"/>
    <s v="Energia -A02-Ener"/>
    <s v="Compras"/>
    <s v="mbonilla"/>
    <s v="PMTRX00081993"/>
    <n v="4339762"/>
    <n v="1"/>
    <n v="2"/>
    <s v=""/>
    <m/>
  </r>
  <r>
    <n v="2921174"/>
    <x v="14"/>
    <s v="06-10-002-000"/>
    <x v="0"/>
    <n v="38573.300000000003"/>
    <n v="0"/>
    <n v="38573.300000000003"/>
    <n v="10000"/>
    <n v="100"/>
    <s v="AMPM15"/>
    <x v="1"/>
    <s v="Energia -A15-Ener"/>
    <s v="Compras"/>
    <s v="mbonilla"/>
    <s v="PMTRX00081993"/>
    <n v="4339763"/>
    <n v="1"/>
    <n v="15"/>
    <s v=""/>
    <m/>
  </r>
  <r>
    <n v="2921175"/>
    <x v="14"/>
    <s v="06-10-002-000"/>
    <x v="0"/>
    <n v="1104.47"/>
    <n v="0"/>
    <n v="1104.47"/>
    <n v="10000"/>
    <n v="100"/>
    <s v="AMPM15"/>
    <x v="1"/>
    <s v="Energia -A15-Ener"/>
    <s v="Compras"/>
    <s v="mbonilla"/>
    <s v="PMTRX00081993"/>
    <n v="4339764"/>
    <n v="1"/>
    <n v="15"/>
    <s v=""/>
    <m/>
  </r>
  <r>
    <n v="2921176"/>
    <x v="14"/>
    <s v="06-10-002-000"/>
    <x v="0"/>
    <n v="317.35000000000002"/>
    <n v="0"/>
    <n v="317.35000000000002"/>
    <n v="10000"/>
    <n v="100"/>
    <s v="AMPM01"/>
    <x v="25"/>
    <s v="Energia -A01-Ener"/>
    <s v="Compras"/>
    <s v="mbonilla"/>
    <s v="PMTRX00081993"/>
    <n v="4339765"/>
    <n v="1"/>
    <n v="1"/>
    <s v=""/>
    <m/>
  </r>
  <r>
    <n v="2921177"/>
    <x v="14"/>
    <s v="06-10-002-000"/>
    <x v="0"/>
    <n v="73388.929999999993"/>
    <n v="0"/>
    <n v="73388.929999999993"/>
    <n v="10000"/>
    <n v="100"/>
    <s v="AMPM07"/>
    <x v="44"/>
    <s v="Energia -A07-Ener"/>
    <s v="Compras"/>
    <s v="mbonilla"/>
    <s v="PMTRX00081993"/>
    <n v="4339766"/>
    <n v="1"/>
    <n v="7"/>
    <s v=""/>
    <m/>
  </r>
  <r>
    <n v="2921178"/>
    <x v="14"/>
    <s v="06-10-002-000"/>
    <x v="0"/>
    <n v="22343.31"/>
    <n v="0"/>
    <n v="22343.31"/>
    <n v="10000"/>
    <n v="100"/>
    <s v="AMPM08"/>
    <x v="47"/>
    <s v="Energia -A08-Ener"/>
    <s v="Compras"/>
    <s v="mbonilla"/>
    <s v="PMTRX00081993"/>
    <n v="4339767"/>
    <n v="1"/>
    <n v="8"/>
    <s v=""/>
    <m/>
  </r>
  <r>
    <n v="2921179"/>
    <x v="14"/>
    <s v="06-10-002-000"/>
    <x v="0"/>
    <n v="28658.58"/>
    <n v="0"/>
    <n v="28658.58"/>
    <n v="10000"/>
    <n v="100"/>
    <s v="AMPM08"/>
    <x v="47"/>
    <s v="Energia -A08-Ener"/>
    <s v="Compras"/>
    <s v="mbonilla"/>
    <s v="PMTRX00081993"/>
    <n v="4339768"/>
    <n v="1"/>
    <n v="8"/>
    <s v=""/>
    <m/>
  </r>
  <r>
    <n v="2921180"/>
    <x v="14"/>
    <s v="06-10-002-000"/>
    <x v="0"/>
    <n v="52566.29"/>
    <n v="0"/>
    <n v="52566.29"/>
    <n v="10000"/>
    <n v="100"/>
    <s v="AMPM69"/>
    <x v="30"/>
    <s v="Energia -A69-Ener"/>
    <s v="Compras"/>
    <s v="mbonilla"/>
    <s v="PMTRX00081993"/>
    <n v="4339769"/>
    <n v="1"/>
    <n v="85"/>
    <s v=""/>
    <m/>
  </r>
  <r>
    <n v="2921181"/>
    <x v="14"/>
    <s v="06-10-002-000"/>
    <x v="0"/>
    <n v="41003.74"/>
    <n v="0"/>
    <n v="41003.74"/>
    <n v="10000"/>
    <n v="100"/>
    <s v="AMPM35"/>
    <x v="14"/>
    <s v="Energia -A35-Ener"/>
    <s v="Compras"/>
    <s v="mbonilla"/>
    <s v="PMTRX00081993"/>
    <n v="4339770"/>
    <n v="1"/>
    <n v="43"/>
    <s v=""/>
    <m/>
  </r>
  <r>
    <n v="2921182"/>
    <x v="14"/>
    <s v="06-10-002-000"/>
    <x v="0"/>
    <n v="64835.47"/>
    <n v="0"/>
    <n v="64835.47"/>
    <n v="10000"/>
    <n v="100"/>
    <s v="AMPM74"/>
    <x v="40"/>
    <s v="Energia -A74-Ener"/>
    <s v="Compras"/>
    <s v="mbonilla"/>
    <s v="PMTRX00081993"/>
    <n v="4339771"/>
    <n v="1"/>
    <n v="90"/>
    <s v=""/>
    <m/>
  </r>
  <r>
    <n v="2921183"/>
    <x v="14"/>
    <s v="06-10-002-000"/>
    <x v="0"/>
    <n v="225.76"/>
    <n v="0"/>
    <n v="225.76"/>
    <n v="10000"/>
    <n v="100"/>
    <s v="AMPM29"/>
    <x v="58"/>
    <s v="Energia -A29-Ener"/>
    <s v="Compras"/>
    <s v="mbonilla"/>
    <s v="PMTRX00081993"/>
    <n v="4339772"/>
    <n v="1"/>
    <n v="36"/>
    <s v=""/>
    <m/>
  </r>
  <r>
    <n v="2921184"/>
    <x v="14"/>
    <s v="06-10-002-000"/>
    <x v="0"/>
    <n v="64961.34"/>
    <n v="0"/>
    <n v="64961.34"/>
    <n v="10000"/>
    <n v="100"/>
    <s v="AMPM29"/>
    <x v="58"/>
    <s v="Energia -A29-Ener"/>
    <s v="Compras"/>
    <s v="mbonilla"/>
    <s v="PMTRX00081993"/>
    <n v="4339773"/>
    <n v="1"/>
    <n v="36"/>
    <s v=""/>
    <m/>
  </r>
  <r>
    <n v="2921185"/>
    <x v="14"/>
    <s v="06-10-002-000"/>
    <x v="0"/>
    <n v="42649.4"/>
    <n v="0"/>
    <n v="42649.4"/>
    <n v="10000"/>
    <n v="100"/>
    <s v="MONITOREO"/>
    <x v="63"/>
    <s v="Energia -MONI-Ener"/>
    <s v="Compras"/>
    <s v="mbonilla"/>
    <s v="PMTRX00081993"/>
    <n v="4339774"/>
    <n v="1"/>
    <n v="30"/>
    <s v=""/>
    <m/>
  </r>
  <r>
    <n v="2921186"/>
    <x v="14"/>
    <s v="06-10-002-000"/>
    <x v="0"/>
    <n v="55473.13"/>
    <n v="0"/>
    <n v="55473.13"/>
    <n v="10000"/>
    <n v="100"/>
    <s v="AMPM04"/>
    <x v="26"/>
    <s v="Energia -A04-Ener"/>
    <s v="Compras"/>
    <s v="mbonilla"/>
    <s v="PMTRX00081993"/>
    <n v="4339775"/>
    <n v="1"/>
    <n v="4"/>
    <s v=""/>
    <m/>
  </r>
  <r>
    <n v="2921187"/>
    <x v="14"/>
    <s v="06-10-002-000"/>
    <x v="0"/>
    <n v="75939.83"/>
    <n v="0"/>
    <n v="75939.83"/>
    <n v="10000"/>
    <n v="100"/>
    <s v="AMPM06"/>
    <x v="13"/>
    <s v="Energia -A06-Ener"/>
    <s v="Compras"/>
    <s v="mbonilla"/>
    <s v="PMTRX00081993"/>
    <n v="4339776"/>
    <n v="1"/>
    <n v="6"/>
    <s v=""/>
    <m/>
  </r>
  <r>
    <n v="2921188"/>
    <x v="14"/>
    <s v="06-10-002-000"/>
    <x v="0"/>
    <n v="59373.34"/>
    <n v="0"/>
    <n v="59373.34"/>
    <n v="10000"/>
    <n v="100"/>
    <s v="AMPM16"/>
    <x v="43"/>
    <s v="Energia -A16-Ener"/>
    <s v="Compras"/>
    <s v="mbonilla"/>
    <s v="PMTRX00081993"/>
    <n v="4339777"/>
    <n v="1"/>
    <n v="16"/>
    <s v=""/>
    <m/>
  </r>
  <r>
    <n v="2921189"/>
    <x v="14"/>
    <s v="06-10-002-000"/>
    <x v="0"/>
    <n v="2564.9499999999998"/>
    <n v="0"/>
    <n v="2564.9499999999998"/>
    <n v="10000"/>
    <n v="100"/>
    <s v="AMPM38"/>
    <x v="41"/>
    <s v="Energia -A38-Ener"/>
    <s v="Compras"/>
    <s v="mbonilla"/>
    <s v="PMTRX00081993"/>
    <n v="4339778"/>
    <n v="1"/>
    <n v="47"/>
    <s v=""/>
    <m/>
  </r>
  <r>
    <n v="2921190"/>
    <x v="14"/>
    <s v="06-10-002-000"/>
    <x v="0"/>
    <n v="75698.259999999995"/>
    <n v="0"/>
    <n v="75698.259999999995"/>
    <n v="10000"/>
    <n v="100"/>
    <s v="AMPM79"/>
    <x v="82"/>
    <s v="Energia -A79-Ener"/>
    <s v="Compras"/>
    <s v="mbonilla"/>
    <s v="PMTRX00081993"/>
    <n v="4339779"/>
    <n v="1"/>
    <n v="95"/>
    <s v=""/>
    <m/>
  </r>
  <r>
    <n v="2921191"/>
    <x v="14"/>
    <s v="06-10-002-000"/>
    <x v="0"/>
    <n v="86129.02"/>
    <n v="0"/>
    <n v="86129.02"/>
    <n v="10000"/>
    <n v="100"/>
    <s v="AMPM65"/>
    <x v="78"/>
    <s v="Energia -A65-Ener"/>
    <s v="Compras"/>
    <s v="mbonilla"/>
    <s v="PMTRX00081993"/>
    <n v="4339780"/>
    <n v="1"/>
    <n v="81"/>
    <s v=""/>
    <m/>
  </r>
  <r>
    <n v="2921192"/>
    <x v="14"/>
    <s v="06-10-002-000"/>
    <x v="0"/>
    <n v="70733.06"/>
    <n v="0"/>
    <n v="70733.06"/>
    <n v="10000"/>
    <n v="100"/>
    <s v="AMPM81"/>
    <x v="83"/>
    <s v="Energia -A81-Ener"/>
    <s v="Compras"/>
    <s v="mbonilla"/>
    <s v="PMTRX00081993"/>
    <n v="4339781"/>
    <n v="1"/>
    <n v="99"/>
    <s v=""/>
    <m/>
  </r>
  <r>
    <n v="2921193"/>
    <x v="14"/>
    <s v="06-10-002-000"/>
    <x v="0"/>
    <n v="67834.63"/>
    <n v="0"/>
    <n v="67834.63"/>
    <n v="10000"/>
    <n v="100"/>
    <s v="AMPM38"/>
    <x v="41"/>
    <s v="Energia -A38-Ener"/>
    <s v="Compras"/>
    <s v="mbonilla"/>
    <s v="PMTRX00081993"/>
    <n v="4339782"/>
    <n v="1"/>
    <n v="47"/>
    <s v=""/>
    <m/>
  </r>
  <r>
    <n v="2921194"/>
    <x v="14"/>
    <s v="06-10-002-000"/>
    <x v="0"/>
    <n v="4641.34"/>
    <n v="0"/>
    <n v="4641.34"/>
    <n v="10000"/>
    <n v="100"/>
    <s v="AMPM18"/>
    <x v="55"/>
    <s v="Energia -A18-Ener"/>
    <s v="Compras"/>
    <s v="mbonilla"/>
    <s v="PMTRX00081993"/>
    <n v="4339783"/>
    <n v="1"/>
    <n v="18"/>
    <s v=""/>
    <m/>
  </r>
  <r>
    <n v="2921195"/>
    <x v="14"/>
    <s v="06-10-002-000"/>
    <x v="0"/>
    <n v="2663.83"/>
    <n v="0"/>
    <n v="2663.83"/>
    <n v="10000"/>
    <n v="100"/>
    <s v="AMPM45"/>
    <x v="68"/>
    <s v="Energia -A45-Ener"/>
    <s v="Compras"/>
    <s v="mbonilla"/>
    <s v="PMTRX00081993"/>
    <n v="4339784"/>
    <n v="1"/>
    <n v="59"/>
    <s v=""/>
    <m/>
  </r>
  <r>
    <n v="2921196"/>
    <x v="14"/>
    <s v="06-10-002-000"/>
    <x v="0"/>
    <n v="63458"/>
    <n v="0"/>
    <n v="63458"/>
    <n v="10000"/>
    <n v="100"/>
    <s v="AMPM32"/>
    <x v="65"/>
    <s v="Energia -A32-Ener"/>
    <s v="Compras"/>
    <s v="mbonilla"/>
    <s v="PMTRX00081993"/>
    <n v="4339785"/>
    <n v="1"/>
    <n v="40"/>
    <s v=""/>
    <m/>
  </r>
  <r>
    <n v="2921197"/>
    <x v="14"/>
    <s v="06-10-002-000"/>
    <x v="0"/>
    <n v="69358.429999999993"/>
    <n v="0"/>
    <n v="69358.429999999993"/>
    <n v="10000"/>
    <n v="100"/>
    <s v="AMPM71"/>
    <x v="52"/>
    <s v="Energia -A71-Ener"/>
    <s v="Compras"/>
    <s v="mbonilla"/>
    <s v="PMTRX00081993"/>
    <n v="4339786"/>
    <n v="1"/>
    <n v="86"/>
    <s v=""/>
    <m/>
  </r>
  <r>
    <n v="2921198"/>
    <x v="14"/>
    <s v="06-10-002-000"/>
    <x v="0"/>
    <n v="65082.52"/>
    <n v="0"/>
    <n v="65082.52"/>
    <n v="10000"/>
    <n v="100"/>
    <s v="AMPM82"/>
    <x v="84"/>
    <s v="Energia -A82-Ener"/>
    <s v="Compras"/>
    <s v="mbonilla"/>
    <s v="PMTRX00081993"/>
    <n v="4339787"/>
    <n v="1"/>
    <n v="96"/>
    <s v=""/>
    <m/>
  </r>
  <r>
    <n v="2921199"/>
    <x v="14"/>
    <s v="06-10-002-000"/>
    <x v="0"/>
    <n v="77106.490000000005"/>
    <n v="0"/>
    <n v="77106.490000000005"/>
    <n v="10000"/>
    <n v="100"/>
    <s v="AMPM54"/>
    <x v="18"/>
    <s v="Energia -A54-Ener"/>
    <s v="Compras"/>
    <s v="mbonilla"/>
    <s v="PMTRX00081993"/>
    <n v="4339788"/>
    <n v="1"/>
    <n v="70"/>
    <s v=""/>
    <m/>
  </r>
  <r>
    <n v="2921200"/>
    <x v="14"/>
    <s v="06-10-002-000"/>
    <x v="0"/>
    <n v="69123.25"/>
    <n v="0"/>
    <n v="69123.25"/>
    <n v="10000"/>
    <n v="100"/>
    <s v="AMPM51"/>
    <x v="71"/>
    <s v="Energia -A51-Ener"/>
    <s v="Compras"/>
    <s v="mbonilla"/>
    <s v="PMTRX00081993"/>
    <n v="4339789"/>
    <n v="1"/>
    <n v="65"/>
    <s v=""/>
    <m/>
  </r>
  <r>
    <n v="2921201"/>
    <x v="14"/>
    <s v="06-10-002-000"/>
    <x v="0"/>
    <n v="3359.93"/>
    <n v="0"/>
    <n v="3359.93"/>
    <n v="10000"/>
    <n v="100"/>
    <s v="AMPM51"/>
    <x v="71"/>
    <s v="Energia -A51-Ener"/>
    <s v="Compras"/>
    <s v="mbonilla"/>
    <s v="PMTRX00081993"/>
    <n v="4339790"/>
    <n v="1"/>
    <n v="65"/>
    <s v=""/>
    <m/>
  </r>
  <r>
    <n v="2921202"/>
    <x v="14"/>
    <s v="06-10-002-000"/>
    <x v="0"/>
    <n v="64940.13"/>
    <n v="0"/>
    <n v="64940.13"/>
    <n v="10000"/>
    <n v="100"/>
    <s v="AMPM25"/>
    <x v="62"/>
    <s v="Energia -A25-Ener"/>
    <s v="Compras"/>
    <s v="mbonilla"/>
    <s v="PMTRX00081993"/>
    <n v="4339791"/>
    <n v="1"/>
    <n v="25"/>
    <s v=""/>
    <m/>
  </r>
  <r>
    <n v="2921203"/>
    <x v="14"/>
    <s v="06-10-002-000"/>
    <x v="0"/>
    <n v="64835.48"/>
    <n v="0"/>
    <n v="64835.48"/>
    <n v="10000"/>
    <n v="100"/>
    <s v="AMPM63"/>
    <x v="32"/>
    <s v="Energia -A63-Ener"/>
    <s v="Compras"/>
    <s v="mbonilla"/>
    <s v="PMTRX00081993"/>
    <n v="4339792"/>
    <n v="1"/>
    <n v="79"/>
    <s v=""/>
    <m/>
  </r>
  <r>
    <n v="2921204"/>
    <x v="14"/>
    <s v="06-10-002-000"/>
    <x v="0"/>
    <n v="79516.02"/>
    <n v="0"/>
    <n v="79516.02"/>
    <n v="10000"/>
    <n v="100"/>
    <s v="AMPM33"/>
    <x v="11"/>
    <s v="Energia -A33-Ener"/>
    <s v="Compras"/>
    <s v="mbonilla"/>
    <s v="PMTRX00081993"/>
    <n v="4339793"/>
    <n v="1"/>
    <n v="39"/>
    <s v=""/>
    <m/>
  </r>
  <r>
    <n v="2921205"/>
    <x v="14"/>
    <s v="06-10-002-000"/>
    <x v="0"/>
    <n v="61154.39"/>
    <n v="0"/>
    <n v="61154.39"/>
    <n v="10000"/>
    <n v="100"/>
    <s v="AMPM41"/>
    <x v="24"/>
    <s v="Energia -A41-Ener"/>
    <s v="Compras"/>
    <s v="mbonilla"/>
    <s v="PMTRX00081993"/>
    <n v="4339794"/>
    <n v="1"/>
    <n v="50"/>
    <s v=""/>
    <m/>
  </r>
  <r>
    <n v="2921206"/>
    <x v="14"/>
    <s v="06-10-002-000"/>
    <x v="0"/>
    <n v="69315.149999999994"/>
    <n v="0"/>
    <n v="69315.149999999994"/>
    <n v="10000"/>
    <n v="100"/>
    <s v="AMPM78"/>
    <x v="81"/>
    <s v="Energia -A78-Ener"/>
    <s v="Compras"/>
    <s v="mbonilla"/>
    <s v="PMTRX00081993"/>
    <n v="4339795"/>
    <n v="1"/>
    <n v="94"/>
    <s v=""/>
    <m/>
  </r>
  <r>
    <n v="2921207"/>
    <x v="14"/>
    <s v="06-10-002-000"/>
    <x v="0"/>
    <n v="61382.64"/>
    <n v="0"/>
    <n v="61382.64"/>
    <n v="10000"/>
    <n v="100"/>
    <s v="AMPM61"/>
    <x v="75"/>
    <s v="Energia -A61-Ener"/>
    <s v="Compras"/>
    <s v="mbonilla"/>
    <s v="PMTRX00081993"/>
    <n v="4339796"/>
    <n v="1"/>
    <n v="77"/>
    <s v=""/>
    <m/>
  </r>
  <r>
    <n v="2921208"/>
    <x v="14"/>
    <s v="06-10-002-000"/>
    <x v="0"/>
    <n v="58699.4"/>
    <n v="0"/>
    <n v="58699.4"/>
    <n v="10000"/>
    <n v="100"/>
    <s v="AMPM75"/>
    <x v="36"/>
    <s v="Energia -A75-Ener"/>
    <s v="Compras"/>
    <s v="mbonilla"/>
    <s v="PMTRX00081993"/>
    <n v="4339797"/>
    <n v="1"/>
    <n v="91"/>
    <s v=""/>
    <m/>
  </r>
  <r>
    <n v="2921209"/>
    <x v="14"/>
    <s v="06-10-002-000"/>
    <x v="0"/>
    <n v="70817.87"/>
    <n v="0"/>
    <n v="70817.87"/>
    <n v="10000"/>
    <n v="100"/>
    <s v="AMPM30"/>
    <x v="39"/>
    <s v="Energia -A30-Ener"/>
    <s v="Compras"/>
    <s v="mbonilla"/>
    <s v="PMTRX00081993"/>
    <n v="4339798"/>
    <n v="1"/>
    <n v="37"/>
    <s v=""/>
    <m/>
  </r>
  <r>
    <n v="2921210"/>
    <x v="14"/>
    <s v="06-10-002-000"/>
    <x v="0"/>
    <n v="56599.02"/>
    <n v="0"/>
    <n v="56599.02"/>
    <n v="10000"/>
    <n v="100"/>
    <s v="AMPM84"/>
    <x v="29"/>
    <s v="Energia -A84-Ener"/>
    <s v="Compras"/>
    <s v="mbonilla"/>
    <s v="PMTRX00081993"/>
    <n v="4339799"/>
    <n v="1"/>
    <n v="100"/>
    <s v=""/>
    <m/>
  </r>
  <r>
    <n v="2921211"/>
    <x v="14"/>
    <s v="06-10-002-000"/>
    <x v="0"/>
    <n v="74316.820000000007"/>
    <n v="0"/>
    <n v="74316.820000000007"/>
    <n v="10000"/>
    <n v="100"/>
    <s v="AMPM27"/>
    <x v="8"/>
    <s v="Energia -A27-Ener"/>
    <s v="Compras"/>
    <s v="mbonilla"/>
    <s v="PMTRX00081993"/>
    <n v="4339800"/>
    <n v="1"/>
    <n v="34"/>
    <s v=""/>
    <m/>
  </r>
  <r>
    <n v="2921212"/>
    <x v="14"/>
    <s v="06-10-002-000"/>
    <x v="0"/>
    <n v="2919.41"/>
    <n v="0"/>
    <n v="2919.41"/>
    <n v="10000"/>
    <n v="100"/>
    <s v="AMPM27"/>
    <x v="8"/>
    <s v="Energia -A27-Ener"/>
    <s v="Compras"/>
    <s v="mbonilla"/>
    <s v="PMTRX00081993"/>
    <n v="4339801"/>
    <n v="1"/>
    <n v="34"/>
    <s v=""/>
    <m/>
  </r>
  <r>
    <n v="2921213"/>
    <x v="14"/>
    <s v="06-10-002-000"/>
    <x v="0"/>
    <n v="56319.81"/>
    <n v="0"/>
    <n v="56319.81"/>
    <n v="10000"/>
    <n v="100"/>
    <s v="AMPM10"/>
    <x v="45"/>
    <s v="Energia -A10-Ener"/>
    <s v="Compras"/>
    <s v="mbonilla"/>
    <s v="PMTRX00081993"/>
    <n v="4339802"/>
    <n v="1"/>
    <n v="10"/>
    <s v=""/>
    <m/>
  </r>
  <r>
    <n v="2921214"/>
    <x v="14"/>
    <s v="06-10-002-000"/>
    <x v="0"/>
    <n v="83364.73"/>
    <n v="0"/>
    <n v="83364.73"/>
    <n v="10000"/>
    <n v="100"/>
    <s v="AMPM09"/>
    <x v="42"/>
    <s v="Energia -A09-Ener"/>
    <s v="Compras"/>
    <s v="mbonilla"/>
    <s v="PMTRX00081993"/>
    <n v="4339803"/>
    <n v="1"/>
    <n v="9"/>
    <s v=""/>
    <m/>
  </r>
  <r>
    <n v="2921215"/>
    <x v="14"/>
    <s v="06-10-002-000"/>
    <x v="0"/>
    <n v="62764.28"/>
    <n v="0"/>
    <n v="62764.28"/>
    <n v="10000"/>
    <n v="100"/>
    <s v="AMPM19"/>
    <x v="56"/>
    <s v="Energia -A19-Ener"/>
    <s v="Compras"/>
    <s v="mbonilla"/>
    <s v="PMTRX00081993"/>
    <n v="4339804"/>
    <n v="1"/>
    <n v="19"/>
    <s v=""/>
    <m/>
  </r>
  <r>
    <n v="2921216"/>
    <x v="14"/>
    <s v="06-10-002-000"/>
    <x v="0"/>
    <n v="52313.43"/>
    <n v="0"/>
    <n v="52313.43"/>
    <n v="10000"/>
    <n v="100"/>
    <s v="AMPM52"/>
    <x v="16"/>
    <s v="Energia -A52-Ener"/>
    <s v="Compras"/>
    <s v="mbonilla"/>
    <s v="PMTRX00081993"/>
    <n v="4339805"/>
    <n v="1"/>
    <n v="66"/>
    <s v=""/>
    <m/>
  </r>
  <r>
    <n v="2921217"/>
    <x v="14"/>
    <s v="06-10-002-000"/>
    <x v="0"/>
    <n v="66839.08"/>
    <n v="0"/>
    <n v="66839.08"/>
    <n v="10000"/>
    <n v="100"/>
    <s v="AMPM73"/>
    <x v="17"/>
    <s v="Energia -A73-Ener"/>
    <s v="Compras"/>
    <s v="mbonilla"/>
    <s v="PMTRX00081993"/>
    <n v="4339806"/>
    <n v="1"/>
    <n v="89"/>
    <s v=""/>
    <m/>
  </r>
  <r>
    <n v="2921218"/>
    <x v="14"/>
    <s v="06-10-002-000"/>
    <x v="0"/>
    <n v="61707.68"/>
    <n v="0"/>
    <n v="61707.68"/>
    <n v="10000"/>
    <n v="100"/>
    <s v="AMPM20"/>
    <x v="57"/>
    <s v="Energia -A20-Ener"/>
    <s v="Compras"/>
    <s v="mbonilla"/>
    <s v="PMTRX00081993"/>
    <n v="4339807"/>
    <n v="1"/>
    <n v="20"/>
    <s v=""/>
    <m/>
  </r>
  <r>
    <n v="2921219"/>
    <x v="14"/>
    <s v="06-10-002-000"/>
    <x v="0"/>
    <n v="56529.37"/>
    <n v="0"/>
    <n v="56529.37"/>
    <n v="10000"/>
    <n v="100"/>
    <s v="AMPM01"/>
    <x v="25"/>
    <s v="Energia -A01-Ener"/>
    <s v="Compras"/>
    <s v="mbonilla"/>
    <s v="PMTRX00081993"/>
    <n v="4339808"/>
    <n v="1"/>
    <n v="1"/>
    <s v=""/>
    <m/>
  </r>
  <r>
    <n v="2921220"/>
    <x v="14"/>
    <s v="06-10-002-000"/>
    <x v="0"/>
    <n v="54545.86"/>
    <n v="0"/>
    <n v="54545.86"/>
    <n v="10000"/>
    <n v="100"/>
    <s v="AMPM37"/>
    <x v="49"/>
    <s v="Energia -A37-Ener"/>
    <s v="Compras"/>
    <s v="mbonilla"/>
    <s v="PMTRX00081993"/>
    <n v="4339809"/>
    <n v="1"/>
    <n v="42"/>
    <s v=""/>
    <m/>
  </r>
  <r>
    <n v="2921221"/>
    <x v="14"/>
    <s v="06-10-002-000"/>
    <x v="0"/>
    <n v="88486.13"/>
    <n v="0"/>
    <n v="88486.13"/>
    <n v="10000"/>
    <n v="100"/>
    <s v="AMPM34"/>
    <x v="85"/>
    <s v="Energia -A34-Ener"/>
    <s v="Compras"/>
    <s v="mbonilla"/>
    <s v="PMTRX00081993"/>
    <n v="4339810"/>
    <n v="1"/>
    <n v="41"/>
    <s v=""/>
    <m/>
  </r>
  <r>
    <n v="2921222"/>
    <x v="14"/>
    <s v="06-10-002-000"/>
    <x v="0"/>
    <n v="3964.21"/>
    <n v="0"/>
    <n v="3964.21"/>
    <n v="10000"/>
    <n v="100"/>
    <s v="AMPM01"/>
    <x v="25"/>
    <s v="Energia -A01-Ener"/>
    <s v="Compras"/>
    <s v="mbonilla"/>
    <s v="PMTRX00081993"/>
    <n v="4339811"/>
    <n v="1"/>
    <n v="1"/>
    <s v=""/>
    <m/>
  </r>
  <r>
    <n v="2921223"/>
    <x v="14"/>
    <s v="06-10-002-000"/>
    <x v="0"/>
    <n v="59157.31"/>
    <n v="0"/>
    <n v="59157.31"/>
    <n v="10000"/>
    <n v="100"/>
    <s v="AMPM49"/>
    <x v="72"/>
    <s v="Energia -A49-Ener"/>
    <s v="Compras"/>
    <s v="mbonilla"/>
    <s v="PMTRX00081993"/>
    <n v="4339812"/>
    <n v="1"/>
    <n v="63"/>
    <s v=""/>
    <m/>
  </r>
  <r>
    <n v="2921224"/>
    <x v="14"/>
    <s v="06-10-002-000"/>
    <x v="0"/>
    <n v="52828.91"/>
    <n v="0"/>
    <n v="52828.91"/>
    <n v="10000"/>
    <n v="100"/>
    <s v="AMPM43"/>
    <x v="35"/>
    <s v="Energia -A43-Ener"/>
    <s v="Compras"/>
    <s v="mbonilla"/>
    <s v="PMTRX00081993"/>
    <n v="4339813"/>
    <n v="1"/>
    <n v="58"/>
    <s v=""/>
    <m/>
  </r>
  <r>
    <n v="2921225"/>
    <x v="14"/>
    <s v="06-10-002-000"/>
    <x v="0"/>
    <n v="52088.4"/>
    <n v="0"/>
    <n v="52088.4"/>
    <n v="10000"/>
    <n v="100"/>
    <s v="AMPM86"/>
    <x v="88"/>
    <s v="Energia -A86-Ener"/>
    <s v="Compras"/>
    <s v="mbonilla"/>
    <s v="PMTRX00081993"/>
    <n v="4339814"/>
    <n v="1"/>
    <n v="104"/>
    <s v=""/>
    <m/>
  </r>
  <r>
    <n v="2921226"/>
    <x v="14"/>
    <s v="06-10-002-000"/>
    <x v="0"/>
    <n v="67588.710000000006"/>
    <n v="0"/>
    <n v="67588.710000000006"/>
    <n v="10000"/>
    <n v="100"/>
    <s v="AMPM89"/>
    <x v="87"/>
    <s v="Energia -A89-Ener"/>
    <s v="Compras"/>
    <s v="mbonilla"/>
    <s v="PMTRX00081993"/>
    <n v="4339815"/>
    <n v="1"/>
    <n v="105"/>
    <s v=""/>
    <m/>
  </r>
  <r>
    <n v="2921227"/>
    <x v="14"/>
    <s v="06-10-002-000"/>
    <x v="0"/>
    <n v="26202.1"/>
    <n v="0"/>
    <n v="26202.1"/>
    <n v="10000"/>
    <n v="100"/>
    <s v="AMPM99"/>
    <x v="73"/>
    <s v="Energia -A99-Ener"/>
    <s v="Compras"/>
    <s v="mbonilla"/>
    <s v="PMTRX00081993"/>
    <n v="4339816"/>
    <n v="1"/>
    <n v="33"/>
    <s v=""/>
    <m/>
  </r>
  <r>
    <n v="2921228"/>
    <x v="14"/>
    <s v="06-10-002-000"/>
    <x v="0"/>
    <n v="74198.41"/>
    <n v="0"/>
    <n v="74198.41"/>
    <n v="10000"/>
    <n v="100"/>
    <s v="AMPM12"/>
    <x v="51"/>
    <s v="Energia -A12-Ener"/>
    <s v="Compras"/>
    <s v="mbonilla"/>
    <s v="PMTRX00081993"/>
    <n v="4339817"/>
    <n v="1"/>
    <n v="12"/>
    <s v=""/>
    <m/>
  </r>
  <r>
    <n v="2921229"/>
    <x v="14"/>
    <s v="06-10-002-000"/>
    <x v="0"/>
    <n v="10158.36"/>
    <n v="0"/>
    <n v="10158.36"/>
    <n v="10000"/>
    <n v="100"/>
    <s v="AMPM14"/>
    <x v="53"/>
    <s v="Energia -A14-Ener"/>
    <s v="Compras"/>
    <s v="mbonilla"/>
    <s v="PMTRX00081993"/>
    <n v="4339818"/>
    <n v="1"/>
    <n v="14"/>
    <s v=""/>
    <m/>
  </r>
  <r>
    <n v="2921230"/>
    <x v="14"/>
    <s v="06-10-002-000"/>
    <x v="0"/>
    <n v="1578.89"/>
    <n v="0"/>
    <n v="1578.89"/>
    <n v="10000"/>
    <n v="100"/>
    <s v="AMPM14"/>
    <x v="53"/>
    <s v="Energia -A14-Ener"/>
    <s v="Compras"/>
    <s v="mbonilla"/>
    <s v="PMTRX00081993"/>
    <n v="4339819"/>
    <n v="1"/>
    <n v="14"/>
    <s v=""/>
    <m/>
  </r>
  <r>
    <n v="2921231"/>
    <x v="14"/>
    <s v="06-10-002-000"/>
    <x v="0"/>
    <n v="66441.98"/>
    <n v="0"/>
    <n v="66441.98"/>
    <n v="10000"/>
    <n v="100"/>
    <s v="AMPM03"/>
    <x v="61"/>
    <s v="Energia -A03-Ener"/>
    <s v="Compras"/>
    <s v="mbonilla"/>
    <s v="PMTRX00081993"/>
    <n v="4339820"/>
    <n v="1"/>
    <n v="3"/>
    <s v=""/>
    <m/>
  </r>
  <r>
    <n v="2921232"/>
    <x v="14"/>
    <s v="06-10-002-000"/>
    <x v="0"/>
    <n v="54109.79"/>
    <n v="0"/>
    <n v="54109.79"/>
    <n v="10000"/>
    <n v="100"/>
    <s v="AMPM85"/>
    <x v="86"/>
    <s v="Energia -A85-Ener"/>
    <s v="Compras"/>
    <s v="mbonilla"/>
    <s v="PMTRX00081993"/>
    <n v="4339821"/>
    <n v="1"/>
    <n v="101"/>
    <s v=""/>
    <m/>
  </r>
  <r>
    <n v="2921233"/>
    <x v="14"/>
    <s v="06-10-002-000"/>
    <x v="0"/>
    <n v="58544"/>
    <n v="0"/>
    <n v="58544"/>
    <n v="10000"/>
    <n v="100"/>
    <s v="AMPM83"/>
    <x v="15"/>
    <s v="Energia -A83-Ener"/>
    <s v="Compras"/>
    <s v="mbonilla"/>
    <s v="PMTRX00081993"/>
    <n v="4339822"/>
    <n v="1"/>
    <n v="97"/>
    <s v=""/>
    <m/>
  </r>
  <r>
    <n v="2921234"/>
    <x v="14"/>
    <s v="06-10-002-000"/>
    <x v="0"/>
    <n v="14221.45"/>
    <n v="0"/>
    <n v="14221.45"/>
    <n v="10000"/>
    <n v="100"/>
    <s v="ADMON"/>
    <x v="48"/>
    <s v="Energia -ADMON-Ener"/>
    <s v="Compras"/>
    <s v="mbonilla"/>
    <s v="PMTRX00081993"/>
    <n v="4339823"/>
    <n v="1"/>
    <n v="27"/>
    <s v=""/>
    <m/>
  </r>
  <r>
    <n v="2921235"/>
    <x v="14"/>
    <s v="06-10-002-000"/>
    <x v="0"/>
    <n v="10927.82"/>
    <n v="0"/>
    <n v="10927.82"/>
    <n v="10000"/>
    <n v="100"/>
    <s v="ADMON"/>
    <x v="48"/>
    <s v="Energia -ADMON-Ener"/>
    <s v="Compras"/>
    <s v="mbonilla"/>
    <s v="PMTRX00081993"/>
    <n v="4339824"/>
    <n v="1"/>
    <n v="27"/>
    <s v=""/>
    <m/>
  </r>
  <r>
    <n v="2921236"/>
    <x v="14"/>
    <s v="06-10-002-000"/>
    <x v="0"/>
    <n v="22767.17"/>
    <n v="0"/>
    <n v="22767.17"/>
    <n v="10000"/>
    <n v="100"/>
    <s v="ADMON"/>
    <x v="48"/>
    <s v="Energia -ADMON-Ener"/>
    <s v="Compras"/>
    <s v="mbonilla"/>
    <s v="PMTRX00081993"/>
    <n v="4339825"/>
    <n v="1"/>
    <n v="27"/>
    <s v=""/>
    <m/>
  </r>
  <r>
    <n v="2921237"/>
    <x v="14"/>
    <s v="06-10-002-000"/>
    <x v="0"/>
    <n v="11472.71"/>
    <n v="0"/>
    <n v="11472.71"/>
    <n v="10000"/>
    <n v="100"/>
    <s v="ADMON"/>
    <x v="48"/>
    <s v="Energia -ADMON-Ener"/>
    <s v="Compras"/>
    <s v="mbonilla"/>
    <s v="PMTRX00081993"/>
    <n v="4339826"/>
    <n v="1"/>
    <n v="27"/>
    <s v=""/>
    <m/>
  </r>
  <r>
    <n v="2921238"/>
    <x v="14"/>
    <s v="06-10-002-000"/>
    <x v="0"/>
    <n v="67171.360000000001"/>
    <n v="0"/>
    <n v="67171.360000000001"/>
    <n v="10000"/>
    <n v="100"/>
    <s v="AMPM45"/>
    <x v="68"/>
    <s v="Energia -A45-Ener"/>
    <s v="Compras"/>
    <s v="mbonilla"/>
    <s v="PMTRX00081993"/>
    <n v="4339827"/>
    <n v="1"/>
    <n v="59"/>
    <s v=""/>
    <m/>
  </r>
  <r>
    <n v="2921239"/>
    <x v="14"/>
    <s v="06-10-002-000"/>
    <x v="0"/>
    <n v="2198.48"/>
    <n v="0"/>
    <n v="2198.48"/>
    <n v="10000"/>
    <n v="100"/>
    <s v="AMPM40"/>
    <x v="67"/>
    <s v="Energia -A40-Ener"/>
    <s v="Compras"/>
    <s v="mbonilla"/>
    <s v="PMTRX00081993"/>
    <n v="4339828"/>
    <n v="1"/>
    <n v="49"/>
    <s v=""/>
    <m/>
  </r>
  <r>
    <n v="2921240"/>
    <x v="14"/>
    <s v="06-10-002-000"/>
    <x v="0"/>
    <n v="65984.149999999994"/>
    <n v="0"/>
    <n v="65984.149999999994"/>
    <n v="10000"/>
    <n v="100"/>
    <s v="AMPM60"/>
    <x v="76"/>
    <s v="Energia -A60-Ener"/>
    <s v="Compras"/>
    <s v="mbonilla"/>
    <s v="PMTRX00081993"/>
    <n v="4339829"/>
    <n v="1"/>
    <n v="76"/>
    <s v=""/>
    <m/>
  </r>
  <r>
    <n v="2921241"/>
    <x v="14"/>
    <s v="06-10-002-000"/>
    <x v="0"/>
    <n v="62381.04"/>
    <n v="0"/>
    <n v="62381.04"/>
    <n v="10000"/>
    <n v="100"/>
    <s v="AMPM67"/>
    <x v="80"/>
    <s v="Energia -A67-Ener"/>
    <s v="Compras"/>
    <s v="mbonilla"/>
    <s v="PMTRX00081993"/>
    <n v="4339830"/>
    <n v="1"/>
    <n v="83"/>
    <s v=""/>
    <m/>
  </r>
  <r>
    <n v="2921242"/>
    <x v="14"/>
    <s v="06-10-002-000"/>
    <x v="0"/>
    <n v="11477.58"/>
    <n v="0"/>
    <n v="11477.58"/>
    <n v="10000"/>
    <n v="100"/>
    <s v="ADMON"/>
    <x v="48"/>
    <s v="Energia -ADMON-Ener"/>
    <s v="Compras"/>
    <s v="mbonilla"/>
    <s v="PMTRX00081993"/>
    <n v="4339831"/>
    <n v="1"/>
    <n v="27"/>
    <s v=""/>
    <m/>
  </r>
  <r>
    <n v="2921243"/>
    <x v="14"/>
    <s v="06-10-002-000"/>
    <x v="0"/>
    <n v="49001.51"/>
    <n v="0"/>
    <n v="49001.51"/>
    <n v="10000"/>
    <n v="100"/>
    <s v="AMPM23"/>
    <x v="59"/>
    <s v="Energia -A23-Ener"/>
    <s v="Compras"/>
    <s v="mbonilla"/>
    <s v="PMTRX00081993"/>
    <n v="4339832"/>
    <n v="1"/>
    <n v="23"/>
    <s v=""/>
    <m/>
  </r>
  <r>
    <n v="2921244"/>
    <x v="14"/>
    <s v="06-10-002-000"/>
    <x v="0"/>
    <n v="56853.81"/>
    <n v="0"/>
    <n v="56853.81"/>
    <n v="10000"/>
    <n v="100"/>
    <s v="AMPM21"/>
    <x v="50"/>
    <s v="Energia -A21-Ener"/>
    <s v="Compras"/>
    <s v="mbonilla"/>
    <s v="PMTRX00081993"/>
    <n v="4339833"/>
    <n v="1"/>
    <n v="21"/>
    <s v=""/>
    <m/>
  </r>
  <r>
    <n v="2921245"/>
    <x v="14"/>
    <s v="06-10-002-000"/>
    <x v="0"/>
    <n v="58254.09"/>
    <n v="0"/>
    <n v="58254.09"/>
    <n v="10000"/>
    <n v="100"/>
    <s v="AMPM18"/>
    <x v="55"/>
    <s v="Energia -A18-Ener"/>
    <s v="Compras"/>
    <s v="mbonilla"/>
    <s v="PMTRX00081993"/>
    <n v="4339834"/>
    <n v="1"/>
    <n v="18"/>
    <s v=""/>
    <m/>
  </r>
  <r>
    <n v="2921246"/>
    <x v="14"/>
    <s v="06-10-002-000"/>
    <x v="0"/>
    <n v="26643.58"/>
    <n v="0"/>
    <n v="26643.58"/>
    <n v="10000"/>
    <n v="100"/>
    <s v="AMPM49"/>
    <x v="72"/>
    <s v="Energia -A49-Ener"/>
    <s v="Compras"/>
    <s v="mbonilla"/>
    <s v="PMTRX00081993"/>
    <n v="4339835"/>
    <n v="1"/>
    <n v="63"/>
    <s v=""/>
    <m/>
  </r>
  <r>
    <n v="2921247"/>
    <x v="14"/>
    <s v="06-10-002-000"/>
    <x v="0"/>
    <n v="40390.44"/>
    <n v="0"/>
    <n v="40390.44"/>
    <n v="10000"/>
    <n v="100"/>
    <s v="AMPM14"/>
    <x v="53"/>
    <s v="Energia -A14-Ener"/>
    <s v="Compras"/>
    <s v="mbonilla"/>
    <s v="PMTRX00081993"/>
    <n v="4339836"/>
    <n v="1"/>
    <n v="14"/>
    <s v=""/>
    <m/>
  </r>
  <r>
    <n v="2921248"/>
    <x v="14"/>
    <s v="06-10-002-000"/>
    <x v="0"/>
    <n v="61382.64"/>
    <n v="0"/>
    <n v="61382.64"/>
    <n v="10000"/>
    <n v="100"/>
    <s v="AMPM40"/>
    <x v="67"/>
    <s v="Energia -A40-Ener"/>
    <s v="Compras"/>
    <s v="mbonilla"/>
    <s v="PMTRX00081993"/>
    <n v="4339837"/>
    <n v="1"/>
    <n v="49"/>
    <s v=""/>
    <m/>
  </r>
  <r>
    <n v="2921249"/>
    <x v="14"/>
    <s v="06-10-002-000"/>
    <x v="0"/>
    <n v="2169.54"/>
    <n v="0"/>
    <n v="2169.54"/>
    <n v="10000"/>
    <n v="100"/>
    <s v="AMPM26"/>
    <x v="7"/>
    <s v="Energia -A26-Ener"/>
    <s v="Compras"/>
    <s v="mbonilla"/>
    <s v="PMTRX00081993"/>
    <n v="4339838"/>
    <n v="1"/>
    <n v="26"/>
    <s v=""/>
    <m/>
  </r>
  <r>
    <n v="2921250"/>
    <x v="14"/>
    <s v="06-10-002-000"/>
    <x v="0"/>
    <n v="52497.66"/>
    <n v="0"/>
    <n v="52497.66"/>
    <n v="10000"/>
    <n v="100"/>
    <s v="AMPM42"/>
    <x v="21"/>
    <s v="Energia -A42-Ener"/>
    <s v="Compras"/>
    <s v="mbonilla"/>
    <s v="PMTRX00081993"/>
    <n v="4339839"/>
    <n v="1"/>
    <n v="51"/>
    <s v=""/>
    <m/>
  </r>
  <r>
    <n v="2921251"/>
    <x v="14"/>
    <s v="06-10-002-000"/>
    <x v="0"/>
    <n v="1909.16"/>
    <n v="0"/>
    <n v="1909.16"/>
    <n v="10000"/>
    <n v="100"/>
    <s v="AMPM42"/>
    <x v="21"/>
    <s v="Energia -A42-Ener"/>
    <s v="Compras"/>
    <s v="mbonilla"/>
    <s v="PMTRX00081993"/>
    <n v="4339840"/>
    <n v="1"/>
    <n v="51"/>
    <s v=""/>
    <m/>
  </r>
  <r>
    <n v="2921252"/>
    <x v="14"/>
    <s v="06-10-002-000"/>
    <x v="0"/>
    <n v="46979.360000000001"/>
    <n v="0"/>
    <n v="46979.360000000001"/>
    <n v="10000"/>
    <n v="100"/>
    <s v="AMPM59"/>
    <x v="74"/>
    <s v="Energia -A59-Ener"/>
    <s v="Compras"/>
    <s v="mbonilla"/>
    <s v="PMTRX00081993"/>
    <n v="4339841"/>
    <n v="1"/>
    <n v="75"/>
    <s v=""/>
    <m/>
  </r>
  <r>
    <n v="2921253"/>
    <x v="14"/>
    <s v="06-10-002-000"/>
    <x v="0"/>
    <n v="44884.68"/>
    <n v="0"/>
    <n v="44884.68"/>
    <n v="10000"/>
    <n v="100"/>
    <s v="AMPM36"/>
    <x v="66"/>
    <s v="Energia -A36-Ener"/>
    <s v="Compras"/>
    <s v="mbonilla"/>
    <s v="PMTRX00081993"/>
    <n v="4339842"/>
    <n v="1"/>
    <n v="44"/>
    <s v=""/>
    <m/>
  </r>
  <r>
    <n v="2921254"/>
    <x v="14"/>
    <s v="06-10-002-000"/>
    <x v="0"/>
    <n v="103.75"/>
    <n v="0"/>
    <n v="103.75"/>
    <n v="10000"/>
    <n v="100"/>
    <s v="AMPM36"/>
    <x v="66"/>
    <s v="Energia -A36-Ener"/>
    <s v="Compras"/>
    <s v="mbonilla"/>
    <s v="PMTRX00081993"/>
    <n v="4339843"/>
    <n v="1"/>
    <n v="44"/>
    <s v=""/>
    <m/>
  </r>
  <r>
    <n v="2921255"/>
    <x v="14"/>
    <s v="06-10-002-000"/>
    <x v="0"/>
    <n v="54122.95"/>
    <n v="0"/>
    <n v="54122.95"/>
    <n v="10000"/>
    <n v="100"/>
    <s v="AMPM77"/>
    <x v="33"/>
    <s v="Energia -A77-Ener"/>
    <s v="Compras"/>
    <s v="mbonilla"/>
    <s v="PMTRX00081993"/>
    <n v="4339844"/>
    <n v="1"/>
    <n v="92"/>
    <s v=""/>
    <m/>
  </r>
  <r>
    <n v="2921256"/>
    <x v="14"/>
    <s v="06-10-002-000"/>
    <x v="0"/>
    <n v="53665.88"/>
    <n v="0"/>
    <n v="53665.88"/>
    <n v="10000"/>
    <n v="100"/>
    <s v="AMPM26"/>
    <x v="7"/>
    <s v="Energia -A26-Ener"/>
    <s v="Compras"/>
    <s v="mbonilla"/>
    <s v="PMTRX00081993"/>
    <n v="4339845"/>
    <n v="1"/>
    <n v="26"/>
    <s v=""/>
    <m/>
  </r>
  <r>
    <n v="2921257"/>
    <x v="14"/>
    <s v="06-10-002-000"/>
    <x v="0"/>
    <n v="53888.42"/>
    <n v="0"/>
    <n v="53888.42"/>
    <n v="10000"/>
    <n v="100"/>
    <s v="AMPM56"/>
    <x v="23"/>
    <s v="Energia -A56-Ener"/>
    <s v="Compras"/>
    <s v="mbonilla"/>
    <s v="PMTRX00081993"/>
    <n v="4339846"/>
    <n v="1"/>
    <n v="72"/>
    <s v=""/>
    <m/>
  </r>
  <r>
    <n v="2921258"/>
    <x v="14"/>
    <s v="06-10-002-000"/>
    <x v="0"/>
    <n v="71218.679999999993"/>
    <n v="0"/>
    <n v="71218.679999999993"/>
    <n v="10000"/>
    <n v="100"/>
    <s v="AMPM62"/>
    <x v="77"/>
    <s v="Energia -A62-Ener"/>
    <s v="Compras"/>
    <s v="mbonilla"/>
    <s v="PMTRX00081993"/>
    <n v="4339847"/>
    <n v="1"/>
    <n v="78"/>
    <s v=""/>
    <m/>
  </r>
  <r>
    <n v="2921259"/>
    <x v="14"/>
    <s v="06-10-002-000"/>
    <x v="0"/>
    <n v="52849.06"/>
    <n v="0"/>
    <n v="52849.06"/>
    <n v="10000"/>
    <n v="100"/>
    <s v="AMPM48"/>
    <x v="69"/>
    <s v="Energia -A48-Ener"/>
    <s v="Compras"/>
    <s v="mbonilla"/>
    <s v="PMTRX00081993"/>
    <n v="4339848"/>
    <n v="1"/>
    <n v="62"/>
    <s v=""/>
    <m/>
  </r>
  <r>
    <n v="2921260"/>
    <x v="14"/>
    <s v="06-10-002-000"/>
    <x v="0"/>
    <n v="53818.99"/>
    <n v="0"/>
    <n v="53818.99"/>
    <n v="10000"/>
    <n v="100"/>
    <s v="AMPM70"/>
    <x v="22"/>
    <s v="Energia -A70-Ener"/>
    <s v="Compras"/>
    <s v="mbonilla"/>
    <s v="PMTRX00081993"/>
    <n v="4339849"/>
    <n v="1"/>
    <n v="87"/>
    <s v=""/>
    <m/>
  </r>
  <r>
    <n v="2921261"/>
    <x v="14"/>
    <s v="06-10-002-000"/>
    <x v="0"/>
    <n v="66531.72"/>
    <n v="0"/>
    <n v="66531.72"/>
    <n v="10000"/>
    <n v="100"/>
    <s v="AMPM66"/>
    <x v="79"/>
    <s v="Energia -A66-Ener"/>
    <s v="Compras"/>
    <s v="mbonilla"/>
    <s v="PMTRX00081993"/>
    <n v="4339850"/>
    <n v="1"/>
    <n v="82"/>
    <s v=""/>
    <m/>
  </r>
  <r>
    <n v="2921262"/>
    <x v="14"/>
    <s v="06-10-002-000"/>
    <x v="0"/>
    <n v="42434.22"/>
    <n v="0"/>
    <n v="42434.22"/>
    <n v="10000"/>
    <n v="100"/>
    <s v="AMPM31"/>
    <x v="64"/>
    <s v="Energia -A31-Ener"/>
    <s v="Compras"/>
    <s v="mbonilla"/>
    <s v="PMTRX00081993"/>
    <n v="4339851"/>
    <n v="1"/>
    <n v="38"/>
    <s v=""/>
    <m/>
  </r>
  <r>
    <n v="2921263"/>
    <x v="14"/>
    <s v="06-10-002-000"/>
    <x v="0"/>
    <n v="54120.09"/>
    <n v="0"/>
    <n v="54120.09"/>
    <n v="10000"/>
    <n v="100"/>
    <s v="AMPM53"/>
    <x v="20"/>
    <s v="Energia -A53-Ener"/>
    <s v="Compras"/>
    <s v="mbonilla"/>
    <s v="PMTRX00081993"/>
    <n v="4339852"/>
    <n v="1"/>
    <n v="64"/>
    <s v=""/>
    <m/>
  </r>
  <r>
    <n v="2921264"/>
    <x v="14"/>
    <s v="06-10-002-000"/>
    <x v="0"/>
    <n v="79669.03"/>
    <n v="0"/>
    <n v="79669.03"/>
    <n v="10000"/>
    <n v="100"/>
    <s v="AMPM72"/>
    <x v="27"/>
    <s v="Energia -A72-Ener"/>
    <s v="Compras"/>
    <s v="mbonilla"/>
    <s v="PMTRX00081993"/>
    <n v="4339853"/>
    <n v="1"/>
    <n v="88"/>
    <s v=""/>
    <m/>
  </r>
  <r>
    <n v="2921268"/>
    <x v="15"/>
    <s v="06-10-002-000"/>
    <x v="0"/>
    <n v="134.94999999999999"/>
    <n v="0"/>
    <n v="134.94999999999999"/>
    <n v="10000"/>
    <n v="100"/>
    <s v="AMPM19"/>
    <x v="56"/>
    <s v="Consumo Luz-A19"/>
    <s v="Consumo Luz-A19"/>
    <s v="jlopez"/>
    <s v="PMTRX00081994"/>
    <n v="4339880"/>
    <n v="1"/>
    <n v="19"/>
    <s v=""/>
    <m/>
  </r>
  <r>
    <n v="2921271"/>
    <x v="15"/>
    <s v="06-10-002-000"/>
    <x v="0"/>
    <n v="57942.61"/>
    <n v="0"/>
    <n v="57942.61"/>
    <n v="10000"/>
    <n v="100"/>
    <s v="AMPM05"/>
    <x v="12"/>
    <s v="Consumo Luz A05"/>
    <s v="Consumo Luz A05"/>
    <s v="jlopez"/>
    <s v="PMTRX00081994"/>
    <n v="4339881"/>
    <n v="1"/>
    <n v="5"/>
    <s v=""/>
    <m/>
  </r>
  <r>
    <n v="2921294"/>
    <x v="15"/>
    <s v="06-10-002-000"/>
    <x v="0"/>
    <n v="2822.34"/>
    <n v="0"/>
    <n v="2822.34"/>
    <n v="10000"/>
    <n v="100"/>
    <s v="AMPM19"/>
    <x v="56"/>
    <s v="Consumo Luz A19"/>
    <s v="Consumo Luz A19"/>
    <s v="jlopez"/>
    <s v="PMTRX00081994"/>
    <n v="4339882"/>
    <n v="1"/>
    <n v="19"/>
    <s v=""/>
    <m/>
  </r>
  <r>
    <n v="2921295"/>
    <x v="16"/>
    <s v="06-10-002-000"/>
    <x v="0"/>
    <n v="64589.4"/>
    <n v="0"/>
    <n v="64589.4"/>
    <n v="10000"/>
    <n v="100"/>
    <s v="AMPM88"/>
    <x v="9"/>
    <s v="Consumo Luz A88"/>
    <s v="Consumo Luz A88"/>
    <s v="jlopez"/>
    <s v="PMTRX00081994"/>
    <n v="4339883"/>
    <n v="1"/>
    <n v="102"/>
    <s v=""/>
    <m/>
  </r>
  <r>
    <n v="2934934"/>
    <x v="15"/>
    <s v="06-10-002-000"/>
    <x v="0"/>
    <n v="251.24"/>
    <n v="0"/>
    <n v="251.24"/>
    <n v="10000"/>
    <n v="100"/>
    <s v="AMPM72"/>
    <x v="27"/>
    <s v="Recargo por mora A72"/>
    <s v="Recargo por mora A72"/>
    <s v="jlopez"/>
    <s v="PMTRX00082290"/>
    <n v="4348745"/>
    <n v="1"/>
    <n v="88"/>
    <s v=""/>
    <m/>
  </r>
  <r>
    <n v="2934937"/>
    <x v="15"/>
    <s v="06-10-002-000"/>
    <x v="0"/>
    <n v="294.29000000000002"/>
    <n v="0"/>
    <n v="294.29000000000002"/>
    <n v="10000"/>
    <n v="100"/>
    <s v="AMPM73"/>
    <x v="17"/>
    <s v="Recargo por mora A73"/>
    <s v="Recargo por mora A73"/>
    <s v="jlopez"/>
    <s v="PMTRX00082293"/>
    <n v="4348746"/>
    <n v="1"/>
    <n v="89"/>
    <s v=""/>
    <m/>
  </r>
  <r>
    <n v="2929256"/>
    <x v="17"/>
    <s v="06-10-002-000"/>
    <x v="0"/>
    <n v="2746.82"/>
    <n v="0"/>
    <n v="2746.82"/>
    <n v="10000"/>
    <n v="100"/>
    <s v="AMPM15"/>
    <x v="1"/>
    <s v="ALQUILER A15-FEBRERO"/>
    <s v="ENERGIA A15-FEBRERO"/>
    <s v="xmaltez"/>
    <s v="PMTRX00082196"/>
    <n v="4346379"/>
    <n v="1"/>
    <n v="15"/>
    <s v=""/>
    <m/>
  </r>
  <r>
    <n v="2932434"/>
    <x v="18"/>
    <s v="06-10-002-000"/>
    <x v="0"/>
    <n v="1633.08"/>
    <n v="0"/>
    <n v="1633.08"/>
    <n v="10000"/>
    <n v="100"/>
    <s v="AMPM28"/>
    <x v="2"/>
    <s v="ALQUILER-AGUA-LUZ A28 FEBRERO"/>
    <s v="ENERGIA A28-FEBRERO"/>
    <s v="jlopez"/>
    <s v="PMTRX00082289"/>
    <n v="4346646"/>
    <n v="1"/>
    <n v="35"/>
    <s v=""/>
    <m/>
  </r>
  <r>
    <n v="2947467"/>
    <x v="19"/>
    <s v="06-10-002-000"/>
    <x v="0"/>
    <n v="30776.04"/>
    <n v="0"/>
    <n v="30776.04"/>
    <n v="10000"/>
    <n v="100"/>
    <s v="PANADE"/>
    <x v="0"/>
    <s v="ENERGIA PANADE FEBRERO"/>
    <s v="ENERGIA PANADE FEBRERO"/>
    <s v="jlopez"/>
    <s v="PMTRX00082606"/>
    <n v="4359657"/>
    <n v="1"/>
    <n v="32"/>
    <s v=""/>
    <m/>
  </r>
  <r>
    <n v="2947475"/>
    <x v="20"/>
    <s v="06-10-002-000"/>
    <x v="0"/>
    <n v="11894.11"/>
    <n v="0"/>
    <n v="11894.11"/>
    <n v="10000"/>
    <n v="100"/>
    <s v="AMPM26"/>
    <x v="7"/>
    <s v="AREAS COMUNES A26 FEBRERO"/>
    <s v="ENERGIA A26 FEBRERO"/>
    <s v="jlopez"/>
    <s v="PMTRX00082606"/>
    <n v="4359661"/>
    <n v="1"/>
    <n v="26"/>
    <s v=""/>
    <m/>
  </r>
  <r>
    <n v="2969088"/>
    <x v="20"/>
    <s v="06-10-002-000"/>
    <x v="0"/>
    <n v="2280.0700000000002"/>
    <n v="0"/>
    <n v="2280.0700000000002"/>
    <n v="10000"/>
    <n v="100"/>
    <s v="AMPM15"/>
    <x v="1"/>
    <s v="AREAS COMUNES-FEBRERO 2026"/>
    <s v="Energia A15-Febrero"/>
    <s v="jlopez"/>
    <s v="PMTRX00083153"/>
    <n v="4378136"/>
    <n v="1"/>
    <n v="15"/>
    <s v=""/>
    <m/>
  </r>
  <r>
    <n v="2982847"/>
    <x v="21"/>
    <s v="06-10-002-000"/>
    <x v="0"/>
    <n v="35873.82"/>
    <n v="0"/>
    <n v="35873.82"/>
    <n v="10000"/>
    <n v="100"/>
    <s v="AMPM57"/>
    <x v="4"/>
    <s v="ENERGIA A57 EBRERO"/>
    <s v="2956987 A57"/>
    <s v="xmaltez"/>
    <s v="PMTRX00083573"/>
    <n v="4389853"/>
    <n v="1"/>
    <n v="73"/>
    <s v=""/>
    <m/>
  </r>
  <r>
    <n v="2982848"/>
    <x v="21"/>
    <s v="06-10-002-000"/>
    <x v="0"/>
    <n v="4470"/>
    <n v="0"/>
    <n v="4470"/>
    <n v="10000"/>
    <n v="100"/>
    <s v="AMPM57"/>
    <x v="4"/>
    <s v="ENERGIA A57 FEBRERO"/>
    <s v="2957112 A57"/>
    <s v="xmaltez"/>
    <s v="PMTRX00083573"/>
    <n v="4389854"/>
    <n v="1"/>
    <n v="73"/>
    <s v=""/>
    <m/>
  </r>
  <r>
    <n v="2982850"/>
    <x v="21"/>
    <s v="06-10-002-000"/>
    <x v="0"/>
    <n v="45217.01"/>
    <n v="0"/>
    <n v="45217.01"/>
    <n v="10000"/>
    <n v="100"/>
    <s v="AMPM80"/>
    <x v="3"/>
    <s v="ENERGIA A80 FEBRERO"/>
    <s v="2463241 A80"/>
    <s v="xmaltez"/>
    <s v="PMTRX00083573"/>
    <n v="4389855"/>
    <n v="1"/>
    <n v="98"/>
    <s v=""/>
    <m/>
  </r>
  <r>
    <n v="2982853"/>
    <x v="21"/>
    <s v="06-10-002-000"/>
    <x v="0"/>
    <n v="65217.05"/>
    <n v="0"/>
    <n v="65217.05"/>
    <n v="10000"/>
    <n v="100"/>
    <s v="AMPM68"/>
    <x v="5"/>
    <s v="ENERGIA A68 FEBRERO"/>
    <s v="1400136 A68"/>
    <s v="xmaltez"/>
    <s v="PMTRX00083573"/>
    <n v="4389856"/>
    <n v="1"/>
    <n v="84"/>
    <s v=""/>
    <m/>
  </r>
  <r>
    <n v="2982857"/>
    <x v="21"/>
    <s v="06-10-002-000"/>
    <x v="0"/>
    <n v="55612.79"/>
    <n v="0"/>
    <n v="55612.79"/>
    <n v="10000"/>
    <n v="100"/>
    <s v="AMPM76"/>
    <x v="6"/>
    <s v="ENERGIA A76 FEBRERO"/>
    <s v="1577941 A76"/>
    <s v="xmaltez"/>
    <s v="PMTRX00083573"/>
    <n v="4389857"/>
    <n v="1"/>
    <n v="93"/>
    <s v=""/>
    <m/>
  </r>
  <r>
    <n v="2996102"/>
    <x v="22"/>
    <s v="06-10-002-000"/>
    <x v="0"/>
    <n v="43.4"/>
    <n v="0"/>
    <n v="43.4"/>
    <n v="10000"/>
    <n v="100"/>
    <s v="OPERACIONES"/>
    <x v="10"/>
    <s v="DISSUR 1800 1530 BANPRO"/>
    <s v="PG Luz TINAJITAS"/>
    <s v="jlopez"/>
    <s v="GLTRX00941890"/>
    <n v="4400284"/>
    <n v="1"/>
    <n v="31"/>
    <s v=""/>
    <m/>
  </r>
  <r>
    <n v="2996103"/>
    <x v="22"/>
    <s v="06-10-002-000"/>
    <x v="0"/>
    <n v="126.01"/>
    <n v="0"/>
    <n v="126.01"/>
    <n v="10000"/>
    <n v="100"/>
    <s v="OPERACIONES"/>
    <x v="10"/>
    <s v="DISSUR 1800 1530 BANPRO"/>
    <s v="PG Luz TINAJITAS"/>
    <s v="jlopez"/>
    <s v="GLTRX00941890"/>
    <n v="4400288"/>
    <n v="1"/>
    <n v="31"/>
    <s v=""/>
    <m/>
  </r>
  <r>
    <n v="2996359"/>
    <x v="23"/>
    <s v="06-10-002-000"/>
    <x v="0"/>
    <n v="40368.730000000003"/>
    <n v="0"/>
    <n v="40368.730000000003"/>
    <n v="10000"/>
    <n v="100"/>
    <s v="AMPM14"/>
    <x v="53"/>
    <s v="ENERGIA TIENDA A14 FEBRERO"/>
    <s v="26036000037 A14"/>
    <s v="xmaltez"/>
    <s v="PMTRX00083879"/>
    <n v="4400321"/>
    <n v="1"/>
    <n v="14"/>
    <s v=""/>
    <m/>
  </r>
  <r>
    <n v="2997792"/>
    <x v="24"/>
    <s v="06-10-002-000"/>
    <x v="0"/>
    <n v="52593.91"/>
    <n v="0"/>
    <n v="52593.91"/>
    <n v="10000"/>
    <n v="100"/>
    <s v="AMPM88"/>
    <x v="9"/>
    <s v="Energia-A88-Feb"/>
    <s v="Compras"/>
    <s v="xmaltez"/>
    <s v="PMTRX00083886"/>
    <n v="4401986"/>
    <n v="1"/>
    <n v="102"/>
    <s v=""/>
    <m/>
  </r>
  <r>
    <n v="2997793"/>
    <x v="24"/>
    <s v="06-10-002-000"/>
    <x v="0"/>
    <n v="2574.5700000000002"/>
    <n v="0"/>
    <n v="2574.5700000000002"/>
    <n v="10000"/>
    <n v="100"/>
    <s v="AMPM47"/>
    <x v="60"/>
    <s v="Energia-A47 -Feb"/>
    <s v="Compras"/>
    <s v="xmaltez"/>
    <s v="PMTRX00083886"/>
    <n v="4401987"/>
    <n v="1"/>
    <n v="61"/>
    <s v=""/>
    <m/>
  </r>
  <r>
    <n v="2997794"/>
    <x v="24"/>
    <s v="06-10-002-000"/>
    <x v="0"/>
    <n v="353.99"/>
    <n v="0"/>
    <n v="353.99"/>
    <n v="10000"/>
    <n v="100"/>
    <s v="OPERACIONES"/>
    <x v="10"/>
    <s v="Energia-OPERA-Feb"/>
    <s v="Compras"/>
    <s v="xmaltez"/>
    <s v="PMTRX00083886"/>
    <n v="4401988"/>
    <n v="1"/>
    <n v="31"/>
    <s v=""/>
    <m/>
  </r>
  <r>
    <n v="2997795"/>
    <x v="24"/>
    <s v="06-10-002-000"/>
    <x v="0"/>
    <n v="388.87"/>
    <n v="0"/>
    <n v="388.87"/>
    <n v="10000"/>
    <n v="100"/>
    <s v="AMPM03"/>
    <x v="61"/>
    <s v="Energia-A03 -Feb"/>
    <s v="Compras"/>
    <s v="xmaltez"/>
    <s v="PMTRX00083886"/>
    <n v="4401989"/>
    <n v="1"/>
    <n v="3"/>
    <s v=""/>
    <m/>
  </r>
  <r>
    <n v="2997796"/>
    <x v="24"/>
    <s v="06-10-002-000"/>
    <x v="0"/>
    <n v="2109.83"/>
    <n v="0"/>
    <n v="2109.83"/>
    <n v="10000"/>
    <n v="100"/>
    <s v="AMPM35"/>
    <x v="14"/>
    <s v="Energia-A35 -Feb"/>
    <s v="Compras"/>
    <s v="xmaltez"/>
    <s v="PMTRX00083886"/>
    <n v="4401990"/>
    <n v="1"/>
    <n v="43"/>
    <s v=""/>
    <m/>
  </r>
  <r>
    <n v="2997797"/>
    <x v="24"/>
    <s v="06-10-002-000"/>
    <x v="0"/>
    <n v="54116.69"/>
    <n v="0"/>
    <n v="54116.69"/>
    <n v="10000"/>
    <n v="100"/>
    <s v="AMPM44"/>
    <x v="38"/>
    <s v="Energia-A44-Feb"/>
    <s v="Compras"/>
    <s v="xmaltez"/>
    <s v="PMTRX00083886"/>
    <n v="4401991"/>
    <n v="1"/>
    <n v="57"/>
    <s v=""/>
    <m/>
  </r>
  <r>
    <n v="2997798"/>
    <x v="24"/>
    <s v="06-10-002-000"/>
    <x v="0"/>
    <n v="52075.51"/>
    <n v="0"/>
    <n v="52075.51"/>
    <n v="10000"/>
    <n v="100"/>
    <s v="AMPM47"/>
    <x v="60"/>
    <s v="Energia-A47-Feb"/>
    <s v="Compras"/>
    <s v="xmaltez"/>
    <s v="PMTRX00083886"/>
    <n v="4401992"/>
    <n v="1"/>
    <n v="61"/>
    <s v=""/>
    <m/>
  </r>
  <r>
    <n v="2997799"/>
    <x v="24"/>
    <s v="06-10-002-000"/>
    <x v="0"/>
    <n v="57879.17"/>
    <n v="0"/>
    <n v="57879.17"/>
    <n v="10000"/>
    <n v="100"/>
    <s v="AMPM55"/>
    <x v="37"/>
    <s v="Energia-A55-Feb"/>
    <s v="Compras"/>
    <s v="xmaltez"/>
    <s v="PMTRX00083886"/>
    <n v="4401993"/>
    <n v="1"/>
    <n v="71"/>
    <s v=""/>
    <m/>
  </r>
  <r>
    <n v="2997800"/>
    <x v="24"/>
    <s v="06-10-002-000"/>
    <x v="0"/>
    <n v="53146.19"/>
    <n v="0"/>
    <n v="53146.19"/>
    <n v="10000"/>
    <n v="100"/>
    <s v="AMPM46"/>
    <x v="34"/>
    <s v="Energia-A46-Feb"/>
    <s v="Compras"/>
    <s v="xmaltez"/>
    <s v="PMTRX00083886"/>
    <n v="4401994"/>
    <n v="1"/>
    <n v="60"/>
    <s v=""/>
    <m/>
  </r>
  <r>
    <n v="2997801"/>
    <x v="24"/>
    <s v="06-10-002-000"/>
    <x v="0"/>
    <n v="40546.17"/>
    <n v="0"/>
    <n v="40546.17"/>
    <n v="10000"/>
    <n v="100"/>
    <s v="AMPM64"/>
    <x v="19"/>
    <s v="Energia-A64-Feb"/>
    <s v="Compras"/>
    <s v="xmaltez"/>
    <s v="PMTRX00083886"/>
    <n v="4401995"/>
    <n v="1"/>
    <n v="80"/>
    <s v=""/>
    <m/>
  </r>
  <r>
    <n v="2997802"/>
    <x v="24"/>
    <s v="06-10-002-000"/>
    <x v="0"/>
    <n v="57250.37"/>
    <n v="0"/>
    <n v="57250.37"/>
    <n v="10000"/>
    <n v="100"/>
    <s v="AMPM87"/>
    <x v="89"/>
    <s v="Energia-A87-Feb"/>
    <s v="Compras"/>
    <s v="xmaltez"/>
    <s v="PMTRX00083886"/>
    <n v="4401996"/>
    <n v="1"/>
    <n v="103"/>
    <s v=""/>
    <m/>
  </r>
  <r>
    <n v="2997803"/>
    <x v="24"/>
    <s v="06-10-002-000"/>
    <x v="0"/>
    <n v="47937.35"/>
    <n v="0"/>
    <n v="47937.35"/>
    <n v="10000"/>
    <n v="100"/>
    <s v="AMPM50"/>
    <x v="70"/>
    <s v="Energia-A50-Feb"/>
    <s v="Compras"/>
    <s v="xmaltez"/>
    <s v="PMTRX00083886"/>
    <n v="4401997"/>
    <n v="1"/>
    <n v="28"/>
    <s v=""/>
    <m/>
  </r>
  <r>
    <n v="2997804"/>
    <x v="24"/>
    <s v="06-10-002-000"/>
    <x v="0"/>
    <n v="55643.9"/>
    <n v="0"/>
    <n v="55643.9"/>
    <n v="10000"/>
    <n v="100"/>
    <s v="AMPM58"/>
    <x v="46"/>
    <s v="Energia-A58-Feb"/>
    <s v="Compras"/>
    <s v="xmaltez"/>
    <s v="PMTRX00083886"/>
    <n v="4401998"/>
    <n v="1"/>
    <n v="74"/>
    <s v=""/>
    <m/>
  </r>
  <r>
    <n v="2997805"/>
    <x v="24"/>
    <s v="06-10-002-000"/>
    <x v="0"/>
    <n v="2082.75"/>
    <n v="0"/>
    <n v="2082.75"/>
    <n v="10000"/>
    <n v="100"/>
    <s v="AMPM67"/>
    <x v="80"/>
    <s v="Energia-A67 -Feb"/>
    <s v="Compras"/>
    <s v="xmaltez"/>
    <s v="PMTRX00083886"/>
    <n v="4401999"/>
    <n v="1"/>
    <n v="83"/>
    <s v=""/>
    <m/>
  </r>
  <r>
    <n v="2997806"/>
    <x v="24"/>
    <s v="06-10-002-000"/>
    <x v="0"/>
    <n v="2333.4699999999998"/>
    <n v="0"/>
    <n v="2333.4699999999998"/>
    <n v="10000"/>
    <n v="100"/>
    <s v="AMPM41"/>
    <x v="24"/>
    <s v="Energia-A41 -Feb"/>
    <s v="Compras"/>
    <s v="xmaltez"/>
    <s v="PMTRX00083886"/>
    <n v="4402000"/>
    <n v="1"/>
    <n v="50"/>
    <s v=""/>
    <m/>
  </r>
  <r>
    <n v="2997807"/>
    <x v="24"/>
    <s v="06-10-002-000"/>
    <x v="0"/>
    <n v="692.2"/>
    <n v="0"/>
    <n v="692.2"/>
    <n v="10000"/>
    <n v="100"/>
    <s v="AMPM39"/>
    <x v="31"/>
    <s v="Energia-A39 -Feb"/>
    <s v="Compras"/>
    <s v="xmaltez"/>
    <s v="PMTRX00083886"/>
    <n v="4402001"/>
    <n v="1"/>
    <n v="48"/>
    <s v=""/>
    <m/>
  </r>
  <r>
    <n v="2997808"/>
    <x v="24"/>
    <s v="06-10-002-000"/>
    <x v="0"/>
    <n v="1783.79"/>
    <n v="0"/>
    <n v="1783.79"/>
    <n v="10000"/>
    <n v="100"/>
    <s v="AMPM12"/>
    <x v="51"/>
    <s v="Energia-A12 -Feb"/>
    <s v="Compras"/>
    <s v="xmaltez"/>
    <s v="PMTRX00083886"/>
    <n v="4402002"/>
    <n v="1"/>
    <n v="12"/>
    <s v=""/>
    <m/>
  </r>
  <r>
    <n v="2997809"/>
    <x v="24"/>
    <s v="06-10-002-000"/>
    <x v="0"/>
    <n v="2294.4899999999998"/>
    <n v="0"/>
    <n v="2294.4899999999998"/>
    <n v="10000"/>
    <n v="100"/>
    <s v="AMPM13"/>
    <x v="54"/>
    <s v="Energia-A13 -Feb"/>
    <s v="Compras"/>
    <s v="xmaltez"/>
    <s v="PMTRX00083886"/>
    <n v="4402003"/>
    <n v="1"/>
    <n v="13"/>
    <s v=""/>
    <m/>
  </r>
  <r>
    <n v="2997810"/>
    <x v="24"/>
    <s v="06-10-002-000"/>
    <x v="0"/>
    <n v="64443.47"/>
    <n v="0"/>
    <n v="64443.47"/>
    <n v="10000"/>
    <n v="100"/>
    <s v="AMPM13"/>
    <x v="54"/>
    <s v="Energia-A13-Feb"/>
    <s v="Compras"/>
    <s v="xmaltez"/>
    <s v="PMTRX00083886"/>
    <n v="4402004"/>
    <n v="1"/>
    <n v="13"/>
    <s v=""/>
    <m/>
  </r>
  <r>
    <n v="2997811"/>
    <x v="24"/>
    <s v="06-10-002-000"/>
    <x v="0"/>
    <n v="183"/>
    <n v="0"/>
    <n v="183"/>
    <n v="10000"/>
    <n v="100"/>
    <s v="AMPM28"/>
    <x v="2"/>
    <s v="Energia-A28 -Feb"/>
    <s v="Compras"/>
    <s v="xmaltez"/>
    <s v="PMTRX00083886"/>
    <n v="4402005"/>
    <n v="1"/>
    <n v="35"/>
    <s v=""/>
    <m/>
  </r>
  <r>
    <n v="2997812"/>
    <x v="24"/>
    <s v="06-10-002-000"/>
    <x v="0"/>
    <n v="49533.4"/>
    <n v="0"/>
    <n v="49533.4"/>
    <n v="10000"/>
    <n v="100"/>
    <s v="AMPM28"/>
    <x v="2"/>
    <s v="Energia-A28-Feb"/>
    <s v="Compras"/>
    <s v="xmaltez"/>
    <s v="PMTRX00083886"/>
    <n v="4402006"/>
    <n v="1"/>
    <n v="35"/>
    <s v=""/>
    <m/>
  </r>
  <r>
    <n v="2997813"/>
    <x v="24"/>
    <s v="06-10-002-000"/>
    <x v="0"/>
    <n v="335.68"/>
    <n v="0"/>
    <n v="335.68"/>
    <n v="10000"/>
    <n v="100"/>
    <s v="AMPM07"/>
    <x v="44"/>
    <s v="Energia-A07 -Feb"/>
    <s v="Compras"/>
    <s v="xmaltez"/>
    <s v="PMTRX00083886"/>
    <n v="4402007"/>
    <n v="1"/>
    <n v="7"/>
    <s v=""/>
    <m/>
  </r>
  <r>
    <n v="2997814"/>
    <x v="24"/>
    <s v="06-10-002-000"/>
    <x v="0"/>
    <n v="49712.51"/>
    <n v="0"/>
    <n v="49712.51"/>
    <n v="10000"/>
    <n v="100"/>
    <s v="AMPM02"/>
    <x v="28"/>
    <s v="Energia-A02-Feb"/>
    <s v="Compras"/>
    <s v="xmaltez"/>
    <s v="PMTRX00083886"/>
    <n v="4402008"/>
    <n v="1"/>
    <n v="2"/>
    <s v=""/>
    <m/>
  </r>
  <r>
    <n v="2997815"/>
    <x v="24"/>
    <s v="06-10-002-000"/>
    <x v="0"/>
    <n v="39693.449999999997"/>
    <n v="0"/>
    <n v="39693.449999999997"/>
    <n v="10000"/>
    <n v="100"/>
    <s v="AMPM15"/>
    <x v="1"/>
    <s v="Energia-A15-Feb"/>
    <s v="Compras"/>
    <s v="xmaltez"/>
    <s v="PMTRX00083886"/>
    <n v="4402009"/>
    <n v="1"/>
    <n v="15"/>
    <s v=""/>
    <m/>
  </r>
  <r>
    <n v="2997816"/>
    <x v="24"/>
    <s v="06-10-002-000"/>
    <x v="0"/>
    <n v="1012.12"/>
    <n v="0"/>
    <n v="1012.12"/>
    <n v="10000"/>
    <n v="100"/>
    <s v="AMPM15"/>
    <x v="1"/>
    <s v="Energia-A15 -Feb"/>
    <s v="Compras"/>
    <s v="xmaltez"/>
    <s v="PMTRX00083886"/>
    <n v="4402010"/>
    <n v="1"/>
    <n v="15"/>
    <s v=""/>
    <m/>
  </r>
  <r>
    <n v="2997817"/>
    <x v="24"/>
    <s v="06-10-002-000"/>
    <x v="0"/>
    <n v="305.14"/>
    <n v="0"/>
    <n v="305.14"/>
    <n v="10000"/>
    <n v="100"/>
    <s v="AMPM01"/>
    <x v="25"/>
    <s v="Energia-A01 -Feb"/>
    <s v="Compras"/>
    <s v="xmaltez"/>
    <s v="PMTRX00083886"/>
    <n v="4402011"/>
    <n v="1"/>
    <n v="1"/>
    <s v=""/>
    <m/>
  </r>
  <r>
    <n v="2997818"/>
    <x v="24"/>
    <s v="06-10-002-000"/>
    <x v="0"/>
    <n v="68505.3"/>
    <n v="0"/>
    <n v="68505.3"/>
    <n v="10000"/>
    <n v="100"/>
    <s v="AMPM07"/>
    <x v="44"/>
    <s v="Energia-A07-Feb"/>
    <s v="Compras"/>
    <s v="xmaltez"/>
    <s v="PMTRX00083886"/>
    <n v="4402012"/>
    <n v="1"/>
    <n v="7"/>
    <s v=""/>
    <m/>
  </r>
  <r>
    <n v="2997819"/>
    <x v="24"/>
    <s v="06-10-002-000"/>
    <x v="0"/>
    <n v="24332.41"/>
    <n v="0"/>
    <n v="24332.41"/>
    <n v="10000"/>
    <n v="100"/>
    <s v="AMPM08"/>
    <x v="47"/>
    <s v="Energia-A08-Feb"/>
    <s v="Compras"/>
    <s v="xmaltez"/>
    <s v="PMTRX00083886"/>
    <n v="4402013"/>
    <n v="1"/>
    <n v="8"/>
    <s v=""/>
    <m/>
  </r>
  <r>
    <n v="2997820"/>
    <x v="24"/>
    <s v="06-10-002-000"/>
    <x v="0"/>
    <n v="29615.919999999998"/>
    <n v="0"/>
    <n v="29615.919999999998"/>
    <n v="10000"/>
    <n v="100"/>
    <s v="AMPM08"/>
    <x v="47"/>
    <s v="Energia-A08-Feb"/>
    <s v="Compras"/>
    <s v="xmaltez"/>
    <s v="PMTRX00083886"/>
    <n v="4402014"/>
    <n v="1"/>
    <n v="8"/>
    <s v=""/>
    <m/>
  </r>
  <r>
    <n v="2997821"/>
    <x v="24"/>
    <s v="06-10-002-000"/>
    <x v="0"/>
    <n v="49445.51"/>
    <n v="0"/>
    <n v="49445.51"/>
    <n v="10000"/>
    <n v="100"/>
    <s v="AMPM69"/>
    <x v="30"/>
    <s v="Energia-A69-Feb"/>
    <s v="Compras"/>
    <s v="xmaltez"/>
    <s v="PMTRX00083886"/>
    <n v="4402015"/>
    <n v="1"/>
    <n v="85"/>
    <s v=""/>
    <m/>
  </r>
  <r>
    <n v="2997822"/>
    <x v="24"/>
    <s v="06-10-002-000"/>
    <x v="0"/>
    <n v="37611.589999999997"/>
    <n v="0"/>
    <n v="37611.589999999997"/>
    <n v="10000"/>
    <n v="100"/>
    <s v="AMPM35"/>
    <x v="14"/>
    <s v="Energia-A35-Feb"/>
    <s v="Compras"/>
    <s v="xmaltez"/>
    <s v="PMTRX00083886"/>
    <n v="4402016"/>
    <n v="1"/>
    <n v="43"/>
    <s v=""/>
    <m/>
  </r>
  <r>
    <n v="2997823"/>
    <x v="24"/>
    <s v="06-10-002-000"/>
    <x v="0"/>
    <n v="56098.11"/>
    <n v="0"/>
    <n v="56098.11"/>
    <n v="10000"/>
    <n v="100"/>
    <s v="AMPM74"/>
    <x v="40"/>
    <s v="Energia-A74-Feb"/>
    <s v="Compras"/>
    <s v="xmaltez"/>
    <s v="PMTRX00083886"/>
    <n v="4402017"/>
    <n v="1"/>
    <n v="90"/>
    <s v=""/>
    <m/>
  </r>
  <r>
    <n v="2997824"/>
    <x v="24"/>
    <s v="06-10-002-000"/>
    <x v="0"/>
    <n v="195.21"/>
    <n v="0"/>
    <n v="195.21"/>
    <n v="10000"/>
    <n v="100"/>
    <s v="AMPM29"/>
    <x v="58"/>
    <s v="Energia-A29 -Feb"/>
    <s v="Compras"/>
    <s v="xmaltez"/>
    <s v="PMTRX00083886"/>
    <n v="4402018"/>
    <n v="1"/>
    <n v="36"/>
    <s v=""/>
    <m/>
  </r>
  <r>
    <n v="2997825"/>
    <x v="24"/>
    <s v="06-10-002-000"/>
    <x v="0"/>
    <n v="58832.72"/>
    <n v="0"/>
    <n v="58832.72"/>
    <n v="10000"/>
    <n v="100"/>
    <s v="AMPM29"/>
    <x v="58"/>
    <s v="Energia-A29-Feb"/>
    <s v="Compras"/>
    <s v="xmaltez"/>
    <s v="PMTRX00083886"/>
    <n v="4402019"/>
    <n v="1"/>
    <n v="36"/>
    <s v=""/>
    <m/>
  </r>
  <r>
    <n v="2997826"/>
    <x v="24"/>
    <s v="06-10-002-000"/>
    <x v="0"/>
    <n v="37124.239999999998"/>
    <n v="0"/>
    <n v="37124.239999999998"/>
    <n v="10000"/>
    <n v="100"/>
    <s v="MONITOREO"/>
    <x v="63"/>
    <s v="Energia-MONI-Feb"/>
    <s v="Compras"/>
    <s v="xmaltez"/>
    <s v="PMTRX00083886"/>
    <n v="4402020"/>
    <n v="1"/>
    <n v="30"/>
    <s v=""/>
    <m/>
  </r>
  <r>
    <n v="2997827"/>
    <x v="24"/>
    <s v="06-10-002-000"/>
    <x v="0"/>
    <n v="53091.53"/>
    <n v="0"/>
    <n v="53091.53"/>
    <n v="10000"/>
    <n v="100"/>
    <s v="AMPM04"/>
    <x v="26"/>
    <s v="Energia-A04-Feb"/>
    <s v="Compras"/>
    <s v="xmaltez"/>
    <s v="PMTRX00083886"/>
    <n v="4402021"/>
    <n v="1"/>
    <n v="4"/>
    <s v=""/>
    <m/>
  </r>
  <r>
    <n v="2997828"/>
    <x v="24"/>
    <s v="06-10-002-000"/>
    <x v="0"/>
    <n v="70724.070000000007"/>
    <n v="0"/>
    <n v="70724.070000000007"/>
    <n v="10000"/>
    <n v="100"/>
    <s v="AMPM06"/>
    <x v="13"/>
    <s v="Energia-A06-Feb"/>
    <s v="Compras"/>
    <s v="xmaltez"/>
    <s v="PMTRX00083886"/>
    <n v="4402022"/>
    <n v="1"/>
    <n v="6"/>
    <s v=""/>
    <m/>
  </r>
  <r>
    <n v="2997829"/>
    <x v="24"/>
    <s v="06-10-002-000"/>
    <x v="0"/>
    <n v="57948.04"/>
    <n v="0"/>
    <n v="57948.04"/>
    <n v="10000"/>
    <n v="100"/>
    <s v="AMPM16"/>
    <x v="43"/>
    <s v="Energia-A16-Feb"/>
    <s v="Compras"/>
    <s v="xmaltez"/>
    <s v="PMTRX00083886"/>
    <n v="4402023"/>
    <n v="1"/>
    <n v="16"/>
    <s v=""/>
    <m/>
  </r>
  <r>
    <n v="2997830"/>
    <x v="24"/>
    <s v="06-10-002-000"/>
    <x v="0"/>
    <n v="2285.27"/>
    <n v="0"/>
    <n v="2285.27"/>
    <n v="10000"/>
    <n v="100"/>
    <s v="AMPM38"/>
    <x v="41"/>
    <s v="Energia-A38 -Feb"/>
    <s v="Compras"/>
    <s v="xmaltez"/>
    <s v="PMTRX00083886"/>
    <n v="4402024"/>
    <n v="1"/>
    <n v="47"/>
    <s v=""/>
    <m/>
  </r>
  <r>
    <n v="2997831"/>
    <x v="24"/>
    <s v="06-10-002-000"/>
    <x v="0"/>
    <n v="68970.23"/>
    <n v="0"/>
    <n v="68970.23"/>
    <n v="10000"/>
    <n v="100"/>
    <s v="AMPM79"/>
    <x v="82"/>
    <s v="Energia-A79-Feb"/>
    <s v="Compras"/>
    <s v="xmaltez"/>
    <s v="PMTRX00083886"/>
    <n v="4402025"/>
    <n v="1"/>
    <n v="95"/>
    <s v=""/>
    <m/>
  </r>
  <r>
    <n v="2997832"/>
    <x v="24"/>
    <s v="06-10-002-000"/>
    <x v="0"/>
    <n v="79197.78"/>
    <n v="0"/>
    <n v="79197.78"/>
    <n v="10000"/>
    <n v="100"/>
    <s v="AMPM65"/>
    <x v="78"/>
    <s v="Energia-A65-Feb"/>
    <s v="Compras"/>
    <s v="xmaltez"/>
    <s v="PMTRX00083886"/>
    <n v="4402026"/>
    <n v="1"/>
    <n v="81"/>
    <s v=""/>
    <m/>
  </r>
  <r>
    <n v="2997833"/>
    <x v="24"/>
    <s v="06-10-002-000"/>
    <x v="0"/>
    <n v="61854"/>
    <n v="0"/>
    <n v="61854"/>
    <n v="10000"/>
    <n v="100"/>
    <s v="AMPM81"/>
    <x v="83"/>
    <s v="Energia-A81-Feb"/>
    <s v="Compras"/>
    <s v="xmaltez"/>
    <s v="PMTRX00083886"/>
    <n v="4402027"/>
    <n v="1"/>
    <n v="99"/>
    <s v=""/>
    <m/>
  </r>
  <r>
    <n v="2997834"/>
    <x v="24"/>
    <s v="06-10-002-000"/>
    <x v="0"/>
    <n v="67834.63"/>
    <n v="0"/>
    <n v="67834.63"/>
    <n v="10000"/>
    <n v="100"/>
    <s v="AMPM38"/>
    <x v="41"/>
    <s v="Energia-A38-Feb"/>
    <s v="Compras"/>
    <s v="xmaltez"/>
    <s v="PMTRX00083886"/>
    <n v="4402028"/>
    <n v="1"/>
    <n v="47"/>
    <s v=""/>
    <m/>
  </r>
  <r>
    <n v="2997835"/>
    <x v="24"/>
    <s v="06-10-002-000"/>
    <x v="0"/>
    <n v="4679.8100000000004"/>
    <n v="0"/>
    <n v="4679.8100000000004"/>
    <n v="10000"/>
    <n v="100"/>
    <s v="AMPM18"/>
    <x v="55"/>
    <s v="Energia-A18 -Feb"/>
    <s v="Compras"/>
    <s v="xmaltez"/>
    <s v="PMTRX00083886"/>
    <n v="4402029"/>
    <n v="1"/>
    <n v="18"/>
    <s v=""/>
    <m/>
  </r>
  <r>
    <n v="2997836"/>
    <x v="24"/>
    <s v="06-10-002-000"/>
    <x v="0"/>
    <n v="2148.3000000000002"/>
    <n v="0"/>
    <n v="2148.3000000000002"/>
    <n v="10000"/>
    <n v="100"/>
    <s v="AMPM45"/>
    <x v="68"/>
    <s v="Energia-A45 -Feb"/>
    <s v="Compras"/>
    <s v="xmaltez"/>
    <s v="PMTRX00083886"/>
    <n v="4402030"/>
    <n v="1"/>
    <n v="59"/>
    <s v=""/>
    <m/>
  </r>
  <r>
    <n v="2997837"/>
    <x v="24"/>
    <s v="06-10-002-000"/>
    <x v="0"/>
    <n v="45535.3"/>
    <n v="0"/>
    <n v="45535.3"/>
    <n v="10000"/>
    <n v="100"/>
    <s v="AMPM39"/>
    <x v="31"/>
    <s v="Energia-A39-Feb"/>
    <s v="Compras"/>
    <s v="xmaltez"/>
    <s v="PMTRX00083886"/>
    <n v="4402031"/>
    <n v="1"/>
    <n v="48"/>
    <s v=""/>
    <m/>
  </r>
  <r>
    <n v="2997838"/>
    <x v="24"/>
    <s v="06-10-002-000"/>
    <x v="0"/>
    <n v="56924.6"/>
    <n v="0"/>
    <n v="56924.6"/>
    <n v="10000"/>
    <n v="100"/>
    <s v="AMPM32"/>
    <x v="65"/>
    <s v="Energia-A32-Feb"/>
    <s v="Compras"/>
    <s v="xmaltez"/>
    <s v="PMTRX00083886"/>
    <n v="4402032"/>
    <n v="1"/>
    <n v="40"/>
    <s v=""/>
    <m/>
  </r>
  <r>
    <n v="2997839"/>
    <x v="24"/>
    <s v="06-10-002-000"/>
    <x v="0"/>
    <n v="61322.33"/>
    <n v="0"/>
    <n v="61322.33"/>
    <n v="10000"/>
    <n v="100"/>
    <s v="AMPM71"/>
    <x v="52"/>
    <s v="Energia-A71-Feb"/>
    <s v="Compras"/>
    <s v="xmaltez"/>
    <s v="PMTRX00083886"/>
    <n v="4402033"/>
    <n v="1"/>
    <n v="86"/>
    <s v=""/>
    <m/>
  </r>
  <r>
    <n v="2997840"/>
    <x v="24"/>
    <s v="06-10-002-000"/>
    <x v="0"/>
    <n v="61043.44"/>
    <n v="0"/>
    <n v="61043.44"/>
    <n v="10000"/>
    <n v="100"/>
    <s v="AMPM82"/>
    <x v="84"/>
    <s v="Energia-A82-Feb"/>
    <s v="Compras"/>
    <s v="xmaltez"/>
    <s v="PMTRX00083886"/>
    <n v="4402034"/>
    <n v="1"/>
    <n v="96"/>
    <s v=""/>
    <m/>
  </r>
  <r>
    <n v="2997841"/>
    <x v="24"/>
    <s v="06-10-002-000"/>
    <x v="0"/>
    <n v="68629.259999999995"/>
    <n v="0"/>
    <n v="68629.259999999995"/>
    <n v="10000"/>
    <n v="100"/>
    <s v="AMPM54"/>
    <x v="18"/>
    <s v="Energia-A54-Feb"/>
    <s v="Compras"/>
    <s v="xmaltez"/>
    <s v="PMTRX00083886"/>
    <n v="4402035"/>
    <n v="1"/>
    <n v="70"/>
    <s v=""/>
    <m/>
  </r>
  <r>
    <n v="2997842"/>
    <x v="24"/>
    <s v="06-10-002-000"/>
    <x v="0"/>
    <n v="62440.25"/>
    <n v="0"/>
    <n v="62440.25"/>
    <n v="10000"/>
    <n v="100"/>
    <s v="AMPM51"/>
    <x v="71"/>
    <s v="Energia-A51-Feb"/>
    <s v="Compras"/>
    <s v="xmaltez"/>
    <s v="PMTRX00083886"/>
    <n v="4402036"/>
    <n v="1"/>
    <n v="65"/>
    <s v=""/>
    <m/>
  </r>
  <r>
    <n v="2997843"/>
    <x v="24"/>
    <s v="06-10-002-000"/>
    <x v="0"/>
    <n v="2558.6"/>
    <n v="0"/>
    <n v="2558.6"/>
    <n v="10000"/>
    <n v="100"/>
    <s v="AMPM51"/>
    <x v="71"/>
    <s v="Energia-A51 -Feb"/>
    <s v="Compras"/>
    <s v="xmaltez"/>
    <s v="PMTRX00083886"/>
    <n v="4402037"/>
    <n v="1"/>
    <n v="65"/>
    <s v=""/>
    <m/>
  </r>
  <r>
    <n v="2997844"/>
    <x v="24"/>
    <s v="06-10-002-000"/>
    <x v="0"/>
    <n v="56630.9"/>
    <n v="0"/>
    <n v="56630.9"/>
    <n v="10000"/>
    <n v="100"/>
    <s v="AMPM25"/>
    <x v="62"/>
    <s v="Energia-A25-Feb"/>
    <s v="Compras"/>
    <s v="xmaltez"/>
    <s v="PMTRX00083886"/>
    <n v="4402038"/>
    <n v="1"/>
    <n v="25"/>
    <s v=""/>
    <m/>
  </r>
  <r>
    <n v="2997845"/>
    <x v="24"/>
    <s v="06-10-002-000"/>
    <x v="0"/>
    <n v="59575.98"/>
    <n v="0"/>
    <n v="59575.98"/>
    <n v="10000"/>
    <n v="100"/>
    <s v="AMPM63"/>
    <x v="32"/>
    <s v="Energia-A63-Feb"/>
    <s v="Compras"/>
    <s v="xmaltez"/>
    <s v="PMTRX00083886"/>
    <n v="4402039"/>
    <n v="1"/>
    <n v="79"/>
    <s v=""/>
    <m/>
  </r>
  <r>
    <n v="2997846"/>
    <x v="24"/>
    <s v="06-10-002-000"/>
    <x v="0"/>
    <n v="72878.81"/>
    <n v="0"/>
    <n v="72878.81"/>
    <n v="10000"/>
    <n v="100"/>
    <s v="AMPM33"/>
    <x v="11"/>
    <s v="Energia-A33-Feb"/>
    <s v="Compras"/>
    <s v="xmaltez"/>
    <s v="PMTRX00083886"/>
    <n v="4402040"/>
    <n v="1"/>
    <n v="39"/>
    <s v=""/>
    <m/>
  </r>
  <r>
    <n v="2997847"/>
    <x v="24"/>
    <s v="06-10-002-000"/>
    <x v="0"/>
    <n v="57838.74"/>
    <n v="0"/>
    <n v="57838.74"/>
    <n v="10000"/>
    <n v="100"/>
    <s v="AMPM41"/>
    <x v="24"/>
    <s v="Energia-A41-Feb"/>
    <s v="Compras"/>
    <s v="xmaltez"/>
    <s v="PMTRX00083886"/>
    <n v="4402041"/>
    <n v="1"/>
    <n v="50"/>
    <s v=""/>
    <m/>
  </r>
  <r>
    <n v="2997848"/>
    <x v="24"/>
    <s v="06-10-002-000"/>
    <x v="0"/>
    <n v="65529.93"/>
    <n v="0"/>
    <n v="65529.93"/>
    <n v="10000"/>
    <n v="100"/>
    <s v="AMPM78"/>
    <x v="81"/>
    <s v="Energia-A78-Feb"/>
    <s v="Compras"/>
    <s v="xmaltez"/>
    <s v="PMTRX00083886"/>
    <n v="4402042"/>
    <n v="1"/>
    <n v="94"/>
    <s v=""/>
    <m/>
  </r>
  <r>
    <n v="2997849"/>
    <x v="24"/>
    <s v="06-10-002-000"/>
    <x v="0"/>
    <n v="56971.28"/>
    <n v="0"/>
    <n v="56971.28"/>
    <n v="10000"/>
    <n v="100"/>
    <s v="AMPM61"/>
    <x v="75"/>
    <s v="Energia-A61-Feb"/>
    <s v="Compras"/>
    <s v="xmaltez"/>
    <s v="PMTRX00083886"/>
    <n v="4402043"/>
    <n v="1"/>
    <n v="77"/>
    <s v=""/>
    <m/>
  </r>
  <r>
    <n v="2997850"/>
    <x v="24"/>
    <s v="06-10-002-000"/>
    <x v="0"/>
    <n v="53815.59"/>
    <n v="0"/>
    <n v="53815.59"/>
    <n v="10000"/>
    <n v="100"/>
    <s v="AMPM75"/>
    <x v="36"/>
    <s v="Energia-A75-Feb"/>
    <s v="Compras"/>
    <s v="xmaltez"/>
    <s v="PMTRX00083886"/>
    <n v="4402044"/>
    <n v="1"/>
    <n v="91"/>
    <s v=""/>
    <m/>
  </r>
  <r>
    <n v="2997851"/>
    <x v="24"/>
    <s v="06-10-002-000"/>
    <x v="0"/>
    <n v="66810.64"/>
    <n v="0"/>
    <n v="66810.64"/>
    <n v="10000"/>
    <n v="100"/>
    <s v="AMPM30"/>
    <x v="39"/>
    <s v="Energia-A30-Feb"/>
    <s v="Compras"/>
    <s v="xmaltez"/>
    <s v="PMTRX00083886"/>
    <n v="4402045"/>
    <n v="1"/>
    <n v="37"/>
    <s v=""/>
    <m/>
  </r>
  <r>
    <n v="2997852"/>
    <x v="24"/>
    <s v="06-10-002-000"/>
    <x v="0"/>
    <n v="50087.26"/>
    <n v="0"/>
    <n v="50087.26"/>
    <n v="10000"/>
    <n v="100"/>
    <s v="AMPM84"/>
    <x v="29"/>
    <s v="Energia-A84-Feb"/>
    <s v="Compras"/>
    <s v="xmaltez"/>
    <s v="PMTRX00083886"/>
    <n v="4402046"/>
    <n v="1"/>
    <n v="100"/>
    <s v=""/>
    <m/>
  </r>
  <r>
    <n v="2997853"/>
    <x v="24"/>
    <s v="06-10-002-000"/>
    <x v="0"/>
    <n v="66960.350000000006"/>
    <n v="0"/>
    <n v="66960.350000000006"/>
    <n v="10000"/>
    <n v="100"/>
    <s v="AMPM27"/>
    <x v="8"/>
    <s v="Energia-A27-Feb"/>
    <s v="Compras"/>
    <s v="xmaltez"/>
    <s v="PMTRX00083886"/>
    <n v="4402047"/>
    <n v="1"/>
    <n v="34"/>
    <s v=""/>
    <m/>
  </r>
  <r>
    <n v="2997854"/>
    <x v="24"/>
    <s v="06-10-002-000"/>
    <x v="0"/>
    <n v="2407.7199999999998"/>
    <n v="0"/>
    <n v="2407.7199999999998"/>
    <n v="10000"/>
    <n v="100"/>
    <s v="AMPM27"/>
    <x v="8"/>
    <s v="Energia-A27 -Feb"/>
    <s v="Compras"/>
    <s v="xmaltez"/>
    <s v="PMTRX00083886"/>
    <n v="4402048"/>
    <n v="1"/>
    <n v="34"/>
    <s v=""/>
    <m/>
  </r>
  <r>
    <n v="2997855"/>
    <x v="24"/>
    <s v="06-10-002-000"/>
    <x v="0"/>
    <n v="54631.88"/>
    <n v="0"/>
    <n v="54631.88"/>
    <n v="10000"/>
    <n v="100"/>
    <s v="AMPM10"/>
    <x v="45"/>
    <s v="Energia-A10-Feb"/>
    <s v="Compras"/>
    <s v="xmaltez"/>
    <s v="PMTRX00083886"/>
    <n v="4402049"/>
    <n v="1"/>
    <n v="10"/>
    <s v=""/>
    <m/>
  </r>
  <r>
    <n v="2997856"/>
    <x v="24"/>
    <s v="06-10-002-000"/>
    <x v="0"/>
    <n v="45295.09"/>
    <n v="0"/>
    <n v="45295.09"/>
    <n v="10000"/>
    <n v="100"/>
    <s v="AMPM52"/>
    <x v="16"/>
    <s v="Energia-A52-Feb"/>
    <s v="Compras"/>
    <s v="xmaltez"/>
    <s v="PMTRX00083886"/>
    <n v="4402050"/>
    <n v="1"/>
    <n v="66"/>
    <s v=""/>
    <m/>
  </r>
  <r>
    <n v="2997857"/>
    <x v="24"/>
    <s v="06-10-002-000"/>
    <x v="0"/>
    <n v="57027.49"/>
    <n v="0"/>
    <n v="57027.49"/>
    <n v="10000"/>
    <n v="100"/>
    <s v="AMPM19"/>
    <x v="56"/>
    <s v="Energia-A19-Feb"/>
    <s v="Compras"/>
    <s v="xmaltez"/>
    <s v="PMTRX00083886"/>
    <n v="4402051"/>
    <n v="1"/>
    <n v="19"/>
    <s v=""/>
    <m/>
  </r>
  <r>
    <n v="2997858"/>
    <x v="24"/>
    <s v="06-10-002-000"/>
    <x v="0"/>
    <n v="61579.61"/>
    <n v="0"/>
    <n v="61579.61"/>
    <n v="10000"/>
    <n v="100"/>
    <s v="AMPM73"/>
    <x v="17"/>
    <s v="Energia-A73-Feb"/>
    <s v="Compras"/>
    <s v="xmaltez"/>
    <s v="PMTRX00083886"/>
    <n v="4402052"/>
    <n v="1"/>
    <n v="89"/>
    <s v=""/>
    <m/>
  </r>
  <r>
    <n v="2997859"/>
    <x v="24"/>
    <s v="06-10-002-000"/>
    <x v="0"/>
    <n v="40898.35"/>
    <n v="0"/>
    <n v="40898.35"/>
    <n v="10000"/>
    <n v="100"/>
    <s v="AMPM01"/>
    <x v="25"/>
    <s v="Energia-A01-Feb"/>
    <s v="Compras"/>
    <s v="xmaltez"/>
    <s v="PMTRX00083886"/>
    <n v="4402053"/>
    <n v="1"/>
    <n v="1"/>
    <s v=""/>
    <m/>
  </r>
  <r>
    <n v="2997860"/>
    <x v="24"/>
    <s v="06-10-002-000"/>
    <x v="0"/>
    <n v="58007.25"/>
    <n v="0"/>
    <n v="58007.25"/>
    <n v="10000"/>
    <n v="100"/>
    <s v="AMPM20"/>
    <x v="57"/>
    <s v="Energia-A20-Feb"/>
    <s v="Compras"/>
    <s v="xmaltez"/>
    <s v="PMTRX00083886"/>
    <n v="4402054"/>
    <n v="1"/>
    <n v="20"/>
    <s v=""/>
    <m/>
  </r>
  <r>
    <n v="2997861"/>
    <x v="24"/>
    <s v="06-10-002-000"/>
    <x v="0"/>
    <n v="56247.34"/>
    <n v="0"/>
    <n v="56247.34"/>
    <n v="10000"/>
    <n v="100"/>
    <s v="AMPM89"/>
    <x v="87"/>
    <s v="Energia-A89-Feb"/>
    <s v="Compras"/>
    <s v="xmaltez"/>
    <s v="PMTRX00083886"/>
    <n v="4402055"/>
    <n v="1"/>
    <n v="105"/>
    <s v=""/>
    <m/>
  </r>
  <r>
    <n v="2997862"/>
    <x v="24"/>
    <s v="06-10-002-000"/>
    <x v="0"/>
    <n v="49014.28"/>
    <n v="0"/>
    <n v="49014.28"/>
    <n v="10000"/>
    <n v="100"/>
    <s v="AMPM37"/>
    <x v="49"/>
    <s v="Energia-A37-Feb"/>
    <s v="Compras"/>
    <s v="xmaltez"/>
    <s v="PMTRX00083886"/>
    <n v="4402056"/>
    <n v="1"/>
    <n v="42"/>
    <s v=""/>
    <m/>
  </r>
  <r>
    <n v="2997863"/>
    <x v="24"/>
    <s v="06-10-002-000"/>
    <x v="0"/>
    <n v="81194.570000000007"/>
    <n v="0"/>
    <n v="81194.570000000007"/>
    <n v="10000"/>
    <n v="100"/>
    <s v="AMPM34"/>
    <x v="85"/>
    <s v="Energia-A34-Feb"/>
    <s v="Compras"/>
    <s v="xmaltez"/>
    <s v="PMTRX00083886"/>
    <n v="4402057"/>
    <n v="1"/>
    <n v="41"/>
    <s v=""/>
    <m/>
  </r>
  <r>
    <n v="2997864"/>
    <x v="24"/>
    <s v="06-10-002-000"/>
    <x v="0"/>
    <n v="3425.6"/>
    <n v="0"/>
    <n v="3425.6"/>
    <n v="10000"/>
    <n v="100"/>
    <s v="AMPM01"/>
    <x v="25"/>
    <s v="Energia-A01 -Feb"/>
    <s v="Compras"/>
    <s v="xmaltez"/>
    <s v="PMTRX00083886"/>
    <n v="4402058"/>
    <n v="1"/>
    <n v="1"/>
    <s v=""/>
    <m/>
  </r>
  <r>
    <n v="2997865"/>
    <x v="24"/>
    <s v="06-10-002-000"/>
    <x v="0"/>
    <n v="54875.06"/>
    <n v="0"/>
    <n v="54875.06"/>
    <n v="10000"/>
    <n v="100"/>
    <s v="AMPM49"/>
    <x v="72"/>
    <s v="Energia-A49-Feb"/>
    <s v="Compras"/>
    <s v="xmaltez"/>
    <s v="PMTRX00083886"/>
    <n v="4402059"/>
    <n v="1"/>
    <n v="63"/>
    <s v=""/>
    <m/>
  </r>
  <r>
    <n v="2997866"/>
    <x v="24"/>
    <s v="06-10-002-000"/>
    <x v="0"/>
    <n v="36.409999999999997"/>
    <n v="0"/>
    <n v="36.409999999999997"/>
    <n v="10000"/>
    <n v="100"/>
    <s v="AMPM49"/>
    <x v="72"/>
    <s v="Energia-A49 -Feb"/>
    <s v="Compras"/>
    <s v="xmaltez"/>
    <s v="PMTRX00083886"/>
    <n v="4402060"/>
    <n v="1"/>
    <n v="63"/>
    <s v=""/>
    <m/>
  </r>
  <r>
    <n v="2997867"/>
    <x v="24"/>
    <s v="06-10-002-000"/>
    <x v="0"/>
    <n v="48128.75"/>
    <n v="0"/>
    <n v="48128.75"/>
    <n v="10000"/>
    <n v="100"/>
    <s v="AMPM43"/>
    <x v="35"/>
    <s v="Energia-A43-Feb"/>
    <s v="Compras"/>
    <s v="xmaltez"/>
    <s v="PMTRX00083886"/>
    <n v="4402061"/>
    <n v="1"/>
    <n v="58"/>
    <s v=""/>
    <m/>
  </r>
  <r>
    <n v="2997868"/>
    <x v="24"/>
    <s v="06-10-002-000"/>
    <x v="0"/>
    <n v="47751.09"/>
    <n v="0"/>
    <n v="47751.09"/>
    <n v="10000"/>
    <n v="100"/>
    <s v="AMPM86"/>
    <x v="88"/>
    <s v="Energia-A86-Feb"/>
    <s v="Compras"/>
    <s v="xmaltez"/>
    <s v="PMTRX00083886"/>
    <n v="4402062"/>
    <n v="1"/>
    <n v="104"/>
    <s v=""/>
    <m/>
  </r>
  <r>
    <n v="2997869"/>
    <x v="24"/>
    <s v="06-10-002-000"/>
    <x v="0"/>
    <n v="21804.49"/>
    <n v="0"/>
    <n v="21804.49"/>
    <n v="10000"/>
    <n v="100"/>
    <s v="AMPM99"/>
    <x v="73"/>
    <s v="Energia-CEDI-Feb"/>
    <s v="Compras"/>
    <s v="xmaltez"/>
    <s v="PMTRX00083886"/>
    <n v="4402063"/>
    <n v="1"/>
    <n v="33"/>
    <s v=""/>
    <m/>
  </r>
  <r>
    <n v="2997870"/>
    <x v="24"/>
    <s v="06-10-002-000"/>
    <x v="0"/>
    <n v="68556.98"/>
    <n v="0"/>
    <n v="68556.98"/>
    <n v="10000"/>
    <n v="100"/>
    <s v="AMPM12"/>
    <x v="51"/>
    <s v="Energia-A12-Feb"/>
    <s v="Compras"/>
    <s v="xmaltez"/>
    <s v="PMTRX00083886"/>
    <n v="4402064"/>
    <n v="1"/>
    <n v="12"/>
    <s v=""/>
    <m/>
  </r>
  <r>
    <n v="2997871"/>
    <x v="24"/>
    <s v="06-10-002-000"/>
    <x v="0"/>
    <n v="9219.61"/>
    <n v="0"/>
    <n v="9219.61"/>
    <n v="10000"/>
    <n v="100"/>
    <s v="AMPM14"/>
    <x v="53"/>
    <s v="Energia-A14-Feb"/>
    <s v="Compras"/>
    <s v="xmaltez"/>
    <s v="PMTRX00083886"/>
    <n v="4402065"/>
    <n v="1"/>
    <n v="14"/>
    <s v=""/>
    <m/>
  </r>
  <r>
    <n v="2997872"/>
    <x v="24"/>
    <s v="06-10-002-000"/>
    <x v="0"/>
    <n v="1065.99"/>
    <n v="0"/>
    <n v="1065.99"/>
    <n v="10000"/>
    <n v="100"/>
    <s v="AMPM14"/>
    <x v="53"/>
    <s v="Energia-A14 -Feb"/>
    <s v="Compras"/>
    <s v="xmaltez"/>
    <s v="PMTRX00083886"/>
    <n v="4402066"/>
    <n v="1"/>
    <n v="14"/>
    <s v=""/>
    <m/>
  </r>
  <r>
    <n v="2997873"/>
    <x v="24"/>
    <s v="06-10-002-000"/>
    <x v="0"/>
    <n v="60434.85"/>
    <n v="0"/>
    <n v="60434.85"/>
    <n v="10000"/>
    <n v="100"/>
    <s v="AMPM03"/>
    <x v="61"/>
    <s v="Energia-A03-Feb"/>
    <s v="Compras"/>
    <s v="xmaltez"/>
    <s v="PMTRX00083886"/>
    <n v="4402067"/>
    <n v="1"/>
    <n v="3"/>
    <s v=""/>
    <m/>
  </r>
  <r>
    <n v="2997874"/>
    <x v="24"/>
    <s v="06-10-002-000"/>
    <x v="0"/>
    <n v="50806.59"/>
    <n v="0"/>
    <n v="50806.59"/>
    <n v="10000"/>
    <n v="100"/>
    <s v="AMPM85"/>
    <x v="86"/>
    <s v="Energia-A85-Feb"/>
    <s v="Compras"/>
    <s v="xmaltez"/>
    <s v="PMTRX00083886"/>
    <n v="4402068"/>
    <n v="1"/>
    <n v="101"/>
    <s v=""/>
    <m/>
  </r>
  <r>
    <n v="2997875"/>
    <x v="24"/>
    <s v="06-10-002-000"/>
    <x v="0"/>
    <n v="54636.24"/>
    <n v="0"/>
    <n v="54636.24"/>
    <n v="10000"/>
    <n v="100"/>
    <s v="AMPM83"/>
    <x v="15"/>
    <s v="Energia-A83-Feb"/>
    <s v="Compras"/>
    <s v="xmaltez"/>
    <s v="PMTRX00083886"/>
    <n v="4402069"/>
    <n v="1"/>
    <n v="97"/>
    <s v=""/>
    <m/>
  </r>
  <r>
    <n v="2997876"/>
    <x v="24"/>
    <s v="06-10-002-000"/>
    <x v="0"/>
    <n v="11463.9"/>
    <n v="0"/>
    <n v="11463.9"/>
    <n v="10000"/>
    <n v="100"/>
    <s v="ADMON"/>
    <x v="48"/>
    <s v="Energia-ADMON-Feb"/>
    <s v="Compras"/>
    <s v="xmaltez"/>
    <s v="PMTRX00083886"/>
    <n v="4402070"/>
    <n v="1"/>
    <n v="27"/>
    <s v=""/>
    <m/>
  </r>
  <r>
    <n v="2997877"/>
    <x v="24"/>
    <s v="06-10-002-000"/>
    <x v="0"/>
    <n v="10304.56"/>
    <n v="0"/>
    <n v="10304.56"/>
    <n v="10000"/>
    <n v="100"/>
    <s v="ADMON"/>
    <x v="48"/>
    <s v="Energia-ADMON-Feb"/>
    <s v="Compras"/>
    <s v="xmaltez"/>
    <s v="PMTRX00083886"/>
    <n v="4402071"/>
    <n v="1"/>
    <n v="27"/>
    <s v=""/>
    <m/>
  </r>
  <r>
    <n v="2997878"/>
    <x v="24"/>
    <s v="06-10-002-000"/>
    <x v="0"/>
    <n v="20643.95"/>
    <n v="0"/>
    <n v="20643.95"/>
    <n v="10000"/>
    <n v="100"/>
    <s v="ADMON"/>
    <x v="48"/>
    <s v="Energia-ADMON-Feb"/>
    <s v="Compras"/>
    <s v="xmaltez"/>
    <s v="PMTRX00083886"/>
    <n v="4402072"/>
    <n v="1"/>
    <n v="27"/>
    <s v=""/>
    <m/>
  </r>
  <r>
    <n v="2997879"/>
    <x v="24"/>
    <s v="06-10-002-000"/>
    <x v="0"/>
    <n v="10653.38"/>
    <n v="0"/>
    <n v="10653.38"/>
    <n v="10000"/>
    <n v="100"/>
    <s v="ADMON"/>
    <x v="48"/>
    <s v="Energia-ADMON-Feb"/>
    <s v="Compras"/>
    <s v="xmaltez"/>
    <s v="PMTRX00083886"/>
    <n v="4402073"/>
    <n v="1"/>
    <n v="27"/>
    <s v=""/>
    <m/>
  </r>
  <r>
    <n v="2997880"/>
    <x v="24"/>
    <s v="06-10-002-000"/>
    <x v="0"/>
    <n v="62922.74"/>
    <n v="0"/>
    <n v="62922.74"/>
    <n v="10000"/>
    <n v="100"/>
    <s v="AMPM45"/>
    <x v="68"/>
    <s v="Energia-A45-Feb"/>
    <s v="Compras"/>
    <s v="xmaltez"/>
    <s v="PMTRX00083886"/>
    <n v="4402074"/>
    <n v="1"/>
    <n v="59"/>
    <s v=""/>
    <m/>
  </r>
  <r>
    <n v="2997881"/>
    <x v="24"/>
    <s v="06-10-002-000"/>
    <x v="0"/>
    <n v="2188.8200000000002"/>
    <n v="0"/>
    <n v="2188.8200000000002"/>
    <n v="10000"/>
    <n v="100"/>
    <s v="AMPM40"/>
    <x v="67"/>
    <s v="Energia-A40 -Feb"/>
    <s v="Compras"/>
    <s v="xmaltez"/>
    <s v="PMTRX00083886"/>
    <n v="4402075"/>
    <n v="1"/>
    <n v="49"/>
    <s v=""/>
    <m/>
  </r>
  <r>
    <n v="2997882"/>
    <x v="24"/>
    <s v="06-10-002-000"/>
    <x v="0"/>
    <n v="60424.12"/>
    <n v="0"/>
    <n v="60424.12"/>
    <n v="10000"/>
    <n v="100"/>
    <s v="AMPM60"/>
    <x v="76"/>
    <s v="Energia-A60-Feb"/>
    <s v="Compras"/>
    <s v="xmaltez"/>
    <s v="PMTRX00083886"/>
    <n v="4402076"/>
    <n v="1"/>
    <n v="76"/>
    <s v=""/>
    <m/>
  </r>
  <r>
    <n v="2997883"/>
    <x v="24"/>
    <s v="06-10-002-000"/>
    <x v="0"/>
    <n v="59294.22"/>
    <n v="0"/>
    <n v="59294.22"/>
    <n v="10000"/>
    <n v="100"/>
    <s v="AMPM67"/>
    <x v="80"/>
    <s v="Energia-A67-Feb"/>
    <s v="Compras"/>
    <s v="xmaltez"/>
    <s v="PMTRX00083886"/>
    <n v="4402077"/>
    <n v="1"/>
    <n v="83"/>
    <s v=""/>
    <m/>
  </r>
  <r>
    <n v="2997884"/>
    <x v="24"/>
    <s v="06-10-002-000"/>
    <x v="0"/>
    <n v="61219.73"/>
    <n v="0"/>
    <n v="61219.73"/>
    <n v="10000"/>
    <n v="100"/>
    <s v="AMPM05"/>
    <x v="12"/>
    <s v="Energia-A05-Feb"/>
    <s v="Compras"/>
    <s v="xmaltez"/>
    <s v="PMTRX00083886"/>
    <n v="4402078"/>
    <n v="1"/>
    <n v="5"/>
    <s v=""/>
    <m/>
  </r>
  <r>
    <n v="2997885"/>
    <x v="24"/>
    <s v="06-10-002-000"/>
    <x v="0"/>
    <n v="10678.7"/>
    <n v="0"/>
    <n v="10678.7"/>
    <n v="10000"/>
    <n v="100"/>
    <s v="ADMON"/>
    <x v="48"/>
    <s v="Energia-ADMON-Feb"/>
    <s v="Compras"/>
    <s v="xmaltez"/>
    <s v="PMTRX00083886"/>
    <n v="4402079"/>
    <n v="1"/>
    <n v="27"/>
    <s v=""/>
    <m/>
  </r>
  <r>
    <n v="2997886"/>
    <x v="24"/>
    <s v="06-10-002-000"/>
    <x v="0"/>
    <n v="45461.78"/>
    <n v="0"/>
    <n v="45461.78"/>
    <n v="10000"/>
    <n v="100"/>
    <s v="AMPM23"/>
    <x v="59"/>
    <s v="Energia-A23-Feb"/>
    <s v="Compras"/>
    <s v="xmaltez"/>
    <s v="PMTRX00083886"/>
    <n v="4402080"/>
    <n v="1"/>
    <n v="23"/>
    <s v=""/>
    <m/>
  </r>
  <r>
    <n v="2997887"/>
    <x v="24"/>
    <s v="06-10-002-000"/>
    <x v="0"/>
    <n v="51245.16"/>
    <n v="0"/>
    <n v="51245.16"/>
    <n v="10000"/>
    <n v="100"/>
    <s v="AMPM21"/>
    <x v="50"/>
    <s v="Energia-A21-Feb"/>
    <s v="Compras"/>
    <s v="xmaltez"/>
    <s v="PMTRX00083886"/>
    <n v="4402081"/>
    <n v="1"/>
    <n v="21"/>
    <s v=""/>
    <m/>
  </r>
  <r>
    <n v="2997888"/>
    <x v="24"/>
    <s v="06-10-002-000"/>
    <x v="0"/>
    <n v="54031.54"/>
    <n v="0"/>
    <n v="54031.54"/>
    <n v="10000"/>
    <n v="100"/>
    <s v="AMPM18"/>
    <x v="55"/>
    <s v="Energia-A18-Feb"/>
    <s v="Compras"/>
    <s v="xmaltez"/>
    <s v="PMTRX00083886"/>
    <n v="4402082"/>
    <n v="1"/>
    <n v="18"/>
    <s v=""/>
    <m/>
  </r>
  <r>
    <n v="2997889"/>
    <x v="24"/>
    <s v="06-10-002-000"/>
    <x v="0"/>
    <n v="58398.52"/>
    <n v="0"/>
    <n v="58398.52"/>
    <n v="10000"/>
    <n v="100"/>
    <s v="AMPM09"/>
    <x v="42"/>
    <s v="Energia-A09-Feb"/>
    <s v="Compras"/>
    <s v="xmaltez"/>
    <s v="PMTRX00083886"/>
    <n v="4402083"/>
    <n v="1"/>
    <n v="9"/>
    <s v=""/>
    <m/>
  </r>
  <r>
    <n v="2997890"/>
    <x v="24"/>
    <s v="06-10-002-000"/>
    <x v="0"/>
    <n v="56492.56"/>
    <n v="0"/>
    <n v="56492.56"/>
    <n v="10000"/>
    <n v="100"/>
    <s v="AMPM40"/>
    <x v="67"/>
    <s v="Energia-A40-Feb"/>
    <s v="Compras"/>
    <s v="xmaltez"/>
    <s v="PMTRX00083886"/>
    <n v="4402084"/>
    <n v="1"/>
    <n v="49"/>
    <s v=""/>
    <m/>
  </r>
  <r>
    <n v="2997891"/>
    <x v="24"/>
    <s v="06-10-002-000"/>
    <x v="0"/>
    <n v="1967.02"/>
    <n v="0"/>
    <n v="1967.02"/>
    <n v="10000"/>
    <n v="100"/>
    <s v="AMPM26"/>
    <x v="7"/>
    <s v="Energia-A26 -Feb"/>
    <s v="Compras"/>
    <s v="xmaltez"/>
    <s v="PMTRX00083886"/>
    <n v="4402085"/>
    <n v="1"/>
    <n v="26"/>
    <s v=""/>
    <m/>
  </r>
  <r>
    <n v="2997892"/>
    <x v="24"/>
    <s v="06-10-002-000"/>
    <x v="0"/>
    <n v="44577.97"/>
    <n v="0"/>
    <n v="44577.97"/>
    <n v="10000"/>
    <n v="100"/>
    <s v="AMPM42"/>
    <x v="21"/>
    <s v="Energia-A42-Feb"/>
    <s v="Compras"/>
    <s v="xmaltez"/>
    <s v="PMTRX00083886"/>
    <n v="4402086"/>
    <n v="1"/>
    <n v="51"/>
    <s v=""/>
    <m/>
  </r>
  <r>
    <n v="2997893"/>
    <x v="24"/>
    <s v="06-10-002-000"/>
    <x v="0"/>
    <n v="950.92"/>
    <n v="0"/>
    <n v="950.92"/>
    <n v="10000"/>
    <n v="100"/>
    <s v="AMPM42"/>
    <x v="21"/>
    <s v="Energia-A42 -Feb"/>
    <s v="Compras"/>
    <s v="xmaltez"/>
    <s v="PMTRX00083886"/>
    <n v="4402087"/>
    <n v="1"/>
    <n v="51"/>
    <s v=""/>
    <m/>
  </r>
  <r>
    <n v="2997894"/>
    <x v="24"/>
    <s v="06-10-002-000"/>
    <x v="0"/>
    <n v="42652.82"/>
    <n v="0"/>
    <n v="42652.82"/>
    <n v="10000"/>
    <n v="100"/>
    <s v="AMPM59"/>
    <x v="74"/>
    <s v="Energia-A59-Feb"/>
    <s v="Compras"/>
    <s v="xmaltez"/>
    <s v="PMTRX00083886"/>
    <n v="4402088"/>
    <n v="1"/>
    <n v="75"/>
    <s v=""/>
    <m/>
  </r>
  <r>
    <n v="2997895"/>
    <x v="24"/>
    <s v="06-10-002-000"/>
    <x v="0"/>
    <n v="40599.11"/>
    <n v="0"/>
    <n v="40599.11"/>
    <n v="10000"/>
    <n v="100"/>
    <s v="AMPM36"/>
    <x v="66"/>
    <s v="Energia-A36-Feb"/>
    <s v="Compras"/>
    <s v="xmaltez"/>
    <s v="PMTRX00083886"/>
    <n v="4402089"/>
    <n v="1"/>
    <n v="44"/>
    <s v=""/>
    <m/>
  </r>
  <r>
    <n v="2997896"/>
    <x v="24"/>
    <s v="06-10-002-000"/>
    <x v="0"/>
    <n v="103.75"/>
    <n v="0"/>
    <n v="103.75"/>
    <n v="10000"/>
    <n v="100"/>
    <s v="AMPM36"/>
    <x v="66"/>
    <s v="Energia-A36 -Feb"/>
    <s v="Compras"/>
    <s v="xmaltez"/>
    <s v="PMTRX00083886"/>
    <n v="4402090"/>
    <n v="1"/>
    <n v="44"/>
    <s v=""/>
    <m/>
  </r>
  <r>
    <n v="2997897"/>
    <x v="24"/>
    <s v="06-10-002-000"/>
    <x v="0"/>
    <n v="50366.18"/>
    <n v="0"/>
    <n v="50366.18"/>
    <n v="10000"/>
    <n v="100"/>
    <s v="AMPM77"/>
    <x v="33"/>
    <s v="Energia-A77-Feb"/>
    <s v="Compras"/>
    <s v="xmaltez"/>
    <s v="PMTRX00083886"/>
    <n v="4402091"/>
    <n v="1"/>
    <n v="92"/>
    <s v=""/>
    <m/>
  </r>
  <r>
    <n v="2997898"/>
    <x v="24"/>
    <s v="06-10-002-000"/>
    <x v="0"/>
    <n v="47658.43"/>
    <n v="0"/>
    <n v="47658.43"/>
    <n v="10000"/>
    <n v="100"/>
    <s v="AMPM26"/>
    <x v="7"/>
    <s v="Energia-A26-Feb"/>
    <s v="Compras"/>
    <s v="xmaltez"/>
    <s v="PMTRX00083886"/>
    <n v="4402092"/>
    <n v="1"/>
    <n v="26"/>
    <s v=""/>
    <m/>
  </r>
  <r>
    <n v="2997899"/>
    <x v="24"/>
    <s v="06-10-002-000"/>
    <x v="0"/>
    <n v="57652.66"/>
    <n v="0"/>
    <n v="57652.66"/>
    <n v="10000"/>
    <n v="100"/>
    <s v="AMPM62"/>
    <x v="77"/>
    <s v="Energia-A62-Feb"/>
    <s v="Compras"/>
    <s v="xmaltez"/>
    <s v="PMTRX00083886"/>
    <n v="4402093"/>
    <n v="1"/>
    <n v="78"/>
    <s v=""/>
    <m/>
  </r>
  <r>
    <n v="2997900"/>
    <x v="24"/>
    <s v="06-10-002-000"/>
    <x v="0"/>
    <n v="46938.39"/>
    <n v="0"/>
    <n v="46938.39"/>
    <n v="10000"/>
    <n v="100"/>
    <s v="AMPM48"/>
    <x v="69"/>
    <s v="Energia-A48-Feb"/>
    <s v="Compras"/>
    <s v="xmaltez"/>
    <s v="PMTRX00083886"/>
    <n v="4402094"/>
    <n v="1"/>
    <n v="62"/>
    <s v=""/>
    <m/>
  </r>
  <r>
    <n v="2997901"/>
    <x v="24"/>
    <s v="06-10-002-000"/>
    <x v="0"/>
    <n v="63275.85"/>
    <n v="0"/>
    <n v="63275.85"/>
    <n v="10000"/>
    <n v="100"/>
    <s v="AMPM66"/>
    <x v="79"/>
    <s v="Energia-A66-Feb"/>
    <s v="Compras"/>
    <s v="xmaltez"/>
    <s v="PMTRX00083886"/>
    <n v="4402095"/>
    <n v="1"/>
    <n v="82"/>
    <s v=""/>
    <m/>
  </r>
  <r>
    <n v="2997902"/>
    <x v="24"/>
    <s v="06-10-002-000"/>
    <x v="0"/>
    <n v="39096.959999999999"/>
    <n v="0"/>
    <n v="39096.959999999999"/>
    <n v="10000"/>
    <n v="100"/>
    <s v="AMPM31"/>
    <x v="64"/>
    <s v="Energia-A31-Feb"/>
    <s v="Compras"/>
    <s v="xmaltez"/>
    <s v="PMTRX00083886"/>
    <n v="4402096"/>
    <n v="1"/>
    <n v="38"/>
    <s v=""/>
    <m/>
  </r>
  <r>
    <n v="2997903"/>
    <x v="24"/>
    <s v="06-10-002-000"/>
    <x v="0"/>
    <n v="50297.29"/>
    <n v="0"/>
    <n v="50297.29"/>
    <n v="10000"/>
    <n v="100"/>
    <s v="AMPM53"/>
    <x v="20"/>
    <s v="Energia-A53-Feb"/>
    <s v="Compras"/>
    <s v="xmaltez"/>
    <s v="PMTRX00083886"/>
    <n v="4402097"/>
    <n v="1"/>
    <n v="64"/>
    <s v=""/>
    <m/>
  </r>
  <r>
    <n v="2997904"/>
    <x v="24"/>
    <s v="06-10-002-000"/>
    <x v="0"/>
    <n v="54608.47"/>
    <n v="0"/>
    <n v="54608.47"/>
    <n v="10000"/>
    <n v="100"/>
    <s v="AMPM56"/>
    <x v="23"/>
    <s v="Energia-A56-Feb"/>
    <s v="Compras"/>
    <s v="xmaltez"/>
    <s v="PMTRX00083886"/>
    <n v="4402098"/>
    <n v="1"/>
    <n v="72"/>
    <s v=""/>
    <m/>
  </r>
  <r>
    <n v="2997905"/>
    <x v="24"/>
    <s v="06-10-002-000"/>
    <x v="0"/>
    <n v="51048.65"/>
    <n v="0"/>
    <n v="51048.65"/>
    <n v="10000"/>
    <n v="100"/>
    <s v="AMPM70"/>
    <x v="22"/>
    <s v="Energia-A70-Feb"/>
    <s v="Compras"/>
    <s v="xmaltez"/>
    <s v="PMTRX00083886"/>
    <n v="4402099"/>
    <n v="1"/>
    <n v="87"/>
    <s v=""/>
    <m/>
  </r>
  <r>
    <n v="2997906"/>
    <x v="24"/>
    <s v="06-10-002-000"/>
    <x v="0"/>
    <n v="49364.37"/>
    <n v="0"/>
    <n v="49364.37"/>
    <n v="10000"/>
    <n v="100"/>
    <s v="AMPM72"/>
    <x v="27"/>
    <s v="Energia-A72-Feb"/>
    <s v="Compras"/>
    <s v="xmaltez"/>
    <s v="PMTRX00083886"/>
    <n v="4402100"/>
    <n v="1"/>
    <n v="88"/>
    <s v=""/>
    <m/>
  </r>
  <r>
    <n v="2997908"/>
    <x v="25"/>
    <s v="06-10-002-000"/>
    <x v="0"/>
    <n v="439.49"/>
    <n v="0"/>
    <n v="439.49"/>
    <n v="10000"/>
    <n v="100"/>
    <s v="AMPM15"/>
    <x v="1"/>
    <s v="PLANTA ELECTRICA A15 FEBRERO"/>
    <s v="PLANTA ELECTRICA A15 FEBRERO"/>
    <s v="xmaltez"/>
    <s v="PMTRX00083887"/>
    <n v="4402106"/>
    <n v="1"/>
    <n v="15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DA7BD-119B-45B3-9F34-47B3819C2238}" name="TablaDiná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4:E97" firstHeaderRow="1" firstDataRow="3" firstDataCol="1" rowPageCount="1" colPageCount="1"/>
  <pivotFields count="22">
    <pivotField numFmtId="165" showAll="0"/>
    <pivotField axis="axisCol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multipleItemSelectionAllowed="1" showAll="0">
      <items count="2">
        <item x="0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Row" showAll="0" sortType="ascending">
      <items count="91">
        <item x="48"/>
        <item x="73"/>
        <item x="63"/>
        <item x="10"/>
        <item x="0"/>
        <item x="25"/>
        <item x="28"/>
        <item x="61"/>
        <item x="26"/>
        <item x="12"/>
        <item x="13"/>
        <item x="44"/>
        <item x="47"/>
        <item x="42"/>
        <item x="45"/>
        <item x="51"/>
        <item x="54"/>
        <item x="53"/>
        <item x="1"/>
        <item x="43"/>
        <item x="55"/>
        <item x="56"/>
        <item x="57"/>
        <item x="50"/>
        <item x="59"/>
        <item x="62"/>
        <item x="7"/>
        <item x="8"/>
        <item x="2"/>
        <item x="58"/>
        <item x="39"/>
        <item x="64"/>
        <item x="65"/>
        <item x="11"/>
        <item x="85"/>
        <item x="14"/>
        <item x="66"/>
        <item x="49"/>
        <item x="41"/>
        <item x="31"/>
        <item x="67"/>
        <item x="24"/>
        <item x="21"/>
        <item x="35"/>
        <item x="38"/>
        <item x="68"/>
        <item x="34"/>
        <item x="60"/>
        <item x="69"/>
        <item x="72"/>
        <item x="70"/>
        <item x="71"/>
        <item x="16"/>
        <item x="20"/>
        <item x="18"/>
        <item x="37"/>
        <item x="23"/>
        <item x="4"/>
        <item x="46"/>
        <item x="74"/>
        <item x="76"/>
        <item x="75"/>
        <item x="77"/>
        <item x="32"/>
        <item x="19"/>
        <item x="78"/>
        <item x="79"/>
        <item x="80"/>
        <item x="5"/>
        <item x="30"/>
        <item x="22"/>
        <item x="52"/>
        <item x="27"/>
        <item x="17"/>
        <item x="40"/>
        <item x="36"/>
        <item x="6"/>
        <item x="33"/>
        <item x="81"/>
        <item x="82"/>
        <item x="3"/>
        <item x="83"/>
        <item x="84"/>
        <item x="15"/>
        <item x="29"/>
        <item x="86"/>
        <item x="88"/>
        <item x="89"/>
        <item x="9"/>
        <item x="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axis="axisCol" showAll="0" defaultSubtotal="0">
      <items count="4">
        <item x="1"/>
        <item x="2"/>
        <item x="0"/>
        <item x="3"/>
      </items>
    </pivotField>
  </pivotFields>
  <rowFields count="1">
    <field x="1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2">
    <field x="21"/>
    <field x="1"/>
  </colFields>
  <colItems count="4">
    <i>
      <x/>
      <x v="12"/>
    </i>
    <i>
      <x v="1"/>
      <x v="1"/>
    </i>
    <i r="1">
      <x v="2"/>
    </i>
    <i t="grand">
      <x/>
    </i>
  </colItems>
  <pageFields count="1">
    <pageField fld="3" hier="-1"/>
  </pageFields>
  <dataFields count="1">
    <dataField name="Suma de Saldo" fld="6" baseField="0" baseItem="0" numFmtId="165"/>
  </dataFields>
  <formats count="182">
    <format dxfId="0">
      <pivotArea type="all" dataOnly="0" outline="0" fieldPosition="0"/>
    </format>
    <format dxfId="1">
      <pivotArea type="origin" dataOnly="0" labelOnly="1" outline="0" fieldPosition="0"/>
    </format>
    <format dxfId="2">
      <pivotArea field="10" type="button" dataOnly="0" labelOnly="1" outline="0" axis="axisRow" fieldPosition="0"/>
    </format>
    <format dxfId="3">
      <pivotArea type="topRight" dataOnly="0" labelOnly="1" outline="0" fieldPosition="0"/>
    </format>
    <format dxfId="4">
      <pivotArea field="3" type="button" dataOnly="0" labelOnly="1" outline="0" axis="axisPage" fieldPosition="0"/>
    </format>
    <format dxfId="5">
      <pivotArea dataOnly="0" labelOnly="1" grandRow="1" outline="0" fieldPosition="0"/>
    </format>
    <format dxfId="6">
      <pivotArea dataOnly="0" labelOnly="1" grandCol="1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type="topRight" dataOnly="0" labelOnly="1" outline="0" fieldPosition="0"/>
    </format>
    <format dxfId="10">
      <pivotArea field="10" type="button" dataOnly="0" labelOnly="1" outline="0" axis="axisRow" fieldPosition="0"/>
    </format>
    <format dxfId="11">
      <pivotArea dataOnly="0" labelOnly="1" grandCol="1" outline="0" fieldPosition="0"/>
    </format>
    <format dxfId="12">
      <pivotArea grandRow="1" outline="0" collapsedLevelsAreSubtotals="1" fieldPosition="0"/>
    </format>
    <format dxfId="13">
      <pivotArea outline="0" collapsedLevelsAreSubtotals="1" fieldPosition="0"/>
    </format>
    <format dxfId="14">
      <pivotArea dataOnly="0" labelOnly="1" grandRow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type="topRight" dataOnly="0" labelOnly="1" outline="0" fieldPosition="0"/>
    </format>
    <format dxfId="19">
      <pivotArea field="10" type="button" dataOnly="0" labelOnly="1" outline="0" axis="axisRow" fieldPosition="0"/>
    </format>
    <format dxfId="20">
      <pivotArea dataOnly="0" labelOnly="1" grandRow="1" outline="0" fieldPosition="0"/>
    </format>
    <format dxfId="21">
      <pivotArea dataOnly="0" labelOnly="1" grandCol="1" outline="0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type="topRight" dataOnly="0" labelOnly="1" outline="0" fieldPosition="0"/>
    </format>
    <format dxfId="26">
      <pivotArea field="10" type="button" dataOnly="0" labelOnly="1" outline="0" axis="axisRow" fieldPosition="0"/>
    </format>
    <format dxfId="27">
      <pivotArea dataOnly="0" labelOnly="1" grandRow="1" outline="0" fieldPosition="0"/>
    </format>
    <format dxfId="28">
      <pivotArea dataOnly="0" labelOnly="1" grandCol="1" outline="0" fieldPosition="0"/>
    </format>
    <format dxfId="29">
      <pivotArea grandRow="1" outline="0" collapsedLevelsAreSubtotals="1" fieldPosition="0"/>
    </format>
    <format dxfId="30">
      <pivotArea dataOnly="0" labelOnly="1" grandRow="1" outline="0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33">
      <pivotArea grandRow="1" outline="0" collapsedLevelsAreSubtotals="1" fieldPosition="0"/>
    </format>
    <format dxfId="34">
      <pivotArea dataOnly="0" labelOnly="1" grandRow="1" outline="0" fieldPosition="0"/>
    </format>
    <format dxfId="35">
      <pivotArea collapsedLevelsAreSubtotals="1" fieldPosition="0">
        <references count="1">
          <reference field="10" count="1">
            <x v="19"/>
          </reference>
        </references>
      </pivotArea>
    </format>
    <format dxfId="36">
      <pivotArea dataOnly="0" labelOnly="1" fieldPosition="0">
        <references count="1">
          <reference field="10" count="1">
            <x v="19"/>
          </reference>
        </references>
      </pivotArea>
    </format>
    <format dxfId="37">
      <pivotArea collapsedLevelsAreSubtotals="1" fieldPosition="0">
        <references count="1">
          <reference field="10" count="1">
            <x v="19"/>
          </reference>
        </references>
      </pivotArea>
    </format>
    <format dxfId="38">
      <pivotArea collapsedLevelsAreSubtotals="1" fieldPosition="0">
        <references count="1">
          <reference field="10" count="1">
            <x v="34"/>
          </reference>
        </references>
      </pivotArea>
    </format>
    <format dxfId="39">
      <pivotArea dataOnly="0" labelOnly="1" fieldPosition="0">
        <references count="1">
          <reference field="10" count="1">
            <x v="34"/>
          </reference>
        </references>
      </pivotArea>
    </format>
    <format dxfId="40">
      <pivotArea collapsedLevelsAreSubtotals="1" fieldPosition="0">
        <references count="1">
          <reference field="10" count="1">
            <x v="30"/>
          </reference>
        </references>
      </pivotArea>
    </format>
    <format dxfId="41">
      <pivotArea dataOnly="0" labelOnly="1" fieldPosition="0">
        <references count="1">
          <reference field="10" count="1">
            <x v="30"/>
          </reference>
        </references>
      </pivotArea>
    </format>
    <format dxfId="42">
      <pivotArea collapsedLevelsAreSubtotals="1" fieldPosition="0">
        <references count="1">
          <reference field="10" count="1">
            <x v="42"/>
          </reference>
        </references>
      </pivotArea>
    </format>
    <format dxfId="43">
      <pivotArea dataOnly="0" labelOnly="1" fieldPosition="0">
        <references count="1">
          <reference field="10" count="1">
            <x v="42"/>
          </reference>
        </references>
      </pivotArea>
    </format>
    <format dxfId="44">
      <pivotArea collapsedLevelsAreSubtotals="1" fieldPosition="0">
        <references count="1">
          <reference field="10" count="1">
            <x v="22"/>
          </reference>
        </references>
      </pivotArea>
    </format>
    <format dxfId="45">
      <pivotArea dataOnly="0" labelOnly="1" fieldPosition="0">
        <references count="1">
          <reference field="10" count="1">
            <x v="22"/>
          </reference>
        </references>
      </pivotArea>
    </format>
    <format dxfId="46">
      <pivotArea collapsedLevelsAreSubtotals="1" fieldPosition="0">
        <references count="1">
          <reference field="10" count="1">
            <x v="22"/>
          </reference>
        </references>
      </pivotArea>
    </format>
    <format dxfId="47">
      <pivotArea dataOnly="0" labelOnly="1" fieldPosition="0">
        <references count="1">
          <reference field="10" count="1">
            <x v="22"/>
          </reference>
        </references>
      </pivotArea>
    </format>
    <format dxfId="48">
      <pivotArea collapsedLevelsAreSubtotals="1" fieldPosition="0">
        <references count="1">
          <reference field="10" count="1">
            <x v="51"/>
          </reference>
        </references>
      </pivotArea>
    </format>
    <format dxfId="49">
      <pivotArea dataOnly="0" labelOnly="1" fieldPosition="0">
        <references count="1">
          <reference field="10" count="1">
            <x v="51"/>
          </reference>
        </references>
      </pivotArea>
    </format>
    <format dxfId="50">
      <pivotArea collapsedLevelsAreSubtotals="1" fieldPosition="0">
        <references count="1">
          <reference field="10" count="1">
            <x v="51"/>
          </reference>
        </references>
      </pivotArea>
    </format>
    <format dxfId="51">
      <pivotArea dataOnly="0" labelOnly="1" fieldPosition="0">
        <references count="1">
          <reference field="10" count="1">
            <x v="51"/>
          </reference>
        </references>
      </pivotArea>
    </format>
    <format dxfId="52">
      <pivotArea collapsedLevelsAreSubtotals="1" fieldPosition="0">
        <references count="1">
          <reference field="10" count="1">
            <x v="59"/>
          </reference>
        </references>
      </pivotArea>
    </format>
    <format dxfId="53">
      <pivotArea dataOnly="0" labelOnly="1" fieldPosition="0">
        <references count="1">
          <reference field="10" count="1">
            <x v="59"/>
          </reference>
        </references>
      </pivotArea>
    </format>
    <format dxfId="54">
      <pivotArea collapsedLevelsAreSubtotals="1" fieldPosition="0">
        <references count="1">
          <reference field="10" count="1">
            <x v="70"/>
          </reference>
        </references>
      </pivotArea>
    </format>
    <format dxfId="55">
      <pivotArea dataOnly="0" labelOnly="1" fieldPosition="0">
        <references count="1">
          <reference field="10" count="1">
            <x v="70"/>
          </reference>
        </references>
      </pivotArea>
    </format>
    <format dxfId="56">
      <pivotArea collapsedLevelsAreSubtotals="1" fieldPosition="0">
        <references count="1">
          <reference field="10" count="1">
            <x v="72"/>
          </reference>
        </references>
      </pivotArea>
    </format>
    <format dxfId="57">
      <pivotArea dataOnly="0" labelOnly="1" fieldPosition="0">
        <references count="1">
          <reference field="10" count="1">
            <x v="72"/>
          </reference>
        </references>
      </pivotArea>
    </format>
    <format dxfId="58">
      <pivotArea collapsedLevelsAreSubtotals="1" fieldPosition="0">
        <references count="1">
          <reference field="10" count="1">
            <x v="72"/>
          </reference>
        </references>
      </pivotArea>
    </format>
    <format dxfId="59">
      <pivotArea dataOnly="0" labelOnly="1" fieldPosition="0">
        <references count="1">
          <reference field="10" count="1">
            <x v="72"/>
          </reference>
        </references>
      </pivotArea>
    </format>
    <format dxfId="60">
      <pivotArea collapsedLevelsAreSubtotals="1" fieldPosition="0">
        <references count="1">
          <reference field="10" count="1">
            <x v="19"/>
          </reference>
        </references>
      </pivotArea>
    </format>
    <format dxfId="61">
      <pivotArea collapsedLevelsAreSubtotals="1" fieldPosition="0">
        <references count="1">
          <reference field="10" count="1">
            <x v="19"/>
          </reference>
        </references>
      </pivotArea>
    </format>
    <format dxfId="62">
      <pivotArea collapsedLevelsAreSubtotals="1" fieldPosition="0">
        <references count="1">
          <reference field="10" count="1">
            <x v="19"/>
          </reference>
        </references>
      </pivotArea>
    </format>
    <format dxfId="63">
      <pivotArea dataOnly="0" labelOnly="1" fieldPosition="0">
        <references count="1">
          <reference field="10" count="1">
            <x v="19"/>
          </reference>
        </references>
      </pivotArea>
    </format>
    <format dxfId="64">
      <pivotArea collapsedLevelsAreSubtotals="1" fieldPosition="0">
        <references count="1">
          <reference field="10" count="1">
            <x v="19"/>
          </reference>
        </references>
      </pivotArea>
    </format>
    <format dxfId="65">
      <pivotArea dataOnly="0" labelOnly="1" fieldPosition="0">
        <references count="1">
          <reference field="10" count="1">
            <x v="19"/>
          </reference>
        </references>
      </pivotArea>
    </format>
    <format dxfId="66">
      <pivotArea collapsedLevelsAreSubtotals="1" fieldPosition="0">
        <references count="1">
          <reference field="10" count="1">
            <x v="45"/>
          </reference>
        </references>
      </pivotArea>
    </format>
    <format dxfId="67">
      <pivotArea collapsedLevelsAreSubtotals="1" fieldPosition="0">
        <references count="1">
          <reference field="10" count="1">
            <x v="46"/>
          </reference>
        </references>
      </pivotArea>
    </format>
    <format dxfId="68">
      <pivotArea collapsedLevelsAreSubtotals="1" fieldPosition="0">
        <references count="1">
          <reference field="10" count="1">
            <x v="69"/>
          </reference>
        </references>
      </pivotArea>
    </format>
    <format dxfId="69">
      <pivotArea dataOnly="0" labelOnly="1" fieldPosition="0">
        <references count="1">
          <reference field="10" count="1">
            <x v="69"/>
          </reference>
        </references>
      </pivotArea>
    </format>
    <format dxfId="70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71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72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3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4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5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6">
      <pivotArea collapsedLevelsAreSubtotals="1" fieldPosition="0">
        <references count="1">
          <reference field="10" count="1">
            <x v="70"/>
          </reference>
        </references>
      </pivotArea>
    </format>
    <format dxfId="77">
      <pivotArea dataOnly="0" labelOnly="1" fieldPosition="0">
        <references count="1">
          <reference field="10" count="1">
            <x v="70"/>
          </reference>
        </references>
      </pivotArea>
    </format>
    <format dxfId="78">
      <pivotArea collapsedLevelsAreSubtotals="1" fieldPosition="0">
        <references count="1">
          <reference field="10" count="1">
            <x v="19"/>
          </reference>
        </references>
      </pivotArea>
    </format>
    <format dxfId="79">
      <pivotArea collapsedLevelsAreSubtotals="1" fieldPosition="0">
        <references count="1">
          <reference field="10" count="1">
            <x v="72"/>
          </reference>
        </references>
      </pivotArea>
    </format>
    <format dxfId="80">
      <pivotArea dataOnly="0" labelOnly="1" fieldPosition="0">
        <references count="1">
          <reference field="10" count="1">
            <x v="72"/>
          </reference>
        </references>
      </pivotArea>
    </format>
    <format dxfId="81">
      <pivotArea collapsedLevelsAreSubtotals="1" fieldPosition="0">
        <references count="1">
          <reference field="10" count="73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82">
      <pivotArea dataOnly="0" labelOnly="1" fieldPosition="0">
        <references count="1">
          <reference field="10" count="5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83">
      <pivotArea dataOnly="0" labelOnly="1" fieldPosition="0">
        <references count="1">
          <reference field="10" count="23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84">
      <pivotArea dataOnly="0" labelOnly="1" fieldPosition="0">
        <references count="1">
          <reference field="10" count="1">
            <x v="72"/>
          </reference>
        </references>
      </pivotArea>
    </format>
    <format dxfId="85">
      <pivotArea collapsedLevelsAreSubtotals="1" fieldPosition="0">
        <references count="1">
          <reference field="10" count="1">
            <x v="22"/>
          </reference>
        </references>
      </pivotArea>
    </format>
    <format dxfId="86">
      <pivotArea dataOnly="0" labelOnly="1" fieldPosition="0">
        <references count="1">
          <reference field="10" count="1">
            <x v="22"/>
          </reference>
        </references>
      </pivotArea>
    </format>
    <format dxfId="87">
      <pivotArea collapsedLevelsAreSubtotals="1" fieldPosition="0">
        <references count="1">
          <reference field="10" count="1">
            <x v="22"/>
          </reference>
        </references>
      </pivotArea>
    </format>
    <format dxfId="88">
      <pivotArea dataOnly="0" labelOnly="1" fieldPosition="0">
        <references count="1">
          <reference field="10" count="1">
            <x v="22"/>
          </reference>
        </references>
      </pivotArea>
    </format>
    <format dxfId="89">
      <pivotArea collapsedLevelsAreSubtotals="1" fieldPosition="0">
        <references count="1">
          <reference field="10" count="1">
            <x v="22"/>
          </reference>
        </references>
      </pivotArea>
    </format>
    <format dxfId="90">
      <pivotArea dataOnly="0" labelOnly="1" fieldPosition="0">
        <references count="1">
          <reference field="10" count="1">
            <x v="22"/>
          </reference>
        </references>
      </pivotArea>
    </format>
    <format dxfId="91">
      <pivotArea collapsedLevelsAreSubtotals="1" fieldPosition="0">
        <references count="1">
          <reference field="10" count="1">
            <x v="72"/>
          </reference>
        </references>
      </pivotArea>
    </format>
    <format dxfId="92">
      <pivotArea collapsedLevelsAreSubtotals="1" fieldPosition="0">
        <references count="1">
          <reference field="10" count="1">
            <x v="7"/>
          </reference>
        </references>
      </pivotArea>
    </format>
    <format dxfId="93">
      <pivotArea dataOnly="0" labelOnly="1" fieldPosition="0">
        <references count="1">
          <reference field="10" count="1">
            <x v="7"/>
          </reference>
        </references>
      </pivotArea>
    </format>
    <format dxfId="94">
      <pivotArea collapsedLevelsAreSubtotals="1" fieldPosition="0">
        <references count="1">
          <reference field="10" count="1">
            <x v="30"/>
          </reference>
        </references>
      </pivotArea>
    </format>
    <format dxfId="95">
      <pivotArea dataOnly="0" labelOnly="1" fieldPosition="0">
        <references count="1">
          <reference field="10" count="1">
            <x v="30"/>
          </reference>
        </references>
      </pivotArea>
    </format>
    <format dxfId="96">
      <pivotArea collapsedLevelsAreSubtotals="1" fieldPosition="0">
        <references count="1">
          <reference field="10" count="1">
            <x v="15"/>
          </reference>
        </references>
      </pivotArea>
    </format>
    <format dxfId="97">
      <pivotArea dataOnly="0" labelOnly="1" fieldPosition="0">
        <references count="1">
          <reference field="10" count="1">
            <x v="15"/>
          </reference>
        </references>
      </pivotArea>
    </format>
    <format dxfId="98">
      <pivotArea collapsedLevelsAreSubtotals="1" fieldPosition="0">
        <references count="1">
          <reference field="10" count="1">
            <x v="20"/>
          </reference>
        </references>
      </pivotArea>
    </format>
    <format dxfId="99">
      <pivotArea dataOnly="0" labelOnly="1" fieldPosition="0">
        <references count="1">
          <reference field="10" count="1">
            <x v="20"/>
          </reference>
        </references>
      </pivotArea>
    </format>
    <format dxfId="100">
      <pivotArea collapsedLevelsAreSubtotals="1" fieldPosition="0">
        <references count="1">
          <reference field="10" count="1">
            <x v="30"/>
          </reference>
        </references>
      </pivotArea>
    </format>
    <format dxfId="101">
      <pivotArea dataOnly="0" labelOnly="1" fieldPosition="0">
        <references count="1">
          <reference field="10" count="1">
            <x v="30"/>
          </reference>
        </references>
      </pivotArea>
    </format>
    <format dxfId="102">
      <pivotArea collapsedLevelsAreSubtotals="1" fieldPosition="0">
        <references count="1">
          <reference field="10" count="1">
            <x v="32"/>
          </reference>
        </references>
      </pivotArea>
    </format>
    <format dxfId="103">
      <pivotArea dataOnly="0" labelOnly="1" fieldPosition="0">
        <references count="1">
          <reference field="10" count="1">
            <x v="32"/>
          </reference>
        </references>
      </pivotArea>
    </format>
    <format dxfId="104">
      <pivotArea collapsedLevelsAreSubtotals="1" fieldPosition="0">
        <references count="1">
          <reference field="10" count="1">
            <x v="33"/>
          </reference>
        </references>
      </pivotArea>
    </format>
    <format dxfId="105">
      <pivotArea dataOnly="0" labelOnly="1" fieldPosition="0">
        <references count="1">
          <reference field="10" count="1">
            <x v="33"/>
          </reference>
        </references>
      </pivotArea>
    </format>
    <format dxfId="106">
      <pivotArea collapsedLevelsAreSubtotals="1" fieldPosition="0">
        <references count="1">
          <reference field="10" count="1">
            <x v="40"/>
          </reference>
        </references>
      </pivotArea>
    </format>
    <format dxfId="107">
      <pivotArea dataOnly="0" labelOnly="1" fieldPosition="0">
        <references count="1">
          <reference field="10" count="1">
            <x v="40"/>
          </reference>
        </references>
      </pivotArea>
    </format>
    <format dxfId="108">
      <pivotArea collapsedLevelsAreSubtotals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109">
      <pivotArea dataOnly="0" labelOnly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110">
      <pivotArea collapsedLevelsAreSubtotals="1" fieldPosition="0">
        <references count="1">
          <reference field="10" count="1">
            <x v="75"/>
          </reference>
        </references>
      </pivotArea>
    </format>
    <format dxfId="111">
      <pivotArea dataOnly="0" labelOnly="1" fieldPosition="0">
        <references count="1">
          <reference field="10" count="1">
            <x v="75"/>
          </reference>
        </references>
      </pivotArea>
    </format>
    <format dxfId="112">
      <pivotArea collapsedLevelsAreSubtotals="1" fieldPosition="0">
        <references count="1">
          <reference field="10" count="1">
            <x v="30"/>
          </reference>
        </references>
      </pivotArea>
    </format>
    <format dxfId="113">
      <pivotArea dataOnly="0" labelOnly="1" fieldPosition="0">
        <references count="1">
          <reference field="10" count="1">
            <x v="30"/>
          </reference>
        </references>
      </pivotArea>
    </format>
    <format dxfId="114">
      <pivotArea collapsedLevelsAreSubtotals="1" fieldPosition="0">
        <references count="1">
          <reference field="10" count="1">
            <x v="30"/>
          </reference>
        </references>
      </pivotArea>
    </format>
    <format dxfId="115">
      <pivotArea collapsedLevelsAreSubtotals="1" fieldPosition="0">
        <references count="1">
          <reference field="10" count="0"/>
        </references>
      </pivotArea>
    </format>
    <format dxfId="116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7">
      <pivotArea dataOnly="0" labelOnly="1" fieldPosition="0">
        <references count="1">
          <reference field="10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2"/>
          </reference>
        </references>
      </pivotArea>
    </format>
    <format dxfId="118">
      <pivotArea collapsedLevelsAreSubtotals="1" fieldPosition="0">
        <references count="1">
          <reference field="10" count="57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</reference>
        </references>
      </pivotArea>
    </format>
    <format dxfId="119">
      <pivotArea dataOnly="0" labelOnly="1" fieldPosition="0">
        <references count="1">
          <reference field="10" count="50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120">
      <pivotArea dataOnly="0" labelOnly="1" fieldPosition="0">
        <references count="1">
          <reference field="10" count="7">
            <x v="72"/>
            <x v="73"/>
            <x v="74"/>
            <x v="75"/>
            <x v="76"/>
            <x v="77"/>
            <x v="79"/>
          </reference>
        </references>
      </pivotArea>
    </format>
    <format dxfId="121">
      <pivotArea collapsedLevelsAreSubtotals="1" fieldPosition="0">
        <references count="1">
          <reference field="10" count="1">
            <x v="22"/>
          </reference>
        </references>
      </pivotArea>
    </format>
    <format dxfId="122">
      <pivotArea dataOnly="0" labelOnly="1" fieldPosition="0">
        <references count="1">
          <reference field="10" count="1">
            <x v="22"/>
          </reference>
        </references>
      </pivotArea>
    </format>
    <format dxfId="123">
      <pivotArea collapsedLevelsAreSubtotals="1" fieldPosition="0">
        <references count="1">
          <reference field="10" count="1">
            <x v="22"/>
          </reference>
        </references>
      </pivotArea>
    </format>
    <format dxfId="124">
      <pivotArea dataOnly="0" labelOnly="1" fieldPosition="0">
        <references count="1">
          <reference field="10" count="1">
            <x v="22"/>
          </reference>
        </references>
      </pivotArea>
    </format>
    <format dxfId="125">
      <pivotArea collapsedLevelsAreSubtotals="1" fieldPosition="0">
        <references count="1">
          <reference field="10" count="1">
            <x v="74"/>
          </reference>
        </references>
      </pivotArea>
    </format>
    <format dxfId="126">
      <pivotArea dataOnly="0" labelOnly="1" fieldPosition="0">
        <references count="1">
          <reference field="10" count="1">
            <x v="74"/>
          </reference>
        </references>
      </pivotArea>
    </format>
    <format dxfId="127">
      <pivotArea collapsedLevelsAreSubtotals="1" fieldPosition="0">
        <references count="1">
          <reference field="10" count="1">
            <x v="74"/>
          </reference>
        </references>
      </pivotArea>
    </format>
    <format dxfId="128">
      <pivotArea dataOnly="0" labelOnly="1" fieldPosition="0">
        <references count="1">
          <reference field="10" count="1">
            <x v="74"/>
          </reference>
        </references>
      </pivotArea>
    </format>
    <format dxfId="129">
      <pivotArea collapsedLevelsAreSubtotals="1" fieldPosition="0">
        <references count="1">
          <reference field="10" count="1">
            <x v="74"/>
          </reference>
        </references>
      </pivotArea>
    </format>
    <format dxfId="130">
      <pivotArea dataOnly="0" labelOnly="1" fieldPosition="0">
        <references count="1">
          <reference field="10" count="1">
            <x v="74"/>
          </reference>
        </references>
      </pivotArea>
    </format>
    <format dxfId="131">
      <pivotArea collapsedLevelsAreSubtotals="1" fieldPosition="0">
        <references count="1">
          <reference field="10" count="1">
            <x v="74"/>
          </reference>
        </references>
      </pivotArea>
    </format>
    <format dxfId="132">
      <pivotArea dataOnly="0" labelOnly="1" fieldPosition="0">
        <references count="1">
          <reference field="10" count="1">
            <x v="74"/>
          </reference>
        </references>
      </pivotArea>
    </format>
    <format dxfId="133">
      <pivotArea collapsedLevelsAreSubtotals="1" fieldPosition="0">
        <references count="1">
          <reference field="10" count="1">
            <x v="73"/>
          </reference>
        </references>
      </pivotArea>
    </format>
    <format dxfId="134">
      <pivotArea dataOnly="0" labelOnly="1" fieldPosition="0">
        <references count="1">
          <reference field="10" count="1">
            <x v="73"/>
          </reference>
        </references>
      </pivotArea>
    </format>
    <format dxfId="135">
      <pivotArea collapsedLevelsAreSubtotals="1" fieldPosition="0">
        <references count="1">
          <reference field="10" count="1">
            <x v="73"/>
          </reference>
        </references>
      </pivotArea>
    </format>
    <format dxfId="136">
      <pivotArea dataOnly="0" labelOnly="1" fieldPosition="0">
        <references count="1">
          <reference field="10" count="1">
            <x v="73"/>
          </reference>
        </references>
      </pivotArea>
    </format>
    <format dxfId="137">
      <pivotArea collapsedLevelsAreSubtotals="1" fieldPosition="0">
        <references count="1">
          <reference field="10" count="1">
            <x v="73"/>
          </reference>
        </references>
      </pivotArea>
    </format>
    <format dxfId="138">
      <pivotArea dataOnly="0" labelOnly="1" fieldPosition="0">
        <references count="1">
          <reference field="10" count="1">
            <x v="73"/>
          </reference>
        </references>
      </pivotArea>
    </format>
    <format dxfId="139">
      <pivotArea collapsedLevelsAreSubtotals="1" fieldPosition="0">
        <references count="1">
          <reference field="10" count="1">
            <x v="73"/>
          </reference>
        </references>
      </pivotArea>
    </format>
    <format dxfId="140">
      <pivotArea dataOnly="0" labelOnly="1" fieldPosition="0">
        <references count="1">
          <reference field="10" count="1">
            <x v="73"/>
          </reference>
        </references>
      </pivotArea>
    </format>
    <format dxfId="141">
      <pivotArea collapsedLevelsAreSubtotals="1" fieldPosition="0">
        <references count="1">
          <reference field="10" count="0"/>
        </references>
      </pivotArea>
    </format>
    <format dxfId="14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144">
      <pivotArea collapsedLevelsAreSubtotals="1" fieldPosition="0">
        <references count="1">
          <reference field="10" count="0"/>
        </references>
      </pivotArea>
    </format>
    <format dxfId="14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6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147">
      <pivotArea field="10" grandCol="1" collapsedLevelsAreSubtotals="1" axis="axisRow" fieldPosition="0">
        <references count="1">
          <reference field="10" count="1">
            <x v="84"/>
          </reference>
        </references>
      </pivotArea>
    </format>
    <format dxfId="148">
      <pivotArea dataOnly="0" labelOnly="1" fieldPosition="0">
        <references count="1">
          <reference field="1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49">
      <pivotArea outline="0" collapsedLevelsAreSubtotals="1" fieldPosition="0"/>
    </format>
    <format dxfId="150">
      <pivotArea dataOnly="0" labelOnly="1" grandRow="1" outline="0" fieldPosition="0"/>
    </format>
    <format dxfId="151">
      <pivotArea collapsedLevelsAreSubtotals="1" fieldPosition="0">
        <references count="1">
          <reference field="10" count="0"/>
        </references>
      </pivotArea>
    </format>
    <format dxfId="15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3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154">
      <pivotArea collapsedLevelsAreSubtotals="1" fieldPosition="0">
        <references count="1">
          <reference field="10" count="0"/>
        </references>
      </pivotArea>
    </format>
    <format dxfId="15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6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157">
      <pivotArea dataOnly="0" labelOnly="1" fieldPosition="0">
        <references count="1">
          <reference field="10" count="5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58">
      <pivotArea field="21" type="button" dataOnly="0" labelOnly="1" outline="0" axis="axisCol" fieldPosition="0"/>
    </format>
    <format dxfId="159">
      <pivotArea field="1" type="button" dataOnly="0" labelOnly="1" outline="0" axis="axisCol" fieldPosition="1"/>
    </format>
    <format dxfId="160">
      <pivotArea type="topRight" dataOnly="0" labelOnly="1" outline="0" fieldPosition="0"/>
    </format>
    <format dxfId="161">
      <pivotArea dataOnly="0" labelOnly="1" fieldPosition="0">
        <references count="1">
          <reference field="21" count="1">
            <x v="0"/>
          </reference>
        </references>
      </pivotArea>
    </format>
    <format dxfId="162">
      <pivotArea dataOnly="0" labelOnly="1" fieldPosition="0">
        <references count="1">
          <reference field="21" count="1" defaultSubtotal="1">
            <x v="0"/>
          </reference>
        </references>
      </pivotArea>
    </format>
    <format dxfId="163">
      <pivotArea dataOnly="0" labelOnly="1" grandCol="1" outline="0" fieldPosition="0"/>
    </format>
    <format dxfId="164">
      <pivotArea dataOnly="0" labelOnly="1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1" count="1" selected="0">
            <x v="0"/>
          </reference>
        </references>
      </pivotArea>
    </format>
    <format dxfId="165">
      <pivotArea dataOnly="0" labelOnly="1" fieldPosition="0">
        <references count="2">
          <reference field="1" count="1">
            <x v="1"/>
          </reference>
          <reference field="21" count="1" selected="0">
            <x v="1"/>
          </reference>
        </references>
      </pivotArea>
    </format>
    <format dxfId="166">
      <pivotArea dataOnly="0" labelOnly="1" fieldPosition="0">
        <references count="1">
          <reference field="21" count="1">
            <x v="1"/>
          </reference>
        </references>
      </pivotArea>
    </format>
    <format dxfId="167">
      <pivotArea field="10" grandCol="1" collapsedLevelsAreSubtotals="1" axis="axisRow" fieldPosition="0">
        <references count="1">
          <reference field="10" count="2">
            <x v="10"/>
            <x v="11"/>
          </reference>
        </references>
      </pivotArea>
    </format>
    <format dxfId="168">
      <pivotArea field="10" grandCol="1" collapsedLevelsAreSubtotals="1" axis="axisRow" fieldPosition="0">
        <references count="1">
          <reference field="10" count="1">
            <x v="27"/>
          </reference>
        </references>
      </pivotArea>
    </format>
    <format dxfId="169">
      <pivotArea dataOnly="0" labelOnly="1" fieldPosition="0">
        <references count="1">
          <reference field="10" count="3">
            <x v="49"/>
            <x v="50"/>
            <x v="51"/>
          </reference>
        </references>
      </pivotArea>
    </format>
    <format dxfId="170">
      <pivotArea dataOnly="0" labelOnly="1" fieldPosition="0">
        <references count="2">
          <reference field="1" count="1">
            <x v="2"/>
          </reference>
          <reference field="21" count="1" selected="0">
            <x v="1"/>
          </reference>
        </references>
      </pivotArea>
    </format>
    <format dxfId="171">
      <pivotArea collapsedLevelsAreSubtotals="1" fieldPosition="0">
        <references count="1">
          <reference field="10" count="0"/>
        </references>
      </pivotArea>
    </format>
    <format dxfId="17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3">
      <pivotArea dataOnly="0" labelOnly="1" fieldPosition="0">
        <references count="1">
          <reference field="10" count="4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74">
      <pivotArea collapsedLevelsAreSubtotals="1" fieldPosition="0">
        <references count="1">
          <reference field="10" count="1">
            <x v="9"/>
          </reference>
        </references>
      </pivotArea>
    </format>
    <format dxfId="175">
      <pivotArea dataOnly="0" labelOnly="1" fieldPosition="0">
        <references count="1">
          <reference field="10" count="1">
            <x v="9"/>
          </reference>
        </references>
      </pivotArea>
    </format>
    <format dxfId="176">
      <pivotArea collapsedLevelsAreSubtotals="1" fieldPosition="0">
        <references count="1">
          <reference field="10" count="1">
            <x v="12"/>
          </reference>
        </references>
      </pivotArea>
    </format>
    <format dxfId="177">
      <pivotArea dataOnly="0" labelOnly="1" fieldPosition="0">
        <references count="1">
          <reference field="10" count="1">
            <x v="12"/>
          </reference>
        </references>
      </pivotArea>
    </format>
    <format dxfId="178">
      <pivotArea collapsedLevelsAreSubtotals="1" fieldPosition="0">
        <references count="1">
          <reference field="10" count="1">
            <x v="56"/>
          </reference>
        </references>
      </pivotArea>
    </format>
    <format dxfId="179">
      <pivotArea dataOnly="0" labelOnly="1" fieldPosition="0">
        <references count="1">
          <reference field="10" count="1">
            <x v="56"/>
          </reference>
        </references>
      </pivotArea>
    </format>
    <format dxfId="180">
      <pivotArea collapsedLevelsAreSubtotals="1" fieldPosition="0">
        <references count="1">
          <reference field="10" count="1">
            <x v="80"/>
          </reference>
        </references>
      </pivotArea>
    </format>
    <format dxfId="181">
      <pivotArea dataOnly="0" labelOnly="1" fieldPosition="0">
        <references count="1">
          <reference field="10" count="1">
            <x v="80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281E-E58D-46F7-91A0-DDF9FC8524A7}">
  <dimension ref="A2:BX317"/>
  <sheetViews>
    <sheetView showGridLines="0" tabSelected="1" workbookViewId="0">
      <selection activeCell="I23" sqref="I23"/>
    </sheetView>
  </sheetViews>
  <sheetFormatPr baseColWidth="10" defaultColWidth="11.44140625" defaultRowHeight="10.199999999999999" x14ac:dyDescent="0.2"/>
  <cols>
    <col min="1" max="1" width="13.77734375" style="3" bestFit="1" customWidth="1"/>
    <col min="2" max="2" width="17" style="3" bestFit="1" customWidth="1"/>
    <col min="3" max="4" width="7.77734375" style="3" bestFit="1" customWidth="1"/>
    <col min="5" max="6" width="9.6640625" style="3" bestFit="1" customWidth="1"/>
    <col min="7" max="7" width="9.6640625" style="3" customWidth="1"/>
    <col min="8" max="9" width="32.33203125" style="3" bestFit="1" customWidth="1"/>
    <col min="10" max="10" width="46.5546875" style="3" bestFit="1" customWidth="1"/>
    <col min="11" max="11" width="9.33203125" style="3" bestFit="1" customWidth="1"/>
    <col min="12" max="12" width="2.33203125" style="3" bestFit="1" customWidth="1"/>
    <col min="13" max="13" width="13.33203125" style="3" bestFit="1" customWidth="1"/>
    <col min="14" max="14" width="4.33203125" style="3" bestFit="1" customWidth="1"/>
    <col min="15" max="15" width="8.44140625" style="3" bestFit="1" customWidth="1"/>
    <col min="16" max="16" width="8" style="3" bestFit="1" customWidth="1"/>
    <col min="17" max="17" width="7.109375" style="3" bestFit="1" customWidth="1"/>
    <col min="18" max="18" width="8.44140625" style="3" bestFit="1" customWidth="1"/>
    <col min="19" max="19" width="10.21875" style="3" bestFit="1" customWidth="1"/>
    <col min="20" max="20" width="9.44140625" style="3" bestFit="1" customWidth="1"/>
    <col min="21" max="21" width="15" style="2" bestFit="1" customWidth="1"/>
    <col min="22" max="22" width="30.109375" style="2" bestFit="1" customWidth="1"/>
    <col min="23" max="86" width="8.6640625" style="2" bestFit="1" customWidth="1"/>
    <col min="87" max="87" width="10.6640625" style="2" bestFit="1" customWidth="1"/>
    <col min="88" max="16384" width="11.44140625" style="2"/>
  </cols>
  <sheetData>
    <row r="2" spans="1:76" x14ac:dyDescent="0.2">
      <c r="A2" s="89" t="s">
        <v>0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76" x14ac:dyDescent="0.2">
      <c r="A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1:76" x14ac:dyDescent="0.2">
      <c r="A4" s="90" t="s">
        <v>2</v>
      </c>
      <c r="B4" s="90" t="s">
        <v>3</v>
      </c>
      <c r="C4" s="90"/>
      <c r="D4" s="5"/>
      <c r="E4" s="5"/>
      <c r="F4" s="6"/>
      <c r="G4" s="6"/>
      <c r="H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</row>
    <row r="5" spans="1:76" x14ac:dyDescent="0.2">
      <c r="A5" s="5"/>
      <c r="B5" s="5" t="s">
        <v>4</v>
      </c>
      <c r="C5" s="5" t="s">
        <v>5</v>
      </c>
      <c r="D5" s="5"/>
      <c r="E5" s="5" t="s">
        <v>6</v>
      </c>
      <c r="F5" s="5"/>
      <c r="G5" s="5"/>
      <c r="H5" s="8" t="s">
        <v>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</row>
    <row r="6" spans="1:76" s="11" customFormat="1" ht="20.399999999999999" x14ac:dyDescent="0.2">
      <c r="A6" s="90" t="s">
        <v>8</v>
      </c>
      <c r="B6" s="5" t="s">
        <v>9</v>
      </c>
      <c r="C6" s="5" t="s">
        <v>10</v>
      </c>
      <c r="D6" s="5" t="s">
        <v>11</v>
      </c>
      <c r="E6" s="5"/>
      <c r="F6" s="9" t="s">
        <v>12</v>
      </c>
      <c r="G6" s="9" t="s">
        <v>13</v>
      </c>
      <c r="H6" s="1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</row>
    <row r="7" spans="1:76" s="11" customFormat="1" x14ac:dyDescent="0.2">
      <c r="A7" s="12" t="s">
        <v>14</v>
      </c>
      <c r="B7" s="13">
        <v>68464.84</v>
      </c>
      <c r="C7" s="13">
        <v>70866.73</v>
      </c>
      <c r="D7" s="13">
        <v>63744.490000000005</v>
      </c>
      <c r="E7" s="13">
        <v>203076.06</v>
      </c>
      <c r="F7" s="14">
        <f>IFERROR((D7/C7),0)</f>
        <v>0.8994981142773204</v>
      </c>
      <c r="G7" s="15">
        <f>+F107</f>
        <v>0.94422877846790898</v>
      </c>
      <c r="H7" s="1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</row>
    <row r="8" spans="1:76" s="11" customFormat="1" x14ac:dyDescent="0.2">
      <c r="A8" s="12" t="s">
        <v>15</v>
      </c>
      <c r="B8" s="13">
        <v>27953.969999999998</v>
      </c>
      <c r="C8" s="13">
        <v>26202.1</v>
      </c>
      <c r="D8" s="13">
        <v>21804.49</v>
      </c>
      <c r="E8" s="13">
        <v>75960.56</v>
      </c>
      <c r="F8" s="14">
        <f t="shared" ref="F8:F71" si="0">IFERROR((D8/C8),0)</f>
        <v>0.83216574244049157</v>
      </c>
      <c r="G8" s="15">
        <f t="shared" ref="G8:G71" si="1">+F108</f>
        <v>0.88029827315541609</v>
      </c>
      <c r="H8" s="1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</row>
    <row r="9" spans="1:76" s="11" customFormat="1" x14ac:dyDescent="0.2">
      <c r="A9" s="12" t="s">
        <v>16</v>
      </c>
      <c r="B9" s="13">
        <v>47645.520000000004</v>
      </c>
      <c r="C9" s="13">
        <v>42649.4</v>
      </c>
      <c r="D9" s="13">
        <v>37124.239999999998</v>
      </c>
      <c r="E9" s="13">
        <v>127419.16</v>
      </c>
      <c r="F9" s="14">
        <f t="shared" si="0"/>
        <v>0.87045163589640173</v>
      </c>
      <c r="G9" s="15">
        <f t="shared" si="1"/>
        <v>0.83706563706563708</v>
      </c>
      <c r="H9" s="1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</row>
    <row r="10" spans="1:76" s="11" customFormat="1" x14ac:dyDescent="0.2">
      <c r="A10" s="12" t="s">
        <v>17</v>
      </c>
      <c r="B10" s="13">
        <v>386.44</v>
      </c>
      <c r="C10" s="13">
        <v>531.12</v>
      </c>
      <c r="D10" s="13">
        <v>523.4</v>
      </c>
      <c r="E10" s="13">
        <v>1440.96</v>
      </c>
      <c r="F10" s="14">
        <f t="shared" si="0"/>
        <v>0.98546467841542396</v>
      </c>
      <c r="G10" s="15">
        <f>+F110</f>
        <v>0.9285714285714286</v>
      </c>
      <c r="H10" s="1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</row>
    <row r="11" spans="1:76" s="11" customFormat="1" x14ac:dyDescent="0.2">
      <c r="A11" s="12" t="s">
        <v>18</v>
      </c>
      <c r="B11" s="13">
        <v>30420.46</v>
      </c>
      <c r="C11" s="13">
        <v>45529.1</v>
      </c>
      <c r="D11" s="13">
        <v>30776.04</v>
      </c>
      <c r="E11" s="13">
        <v>106725.6</v>
      </c>
      <c r="F11" s="14">
        <f t="shared" si="0"/>
        <v>0.67596416357889788</v>
      </c>
      <c r="G11" s="15">
        <f t="shared" si="1"/>
        <v>0.95260557053009887</v>
      </c>
      <c r="H11" s="10"/>
      <c r="L11" s="7"/>
      <c r="M11" s="7"/>
      <c r="N11" s="1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</row>
    <row r="12" spans="1:76" s="11" customFormat="1" x14ac:dyDescent="0.2">
      <c r="A12" s="12" t="s">
        <v>19</v>
      </c>
      <c r="B12" s="13">
        <v>60773.11</v>
      </c>
      <c r="C12" s="13">
        <v>60810.93</v>
      </c>
      <c r="D12" s="13">
        <v>44629.09</v>
      </c>
      <c r="E12" s="13">
        <v>166213.13</v>
      </c>
      <c r="F12" s="14">
        <f t="shared" si="0"/>
        <v>0.73389915266877181</v>
      </c>
      <c r="G12" s="15">
        <f t="shared" si="1"/>
        <v>0.73729384280848898</v>
      </c>
      <c r="H12" s="1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</row>
    <row r="13" spans="1:76" s="11" customFormat="1" x14ac:dyDescent="0.2">
      <c r="A13" s="12" t="s">
        <v>20</v>
      </c>
      <c r="B13" s="13">
        <v>56204.78</v>
      </c>
      <c r="C13" s="13">
        <v>52666.09</v>
      </c>
      <c r="D13" s="13">
        <v>49712.51</v>
      </c>
      <c r="E13" s="13">
        <v>158583.38</v>
      </c>
      <c r="F13" s="14">
        <f t="shared" si="0"/>
        <v>0.94391875303444783</v>
      </c>
      <c r="G13" s="15">
        <f t="shared" si="1"/>
        <v>0.9662513281310896</v>
      </c>
      <c r="H13" s="1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</row>
    <row r="14" spans="1:76" s="11" customFormat="1" x14ac:dyDescent="0.2">
      <c r="A14" s="12" t="s">
        <v>21</v>
      </c>
      <c r="B14" s="13">
        <v>65772.06</v>
      </c>
      <c r="C14" s="13">
        <v>67154.01999999999</v>
      </c>
      <c r="D14" s="13">
        <v>60823.72</v>
      </c>
      <c r="E14" s="13">
        <v>193749.8</v>
      </c>
      <c r="F14" s="14">
        <f t="shared" si="0"/>
        <v>0.9057346082929959</v>
      </c>
      <c r="G14" s="15">
        <f t="shared" si="1"/>
        <v>0.94676553509165773</v>
      </c>
      <c r="H14" s="1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</row>
    <row r="15" spans="1:76" s="11" customFormat="1" x14ac:dyDescent="0.2">
      <c r="A15" s="12" t="s">
        <v>22</v>
      </c>
      <c r="B15" s="13">
        <v>57725.52</v>
      </c>
      <c r="C15" s="13">
        <v>55473.13</v>
      </c>
      <c r="D15" s="13">
        <v>53091.53</v>
      </c>
      <c r="E15" s="13">
        <v>166290.18</v>
      </c>
      <c r="F15" s="14">
        <f t="shared" si="0"/>
        <v>0.95706750277116148</v>
      </c>
      <c r="G15" s="15">
        <f t="shared" si="1"/>
        <v>0.93538271347449287</v>
      </c>
      <c r="H15" s="1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</row>
    <row r="16" spans="1:76" s="11" customFormat="1" x14ac:dyDescent="0.2">
      <c r="A16" s="17" t="s">
        <v>23</v>
      </c>
      <c r="B16" s="18">
        <v>60679.09</v>
      </c>
      <c r="C16" s="18">
        <v>57942.61</v>
      </c>
      <c r="D16" s="18">
        <v>61219.73</v>
      </c>
      <c r="E16" s="18">
        <v>179841.43</v>
      </c>
      <c r="F16" s="19">
        <f t="shared" si="0"/>
        <v>1.0565580321632042</v>
      </c>
      <c r="G16" s="20">
        <f t="shared" si="1"/>
        <v>1.0219692461074401</v>
      </c>
      <c r="H16" s="10" t="s">
        <v>24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</row>
    <row r="17" spans="1:76" s="11" customFormat="1" x14ac:dyDescent="0.2">
      <c r="A17" s="12" t="s">
        <v>25</v>
      </c>
      <c r="B17" s="13">
        <v>78534.149999999994</v>
      </c>
      <c r="C17" s="13">
        <v>75939.83</v>
      </c>
      <c r="D17" s="13">
        <v>70724.070000000007</v>
      </c>
      <c r="E17" s="13">
        <v>225198.05</v>
      </c>
      <c r="F17" s="14">
        <f t="shared" si="0"/>
        <v>0.93131720205325719</v>
      </c>
      <c r="G17" s="15">
        <f t="shared" si="1"/>
        <v>1.0000203240014029</v>
      </c>
      <c r="H17" s="1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11" customFormat="1" x14ac:dyDescent="0.2">
      <c r="A18" s="12" t="s">
        <v>26</v>
      </c>
      <c r="B18" s="13">
        <v>75885.42</v>
      </c>
      <c r="C18" s="13">
        <v>73755.149999999994</v>
      </c>
      <c r="D18" s="13">
        <v>68840.98</v>
      </c>
      <c r="E18" s="13">
        <v>218481.55</v>
      </c>
      <c r="F18" s="14">
        <f t="shared" si="0"/>
        <v>0.93337183911903099</v>
      </c>
      <c r="G18" s="15">
        <f t="shared" si="1"/>
        <v>0.98881987577639763</v>
      </c>
      <c r="H18" s="10"/>
      <c r="K18" s="2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11" customFormat="1" x14ac:dyDescent="0.2">
      <c r="A19" s="17" t="s">
        <v>27</v>
      </c>
      <c r="B19" s="18">
        <v>57880.57</v>
      </c>
      <c r="C19" s="18">
        <v>51001.89</v>
      </c>
      <c r="D19" s="18">
        <v>53948.33</v>
      </c>
      <c r="E19" s="18">
        <v>162830.78999999998</v>
      </c>
      <c r="F19" s="19">
        <f t="shared" si="0"/>
        <v>1.0577711924009092</v>
      </c>
      <c r="G19" s="20">
        <f t="shared" si="1"/>
        <v>0.94800103802950153</v>
      </c>
      <c r="H19" s="10" t="s">
        <v>24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11" customFormat="1" x14ac:dyDescent="0.2">
      <c r="A20" s="12" t="s">
        <v>28</v>
      </c>
      <c r="B20" s="13">
        <v>40162.33</v>
      </c>
      <c r="C20" s="13">
        <v>83364.73</v>
      </c>
      <c r="D20" s="13">
        <v>58398.52</v>
      </c>
      <c r="E20" s="13">
        <v>181925.58</v>
      </c>
      <c r="F20" s="14">
        <f t="shared" si="0"/>
        <v>0.70051831272049947</v>
      </c>
      <c r="G20" s="15">
        <f t="shared" si="1"/>
        <v>0.94122268460016811</v>
      </c>
      <c r="H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11" customFormat="1" x14ac:dyDescent="0.2">
      <c r="A21" s="12" t="s">
        <v>29</v>
      </c>
      <c r="B21" s="13">
        <v>57486.720000000001</v>
      </c>
      <c r="C21" s="13">
        <v>56319.81</v>
      </c>
      <c r="D21" s="13">
        <v>54631.88</v>
      </c>
      <c r="E21" s="13">
        <v>168438.41</v>
      </c>
      <c r="F21" s="14">
        <f t="shared" si="0"/>
        <v>0.97002955088094223</v>
      </c>
      <c r="G21" s="15">
        <f t="shared" si="1"/>
        <v>0.95155075233199982</v>
      </c>
      <c r="H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11" customFormat="1" x14ac:dyDescent="0.2">
      <c r="A22" s="12" t="s">
        <v>30</v>
      </c>
      <c r="B22" s="13">
        <v>76481.009999999995</v>
      </c>
      <c r="C22" s="13">
        <v>76126.850000000006</v>
      </c>
      <c r="D22" s="13">
        <v>70340.76999999999</v>
      </c>
      <c r="E22" s="13">
        <v>222948.62999999998</v>
      </c>
      <c r="F22" s="14">
        <f t="shared" si="0"/>
        <v>0.92399422805488451</v>
      </c>
      <c r="G22" s="15">
        <f t="shared" si="1"/>
        <v>0.94451607396693871</v>
      </c>
      <c r="H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22" customFormat="1" x14ac:dyDescent="0.2">
      <c r="A23" s="12" t="s">
        <v>31</v>
      </c>
      <c r="B23" s="13">
        <v>73063.56</v>
      </c>
      <c r="C23" s="13">
        <v>72464.3</v>
      </c>
      <c r="D23" s="13">
        <v>66737.960000000006</v>
      </c>
      <c r="E23" s="13">
        <v>212265.82</v>
      </c>
      <c r="F23" s="14">
        <f t="shared" si="0"/>
        <v>0.92097708802817391</v>
      </c>
      <c r="G23" s="15">
        <f t="shared" si="1"/>
        <v>1.034139080980697</v>
      </c>
      <c r="H23" s="10"/>
      <c r="I23" s="11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</row>
    <row r="24" spans="1:76" s="11" customFormat="1" x14ac:dyDescent="0.2">
      <c r="A24" s="12" t="s">
        <v>32</v>
      </c>
      <c r="B24" s="13">
        <v>52459.95</v>
      </c>
      <c r="C24" s="13">
        <v>52127.69</v>
      </c>
      <c r="D24" s="13">
        <v>50654.33</v>
      </c>
      <c r="E24" s="13">
        <v>155241.97</v>
      </c>
      <c r="F24" s="14">
        <f t="shared" si="0"/>
        <v>0.97173555935434697</v>
      </c>
      <c r="G24" s="15">
        <f t="shared" si="1"/>
        <v>1.0906677707815509</v>
      </c>
      <c r="H24" s="1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11" customFormat="1" x14ac:dyDescent="0.2">
      <c r="A25" s="12" t="s">
        <v>33</v>
      </c>
      <c r="B25" s="13">
        <v>46694.559999999998</v>
      </c>
      <c r="C25" s="13">
        <v>50760.820000000007</v>
      </c>
      <c r="D25" s="13">
        <v>46171.95</v>
      </c>
      <c r="E25" s="13">
        <v>143627.33000000002</v>
      </c>
      <c r="F25" s="14">
        <f t="shared" si="0"/>
        <v>0.90959819010015974</v>
      </c>
      <c r="G25" s="15">
        <f t="shared" si="1"/>
        <v>0.88304277902002859</v>
      </c>
      <c r="H25" s="10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11" customFormat="1" x14ac:dyDescent="0.2">
      <c r="A26" s="12" t="s">
        <v>34</v>
      </c>
      <c r="B26" s="13">
        <v>60725.83</v>
      </c>
      <c r="C26" s="13">
        <v>59373.34</v>
      </c>
      <c r="D26" s="13">
        <v>57948.04</v>
      </c>
      <c r="E26" s="13">
        <v>178047.21</v>
      </c>
      <c r="F26" s="14">
        <f t="shared" si="0"/>
        <v>0.97599427621892254</v>
      </c>
      <c r="G26" s="15">
        <f t="shared" si="1"/>
        <v>1.0293229098698542</v>
      </c>
      <c r="H26" s="10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11" customFormat="1" x14ac:dyDescent="0.2">
      <c r="A27" s="12" t="s">
        <v>35</v>
      </c>
      <c r="B27" s="13">
        <v>68164.53</v>
      </c>
      <c r="C27" s="13">
        <v>62895.429999999993</v>
      </c>
      <c r="D27" s="13">
        <v>58711.35</v>
      </c>
      <c r="E27" s="13">
        <v>189771.31</v>
      </c>
      <c r="F27" s="14">
        <f t="shared" si="0"/>
        <v>0.93347561182108152</v>
      </c>
      <c r="G27" s="15">
        <f t="shared" si="1"/>
        <v>0.89045882894116546</v>
      </c>
      <c r="H27" s="1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11" customFormat="1" x14ac:dyDescent="0.2">
      <c r="A28" s="12" t="s">
        <v>36</v>
      </c>
      <c r="B28" s="13">
        <v>66161.86</v>
      </c>
      <c r="C28" s="13">
        <v>65721.569999999992</v>
      </c>
      <c r="D28" s="13">
        <v>57027.49</v>
      </c>
      <c r="E28" s="13">
        <v>188910.91999999998</v>
      </c>
      <c r="F28" s="14">
        <f t="shared" si="0"/>
        <v>0.86771344628559555</v>
      </c>
      <c r="G28" s="15">
        <f t="shared" si="1"/>
        <v>1.1196138837955361</v>
      </c>
      <c r="H28" s="10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11" customFormat="1" x14ac:dyDescent="0.2">
      <c r="A29" s="12" t="s">
        <v>37</v>
      </c>
      <c r="B29" s="13">
        <v>64262.29</v>
      </c>
      <c r="C29" s="13">
        <v>61707.68</v>
      </c>
      <c r="D29" s="13">
        <v>58007.25</v>
      </c>
      <c r="E29" s="13">
        <v>183977.22</v>
      </c>
      <c r="F29" s="14">
        <f t="shared" si="0"/>
        <v>0.94003291000407085</v>
      </c>
      <c r="G29" s="15">
        <f t="shared" si="1"/>
        <v>0.90413835599851677</v>
      </c>
      <c r="H29" s="10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11" customFormat="1" x14ac:dyDescent="0.2">
      <c r="A30" s="12" t="s">
        <v>38</v>
      </c>
      <c r="B30" s="13">
        <v>54091.24</v>
      </c>
      <c r="C30" s="13">
        <v>56853.81</v>
      </c>
      <c r="D30" s="13">
        <v>51245.16</v>
      </c>
      <c r="E30" s="13">
        <v>162190.21</v>
      </c>
      <c r="F30" s="14">
        <f t="shared" si="0"/>
        <v>0.90134961931311208</v>
      </c>
      <c r="G30" s="15">
        <f t="shared" si="1"/>
        <v>0.93335302151748034</v>
      </c>
      <c r="H30" s="10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11" customFormat="1" x14ac:dyDescent="0.2">
      <c r="A31" s="12" t="s">
        <v>39</v>
      </c>
      <c r="B31" s="13">
        <v>50846.84</v>
      </c>
      <c r="C31" s="13">
        <v>49001.51</v>
      </c>
      <c r="D31" s="13">
        <v>45461.78</v>
      </c>
      <c r="E31" s="13">
        <v>145310.13</v>
      </c>
      <c r="F31" s="14">
        <f t="shared" si="0"/>
        <v>0.92776283832885964</v>
      </c>
      <c r="G31" s="15">
        <f t="shared" si="1"/>
        <v>0.92419562648643205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11" customFormat="1" x14ac:dyDescent="0.2">
      <c r="A32" s="12" t="s">
        <v>40</v>
      </c>
      <c r="B32" s="13">
        <v>65077.85</v>
      </c>
      <c r="C32" s="13">
        <v>64940.13</v>
      </c>
      <c r="D32" s="13">
        <v>56630.9</v>
      </c>
      <c r="E32" s="13">
        <v>186648.88</v>
      </c>
      <c r="F32" s="14">
        <f t="shared" si="0"/>
        <v>0.87204783852449952</v>
      </c>
      <c r="G32" s="15">
        <f t="shared" si="1"/>
        <v>0.97825145642715927</v>
      </c>
      <c r="H32" s="10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11" customFormat="1" x14ac:dyDescent="0.2">
      <c r="A33" s="12" t="s">
        <v>41</v>
      </c>
      <c r="B33" s="13">
        <v>70986.319999999992</v>
      </c>
      <c r="C33" s="13">
        <v>68115.91</v>
      </c>
      <c r="D33" s="13">
        <v>61519.56</v>
      </c>
      <c r="E33" s="13">
        <v>200621.78999999998</v>
      </c>
      <c r="F33" s="14">
        <f t="shared" si="0"/>
        <v>0.90315992254966559</v>
      </c>
      <c r="G33" s="15">
        <f t="shared" si="1"/>
        <v>0.8956534152229455</v>
      </c>
      <c r="H33" s="10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11" customFormat="1" x14ac:dyDescent="0.2">
      <c r="A34" s="12" t="s">
        <v>42</v>
      </c>
      <c r="B34" s="13">
        <v>83878.759999999995</v>
      </c>
      <c r="C34" s="13">
        <v>77785.590000000011</v>
      </c>
      <c r="D34" s="13">
        <v>69368.070000000007</v>
      </c>
      <c r="E34" s="13">
        <v>231032.42</v>
      </c>
      <c r="F34" s="14">
        <f t="shared" si="0"/>
        <v>0.89178561221943542</v>
      </c>
      <c r="G34" s="15">
        <f t="shared" si="1"/>
        <v>0.96053662492611769</v>
      </c>
      <c r="H34" s="1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11" customFormat="1" x14ac:dyDescent="0.2">
      <c r="A35" s="12" t="s">
        <v>43</v>
      </c>
      <c r="B35" s="13">
        <v>58469.929999999993</v>
      </c>
      <c r="C35" s="13">
        <v>53726.38</v>
      </c>
      <c r="D35" s="13">
        <v>51349.48</v>
      </c>
      <c r="E35" s="13">
        <v>163545.79</v>
      </c>
      <c r="F35" s="14">
        <f t="shared" si="0"/>
        <v>0.95575916337560818</v>
      </c>
      <c r="G35" s="15">
        <f t="shared" si="1"/>
        <v>0.99210481036130715</v>
      </c>
      <c r="H35" s="10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11" customFormat="1" x14ac:dyDescent="0.2">
      <c r="A36" s="12" t="s">
        <v>44</v>
      </c>
      <c r="B36" s="13">
        <v>68154.86</v>
      </c>
      <c r="C36" s="13">
        <v>65187.1</v>
      </c>
      <c r="D36" s="13">
        <v>59027.93</v>
      </c>
      <c r="E36" s="13">
        <v>192369.88999999998</v>
      </c>
      <c r="F36" s="14">
        <f t="shared" si="0"/>
        <v>0.90551550843648521</v>
      </c>
      <c r="G36" s="15">
        <f t="shared" si="1"/>
        <v>0.90822718126074098</v>
      </c>
      <c r="H36" s="10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11" customFormat="1" x14ac:dyDescent="0.2">
      <c r="A37" s="24" t="s">
        <v>45</v>
      </c>
      <c r="B37" s="13">
        <v>68091.34</v>
      </c>
      <c r="C37" s="13">
        <v>70817.87</v>
      </c>
      <c r="D37" s="13">
        <v>66810.64</v>
      </c>
      <c r="E37" s="13">
        <v>205719.84999999998</v>
      </c>
      <c r="F37" s="14">
        <f t="shared" si="0"/>
        <v>0.94341498833557125</v>
      </c>
      <c r="G37" s="15">
        <f t="shared" si="1"/>
        <v>1.0466935203703183</v>
      </c>
      <c r="H37" s="10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11" customFormat="1" x14ac:dyDescent="0.2">
      <c r="A38" s="12" t="s">
        <v>46</v>
      </c>
      <c r="B38" s="13">
        <v>44590.95</v>
      </c>
      <c r="C38" s="13">
        <v>42434.22</v>
      </c>
      <c r="D38" s="13">
        <v>39096.959999999999</v>
      </c>
      <c r="E38" s="13">
        <v>126122.13</v>
      </c>
      <c r="F38" s="14">
        <f t="shared" si="0"/>
        <v>0.92135451058131856</v>
      </c>
      <c r="G38" s="15">
        <f t="shared" si="1"/>
        <v>0.92710622710622703</v>
      </c>
      <c r="H38" s="10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11" customFormat="1" x14ac:dyDescent="0.2">
      <c r="A39" s="12" t="s">
        <v>47</v>
      </c>
      <c r="B39" s="13">
        <v>66000.070000000007</v>
      </c>
      <c r="C39" s="13">
        <v>63458</v>
      </c>
      <c r="D39" s="13">
        <v>56924.6</v>
      </c>
      <c r="E39" s="13">
        <v>186382.67</v>
      </c>
      <c r="F39" s="14">
        <f t="shared" si="0"/>
        <v>0.89704371395253546</v>
      </c>
      <c r="G39" s="15">
        <f t="shared" si="1"/>
        <v>0.96639999026484547</v>
      </c>
      <c r="H39" s="10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11" customFormat="1" x14ac:dyDescent="0.2">
      <c r="A40" s="12" t="s">
        <v>48</v>
      </c>
      <c r="B40" s="13">
        <v>80718.61</v>
      </c>
      <c r="C40" s="13">
        <v>79516.02</v>
      </c>
      <c r="D40" s="13">
        <v>72878.81</v>
      </c>
      <c r="E40" s="13">
        <v>233113.44</v>
      </c>
      <c r="F40" s="14">
        <f t="shared" si="0"/>
        <v>0.91652990177325266</v>
      </c>
      <c r="G40" s="15">
        <f t="shared" si="1"/>
        <v>0.96416726994969437</v>
      </c>
      <c r="H40" s="10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11" customFormat="1" x14ac:dyDescent="0.2">
      <c r="A41" s="12" t="s">
        <v>49</v>
      </c>
      <c r="B41" s="13">
        <v>89265.919999999998</v>
      </c>
      <c r="C41" s="13">
        <v>88486.13</v>
      </c>
      <c r="D41" s="13">
        <v>81194.570000000007</v>
      </c>
      <c r="E41" s="13">
        <v>258946.62</v>
      </c>
      <c r="F41" s="14">
        <f t="shared" si="0"/>
        <v>0.91759657700025987</v>
      </c>
      <c r="G41" s="15">
        <f t="shared" si="1"/>
        <v>0.97402484937454648</v>
      </c>
      <c r="H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11" customFormat="1" x14ac:dyDescent="0.2">
      <c r="A42" s="12" t="s">
        <v>50</v>
      </c>
      <c r="B42" s="13">
        <v>45553.32</v>
      </c>
      <c r="C42" s="13">
        <v>43636.79</v>
      </c>
      <c r="D42" s="13">
        <v>39721.42</v>
      </c>
      <c r="E42" s="13">
        <v>128911.53</v>
      </c>
      <c r="F42" s="14">
        <f t="shared" si="0"/>
        <v>0.91027364753456885</v>
      </c>
      <c r="G42" s="15">
        <f t="shared" si="1"/>
        <v>0.86763221309772065</v>
      </c>
      <c r="H42" s="10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11" customFormat="1" x14ac:dyDescent="0.2">
      <c r="A43" s="12" t="s">
        <v>51</v>
      </c>
      <c r="B43" s="13">
        <v>46941.95</v>
      </c>
      <c r="C43" s="13">
        <v>44988.43</v>
      </c>
      <c r="D43" s="13">
        <v>40702.86</v>
      </c>
      <c r="E43" s="13">
        <v>132633.24</v>
      </c>
      <c r="F43" s="14">
        <f t="shared" si="0"/>
        <v>0.90474061886578394</v>
      </c>
      <c r="G43" s="15">
        <f t="shared" si="1"/>
        <v>0.94945837219363949</v>
      </c>
      <c r="H43" s="1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11" customFormat="1" x14ac:dyDescent="0.2">
      <c r="A44" s="12" t="s">
        <v>52</v>
      </c>
      <c r="B44" s="13">
        <v>59579.909999999996</v>
      </c>
      <c r="C44" s="13">
        <v>54545.86</v>
      </c>
      <c r="D44" s="13">
        <v>49014.28</v>
      </c>
      <c r="E44" s="13">
        <v>163140.04999999999</v>
      </c>
      <c r="F44" s="14">
        <f t="shared" si="0"/>
        <v>0.89858845382582653</v>
      </c>
      <c r="G44" s="15">
        <f t="shared" si="1"/>
        <v>0.9772634595810179</v>
      </c>
      <c r="H44" s="10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22" customFormat="1" x14ac:dyDescent="0.2">
      <c r="A45" s="12" t="s">
        <v>53</v>
      </c>
      <c r="B45" s="13">
        <v>70418.86</v>
      </c>
      <c r="C45" s="13">
        <v>70399.58</v>
      </c>
      <c r="D45" s="13">
        <v>70119.900000000009</v>
      </c>
      <c r="E45" s="13">
        <v>210938.34000000003</v>
      </c>
      <c r="F45" s="14">
        <f t="shared" si="0"/>
        <v>0.99602724902620166</v>
      </c>
      <c r="G45" s="15">
        <f t="shared" si="1"/>
        <v>1.09329123855279</v>
      </c>
      <c r="H45" s="10"/>
      <c r="I45" s="11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11" customFormat="1" x14ac:dyDescent="0.2">
      <c r="A46" s="12" t="s">
        <v>54</v>
      </c>
      <c r="B46" s="13">
        <v>55913.1</v>
      </c>
      <c r="C46" s="13">
        <v>51588.4</v>
      </c>
      <c r="D46" s="13">
        <v>46227.5</v>
      </c>
      <c r="E46" s="13">
        <v>153729</v>
      </c>
      <c r="F46" s="14">
        <f t="shared" si="0"/>
        <v>0.89608322801249896</v>
      </c>
      <c r="G46" s="15">
        <f t="shared" si="1"/>
        <v>0.7610284966049361</v>
      </c>
      <c r="H46" s="1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11" customFormat="1" x14ac:dyDescent="0.2">
      <c r="A47" s="12" t="s">
        <v>55</v>
      </c>
      <c r="B47" s="13">
        <v>68618.02</v>
      </c>
      <c r="C47" s="13">
        <v>63581.120000000003</v>
      </c>
      <c r="D47" s="13">
        <v>58681.38</v>
      </c>
      <c r="E47" s="13">
        <v>190880.52000000002</v>
      </c>
      <c r="F47" s="14">
        <f t="shared" si="0"/>
        <v>0.92293718638488897</v>
      </c>
      <c r="G47" s="15">
        <f t="shared" si="1"/>
        <v>0.93634085213032592</v>
      </c>
      <c r="H47" s="1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11" customFormat="1" x14ac:dyDescent="0.2">
      <c r="A48" s="12" t="s">
        <v>56</v>
      </c>
      <c r="B48" s="13">
        <v>66291.820000000007</v>
      </c>
      <c r="C48" s="13">
        <v>63642.17</v>
      </c>
      <c r="D48" s="13">
        <v>60172.21</v>
      </c>
      <c r="E48" s="13">
        <v>190106.2</v>
      </c>
      <c r="F48" s="14">
        <f t="shared" si="0"/>
        <v>0.94547703197423971</v>
      </c>
      <c r="G48" s="15">
        <f t="shared" si="1"/>
        <v>0.93026120619979291</v>
      </c>
      <c r="H48" s="10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11" customFormat="1" x14ac:dyDescent="0.2">
      <c r="A49" s="12" t="s">
        <v>57</v>
      </c>
      <c r="B49" s="13">
        <v>50639.15</v>
      </c>
      <c r="C49" s="13">
        <v>54406.820000000007</v>
      </c>
      <c r="D49" s="13">
        <v>45528.89</v>
      </c>
      <c r="E49" s="13">
        <v>150574.85999999999</v>
      </c>
      <c r="F49" s="14">
        <f t="shared" si="0"/>
        <v>0.83682321444260099</v>
      </c>
      <c r="G49" s="15">
        <f t="shared" si="1"/>
        <v>0.90998318618286322</v>
      </c>
      <c r="H49" s="10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11" customFormat="1" x14ac:dyDescent="0.2">
      <c r="A50" s="12" t="s">
        <v>58</v>
      </c>
      <c r="B50" s="13">
        <v>66464.75</v>
      </c>
      <c r="C50" s="13">
        <v>52828.91</v>
      </c>
      <c r="D50" s="13">
        <v>48128.75</v>
      </c>
      <c r="E50" s="13">
        <v>167422.41</v>
      </c>
      <c r="F50" s="14">
        <f t="shared" si="0"/>
        <v>0.91103053233542008</v>
      </c>
      <c r="G50" s="15">
        <f t="shared" si="1"/>
        <v>0.82140570379457423</v>
      </c>
      <c r="H50" s="10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11" customFormat="1" x14ac:dyDescent="0.2">
      <c r="A51" s="12" t="s">
        <v>59</v>
      </c>
      <c r="B51" s="13">
        <v>59945.95</v>
      </c>
      <c r="C51" s="13">
        <v>59160.43</v>
      </c>
      <c r="D51" s="13">
        <v>54116.69</v>
      </c>
      <c r="E51" s="13">
        <v>173223.07</v>
      </c>
      <c r="F51" s="14">
        <f t="shared" si="0"/>
        <v>0.914744703512128</v>
      </c>
      <c r="G51" s="15">
        <f t="shared" si="1"/>
        <v>0.89395551450155852</v>
      </c>
      <c r="H51" s="1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11" customFormat="1" x14ac:dyDescent="0.2">
      <c r="A52" s="12" t="s">
        <v>60</v>
      </c>
      <c r="B52" s="13">
        <v>78182.680000000008</v>
      </c>
      <c r="C52" s="13">
        <v>69835.19</v>
      </c>
      <c r="D52" s="13">
        <v>65071.040000000001</v>
      </c>
      <c r="E52" s="13">
        <v>213088.91</v>
      </c>
      <c r="F52" s="14">
        <f t="shared" si="0"/>
        <v>0.93178009539316786</v>
      </c>
      <c r="G52" s="15">
        <f t="shared" si="1"/>
        <v>1.0317992186050546</v>
      </c>
      <c r="H52" s="10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11" customFormat="1" x14ac:dyDescent="0.2">
      <c r="A53" s="12" t="s">
        <v>61</v>
      </c>
      <c r="B53" s="13">
        <v>61411.09</v>
      </c>
      <c r="C53" s="13">
        <v>60261.86</v>
      </c>
      <c r="D53" s="13">
        <v>53146.19</v>
      </c>
      <c r="E53" s="13">
        <v>174819.14</v>
      </c>
      <c r="F53" s="14">
        <f t="shared" si="0"/>
        <v>0.88192083682780453</v>
      </c>
      <c r="G53" s="15">
        <f t="shared" si="1"/>
        <v>0.94161449204544134</v>
      </c>
      <c r="H53" s="10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11" customFormat="1" x14ac:dyDescent="0.2">
      <c r="A54" s="12" t="s">
        <v>62</v>
      </c>
      <c r="B54" s="13">
        <v>66047.12000000001</v>
      </c>
      <c r="C54" s="13">
        <v>60299.689999999995</v>
      </c>
      <c r="D54" s="13">
        <v>54650.080000000002</v>
      </c>
      <c r="E54" s="13">
        <v>180996.89</v>
      </c>
      <c r="F54" s="14">
        <f t="shared" si="0"/>
        <v>0.90630781020598961</v>
      </c>
      <c r="G54" s="15">
        <f t="shared" si="1"/>
        <v>0.89217818640887814</v>
      </c>
      <c r="H54" s="10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11" customFormat="1" x14ac:dyDescent="0.2">
      <c r="A55" s="12" t="s">
        <v>63</v>
      </c>
      <c r="B55" s="13">
        <v>55150.35</v>
      </c>
      <c r="C55" s="13">
        <v>52849.06</v>
      </c>
      <c r="D55" s="13">
        <v>46938.39</v>
      </c>
      <c r="E55" s="13">
        <v>154937.79999999999</v>
      </c>
      <c r="F55" s="14">
        <f t="shared" si="0"/>
        <v>0.88815941097154805</v>
      </c>
      <c r="G55" s="15">
        <f t="shared" si="1"/>
        <v>0.87535018317935742</v>
      </c>
      <c r="H55" s="10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11" customFormat="1" x14ac:dyDescent="0.2">
      <c r="A56" s="12" t="s">
        <v>64</v>
      </c>
      <c r="B56" s="13">
        <v>88207.64</v>
      </c>
      <c r="C56" s="13">
        <v>85800.89</v>
      </c>
      <c r="D56" s="13">
        <v>54911.47</v>
      </c>
      <c r="E56" s="13">
        <v>228920</v>
      </c>
      <c r="F56" s="14">
        <f t="shared" si="0"/>
        <v>0.63998718428212109</v>
      </c>
      <c r="G56" s="15">
        <f t="shared" si="1"/>
        <v>0.79118331912791207</v>
      </c>
      <c r="H56" s="10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11" customFormat="1" x14ac:dyDescent="0.2">
      <c r="A57" s="12" t="s">
        <v>65</v>
      </c>
      <c r="B57" s="13">
        <v>56552.33</v>
      </c>
      <c r="C57" s="13">
        <v>54545.86</v>
      </c>
      <c r="D57" s="13">
        <v>47937.35</v>
      </c>
      <c r="E57" s="13">
        <v>159035.54</v>
      </c>
      <c r="F57" s="14">
        <f t="shared" si="0"/>
        <v>0.87884488391969617</v>
      </c>
      <c r="G57" s="15">
        <f t="shared" si="1"/>
        <v>0.93078892319733819</v>
      </c>
      <c r="H57" s="10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11" customFormat="1" x14ac:dyDescent="0.2">
      <c r="A58" s="12" t="s">
        <v>66</v>
      </c>
      <c r="B58" s="13">
        <v>69938.63</v>
      </c>
      <c r="C58" s="13">
        <v>72483.179999999993</v>
      </c>
      <c r="D58" s="13">
        <v>64998.85</v>
      </c>
      <c r="E58" s="13">
        <v>207420.66</v>
      </c>
      <c r="F58" s="14">
        <f t="shared" si="0"/>
        <v>0.89674390665530956</v>
      </c>
      <c r="G58" s="15">
        <f t="shared" si="1"/>
        <v>0.94118303571428574</v>
      </c>
      <c r="H58" s="10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11" customFormat="1" x14ac:dyDescent="0.2">
      <c r="A59" s="12" t="s">
        <v>67</v>
      </c>
      <c r="B59" s="13">
        <v>54721.17</v>
      </c>
      <c r="C59" s="13">
        <v>52313.43</v>
      </c>
      <c r="D59" s="13">
        <v>45295.09</v>
      </c>
      <c r="E59" s="13">
        <v>152329.69</v>
      </c>
      <c r="F59" s="14">
        <f t="shared" si="0"/>
        <v>0.86584056904699225</v>
      </c>
      <c r="G59" s="15">
        <f t="shared" si="1"/>
        <v>0.81585173416471624</v>
      </c>
      <c r="H59" s="10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11" customFormat="1" x14ac:dyDescent="0.2">
      <c r="A60" s="12" t="s">
        <v>68</v>
      </c>
      <c r="B60" s="13">
        <v>58079.53</v>
      </c>
      <c r="C60" s="13">
        <v>54120.09</v>
      </c>
      <c r="D60" s="13">
        <v>50297.29</v>
      </c>
      <c r="E60" s="13">
        <v>162496.91</v>
      </c>
      <c r="F60" s="14">
        <f t="shared" si="0"/>
        <v>0.92936449292674872</v>
      </c>
      <c r="G60" s="15">
        <f t="shared" si="1"/>
        <v>0.94148448235422688</v>
      </c>
      <c r="H60" s="10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11" customFormat="1" x14ac:dyDescent="0.2">
      <c r="A61" s="12" t="s">
        <v>69</v>
      </c>
      <c r="B61" s="13">
        <v>79060.02</v>
      </c>
      <c r="C61" s="13">
        <v>77106.490000000005</v>
      </c>
      <c r="D61" s="13">
        <v>68629.259999999995</v>
      </c>
      <c r="E61" s="13">
        <v>224795.77000000002</v>
      </c>
      <c r="F61" s="14">
        <f t="shared" si="0"/>
        <v>0.89005815204401073</v>
      </c>
      <c r="G61" s="15">
        <f t="shared" si="1"/>
        <v>0.97511667283401982</v>
      </c>
      <c r="H61" s="10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11" customFormat="1" x14ac:dyDescent="0.2">
      <c r="A62" s="12" t="s">
        <v>70</v>
      </c>
      <c r="B62" s="13">
        <v>69434.12</v>
      </c>
      <c r="C62" s="13">
        <v>65771.259999999995</v>
      </c>
      <c r="D62" s="13">
        <v>57879.17</v>
      </c>
      <c r="E62" s="13">
        <v>193084.55</v>
      </c>
      <c r="F62" s="14">
        <f t="shared" si="0"/>
        <v>0.88000701218130839</v>
      </c>
      <c r="G62" s="15">
        <f t="shared" si="1"/>
        <v>0.83319894638029546</v>
      </c>
      <c r="H62" s="10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11" customFormat="1" x14ac:dyDescent="0.2">
      <c r="A63" s="17" t="s">
        <v>71</v>
      </c>
      <c r="B63" s="18">
        <v>56902.97</v>
      </c>
      <c r="C63" s="18">
        <v>53888.42</v>
      </c>
      <c r="D63" s="18">
        <v>54608.47</v>
      </c>
      <c r="E63" s="18">
        <v>165399.85999999999</v>
      </c>
      <c r="F63" s="19">
        <f t="shared" si="0"/>
        <v>1.0133618688393538</v>
      </c>
      <c r="G63" s="20">
        <f t="shared" si="1"/>
        <v>1.0524773446442273</v>
      </c>
      <c r="H63" s="10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11" customFormat="1" x14ac:dyDescent="0.2">
      <c r="A64" s="12" t="s">
        <v>72</v>
      </c>
      <c r="B64" s="13">
        <v>36754.54</v>
      </c>
      <c r="C64" s="13">
        <v>41910.699999999997</v>
      </c>
      <c r="D64" s="13">
        <v>40343.82</v>
      </c>
      <c r="E64" s="13">
        <v>119009.06</v>
      </c>
      <c r="F64" s="14">
        <f t="shared" si="0"/>
        <v>0.96261384324289512</v>
      </c>
      <c r="G64" s="15">
        <f t="shared" si="1"/>
        <v>1.9394927796224659</v>
      </c>
      <c r="H64" s="10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11" customFormat="1" x14ac:dyDescent="0.2">
      <c r="A65" s="12" t="s">
        <v>73</v>
      </c>
      <c r="B65" s="13">
        <v>63520.05</v>
      </c>
      <c r="C65" s="13">
        <v>62127.19</v>
      </c>
      <c r="D65" s="13">
        <v>55643.9</v>
      </c>
      <c r="E65" s="13">
        <v>181291.14</v>
      </c>
      <c r="F65" s="14">
        <f t="shared" si="0"/>
        <v>0.89564488591870961</v>
      </c>
      <c r="G65" s="15">
        <f t="shared" si="1"/>
        <v>0.91009822653685435</v>
      </c>
      <c r="H65" s="10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11" customFormat="1" x14ac:dyDescent="0.2">
      <c r="A66" s="12" t="s">
        <v>74</v>
      </c>
      <c r="B66" s="13">
        <v>48870.28</v>
      </c>
      <c r="C66" s="13">
        <v>46979.360000000001</v>
      </c>
      <c r="D66" s="13">
        <v>42652.82</v>
      </c>
      <c r="E66" s="13">
        <v>138502.46</v>
      </c>
      <c r="F66" s="14">
        <f t="shared" si="0"/>
        <v>0.90790551425136479</v>
      </c>
      <c r="G66" s="15">
        <f t="shared" si="1"/>
        <v>0.92702609890109899</v>
      </c>
      <c r="H66" s="10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11" customFormat="1" x14ac:dyDescent="0.2">
      <c r="A67" s="12" t="s">
        <v>75</v>
      </c>
      <c r="B67" s="13">
        <v>72642.75</v>
      </c>
      <c r="C67" s="13">
        <v>65984.149999999994</v>
      </c>
      <c r="D67" s="13">
        <v>60424.12</v>
      </c>
      <c r="E67" s="13">
        <v>199051.02</v>
      </c>
      <c r="F67" s="14">
        <f t="shared" si="0"/>
        <v>0.91573688529745412</v>
      </c>
      <c r="G67" s="15">
        <f t="shared" si="1"/>
        <v>0.9027347409016373</v>
      </c>
      <c r="H67" s="10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11" customFormat="1" x14ac:dyDescent="0.2">
      <c r="A68" s="12" t="s">
        <v>76</v>
      </c>
      <c r="B68" s="13">
        <v>62597.33</v>
      </c>
      <c r="C68" s="13">
        <v>61382.64</v>
      </c>
      <c r="D68" s="13">
        <v>56971.28</v>
      </c>
      <c r="E68" s="13">
        <v>180951.25</v>
      </c>
      <c r="F68" s="14">
        <f t="shared" si="0"/>
        <v>0.92813342664961951</v>
      </c>
      <c r="G68" s="15">
        <f t="shared" si="1"/>
        <v>1.0125623093339666</v>
      </c>
      <c r="H68" s="21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11" customFormat="1" x14ac:dyDescent="0.2">
      <c r="A69" s="12" t="s">
        <v>77</v>
      </c>
      <c r="B69" s="13">
        <v>60891.41</v>
      </c>
      <c r="C69" s="13">
        <v>71218.679999999993</v>
      </c>
      <c r="D69" s="13">
        <v>57652.66</v>
      </c>
      <c r="E69" s="13">
        <v>189762.75</v>
      </c>
      <c r="F69" s="14">
        <f t="shared" si="0"/>
        <v>0.80951598653611678</v>
      </c>
      <c r="G69" s="15">
        <f t="shared" si="1"/>
        <v>0.98948732718894006</v>
      </c>
      <c r="H69" s="10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11" customFormat="1" x14ac:dyDescent="0.2">
      <c r="A70" s="12" t="s">
        <v>78</v>
      </c>
      <c r="B70" s="13">
        <v>65336.37</v>
      </c>
      <c r="C70" s="13">
        <v>64835.48</v>
      </c>
      <c r="D70" s="13">
        <v>59575.98</v>
      </c>
      <c r="E70" s="13">
        <v>189747.83000000002</v>
      </c>
      <c r="F70" s="14">
        <f t="shared" si="0"/>
        <v>0.91887929263421819</v>
      </c>
      <c r="G70" s="15">
        <f t="shared" si="1"/>
        <v>0.96806848711462012</v>
      </c>
      <c r="H70" s="10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11" customFormat="1" x14ac:dyDescent="0.2">
      <c r="A71" s="12" t="s">
        <v>79</v>
      </c>
      <c r="B71" s="13">
        <v>46031.05</v>
      </c>
      <c r="C71" s="13">
        <v>46397.07</v>
      </c>
      <c r="D71" s="13">
        <v>40546.17</v>
      </c>
      <c r="E71" s="13">
        <v>132974.28999999998</v>
      </c>
      <c r="F71" s="14">
        <f t="shared" si="0"/>
        <v>0.87389505414889346</v>
      </c>
      <c r="G71" s="15">
        <f t="shared" si="1"/>
        <v>0.90209059233449473</v>
      </c>
      <c r="H71" s="10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11" customFormat="1" x14ac:dyDescent="0.2">
      <c r="A72" s="12" t="s">
        <v>80</v>
      </c>
      <c r="B72" s="13">
        <v>87024.39</v>
      </c>
      <c r="C72" s="13">
        <v>86129.02</v>
      </c>
      <c r="D72" s="13">
        <v>79197.78</v>
      </c>
      <c r="E72" s="13">
        <v>252351.19</v>
      </c>
      <c r="F72" s="14">
        <f t="shared" ref="F72:F96" si="2">IFERROR((D72/C72),0)</f>
        <v>0.91952491738556874</v>
      </c>
      <c r="G72" s="15">
        <f t="shared" ref="G72:G97" si="3">+F172</f>
        <v>0.98733043232865136</v>
      </c>
      <c r="H72" s="10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11" customFormat="1" x14ac:dyDescent="0.2">
      <c r="A73" s="12" t="s">
        <v>81</v>
      </c>
      <c r="B73" s="13">
        <v>69565.61</v>
      </c>
      <c r="C73" s="13">
        <v>66531.72</v>
      </c>
      <c r="D73" s="13">
        <v>63275.85</v>
      </c>
      <c r="E73" s="13">
        <v>199373.18000000002</v>
      </c>
      <c r="F73" s="14">
        <f t="shared" si="2"/>
        <v>0.95106289150498435</v>
      </c>
      <c r="G73" s="15">
        <f t="shared" si="3"/>
        <v>0.96334160886229558</v>
      </c>
      <c r="H73" s="10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11" customFormat="1" x14ac:dyDescent="0.2">
      <c r="A74" s="12" t="s">
        <v>82</v>
      </c>
      <c r="B74" s="13">
        <v>70943.850000000006</v>
      </c>
      <c r="C74" s="13">
        <v>64791.68</v>
      </c>
      <c r="D74" s="13">
        <v>61376.97</v>
      </c>
      <c r="E74" s="13">
        <v>197112.5</v>
      </c>
      <c r="F74" s="14">
        <f t="shared" si="2"/>
        <v>0.94729709123146677</v>
      </c>
      <c r="G74" s="15">
        <f t="shared" si="3"/>
        <v>0.92096717841985276</v>
      </c>
      <c r="H74" s="10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11" customFormat="1" x14ac:dyDescent="0.2">
      <c r="A75" s="12" t="s">
        <v>83</v>
      </c>
      <c r="B75" s="13">
        <v>59591.29</v>
      </c>
      <c r="C75" s="13">
        <v>67378.149999999994</v>
      </c>
      <c r="D75" s="13">
        <v>65217.05</v>
      </c>
      <c r="E75" s="13">
        <v>192186.49</v>
      </c>
      <c r="F75" s="14">
        <f t="shared" si="2"/>
        <v>0.96792580383996907</v>
      </c>
      <c r="G75" s="15">
        <f t="shared" si="3"/>
        <v>0.93433103643012971</v>
      </c>
      <c r="H75" s="10"/>
      <c r="K75" s="2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11" customFormat="1" x14ac:dyDescent="0.2">
      <c r="A76" s="12" t="s">
        <v>84</v>
      </c>
      <c r="B76" s="13">
        <v>56578.21</v>
      </c>
      <c r="C76" s="13">
        <v>52566.29</v>
      </c>
      <c r="D76" s="13">
        <v>49445.51</v>
      </c>
      <c r="E76" s="13">
        <v>158590.01</v>
      </c>
      <c r="F76" s="14">
        <f t="shared" si="2"/>
        <v>0.94063153401162614</v>
      </c>
      <c r="G76" s="15">
        <f t="shared" si="3"/>
        <v>0.99979176837373418</v>
      </c>
      <c r="H76" s="10"/>
      <c r="K76" s="2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11" customFormat="1" x14ac:dyDescent="0.2">
      <c r="A77" s="12" t="s">
        <v>85</v>
      </c>
      <c r="B77" s="13">
        <v>57456.82</v>
      </c>
      <c r="C77" s="13">
        <v>53818.99</v>
      </c>
      <c r="D77" s="13">
        <v>51048.65</v>
      </c>
      <c r="E77" s="13">
        <v>162324.46</v>
      </c>
      <c r="F77" s="14">
        <f t="shared" si="2"/>
        <v>0.94852486083443788</v>
      </c>
      <c r="G77" s="15">
        <f t="shared" si="3"/>
        <v>0.94853657707397143</v>
      </c>
      <c r="H77" s="10"/>
      <c r="K77" s="2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22" customFormat="1" x14ac:dyDescent="0.2">
      <c r="A78" s="12" t="s">
        <v>86</v>
      </c>
      <c r="B78" s="13">
        <v>72260.81</v>
      </c>
      <c r="C78" s="13">
        <v>69358.429999999993</v>
      </c>
      <c r="D78" s="13">
        <v>61322.33</v>
      </c>
      <c r="E78" s="13">
        <v>202941.57</v>
      </c>
      <c r="F78" s="14">
        <f t="shared" si="2"/>
        <v>0.88413665072868586</v>
      </c>
      <c r="G78" s="15">
        <f t="shared" si="3"/>
        <v>0.97272362229319209</v>
      </c>
      <c r="H78" s="10"/>
      <c r="I78" s="11"/>
      <c r="K78" s="14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</row>
    <row r="79" spans="1:76" s="11" customFormat="1" x14ac:dyDescent="0.2">
      <c r="A79" s="12" t="s">
        <v>87</v>
      </c>
      <c r="B79" s="13">
        <v>31331.85</v>
      </c>
      <c r="C79" s="13">
        <v>79920.27</v>
      </c>
      <c r="D79" s="13">
        <v>49364.37</v>
      </c>
      <c r="E79" s="13">
        <v>160616.49</v>
      </c>
      <c r="F79" s="14">
        <f t="shared" si="2"/>
        <v>0.61767021057361293</v>
      </c>
      <c r="G79" s="15">
        <f t="shared" si="3"/>
        <v>0.88435374149659862</v>
      </c>
      <c r="H79" s="10"/>
      <c r="K79" s="2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11" customFormat="1" x14ac:dyDescent="0.2">
      <c r="A80" s="12" t="s">
        <v>88</v>
      </c>
      <c r="B80" s="13">
        <v>69842.7</v>
      </c>
      <c r="C80" s="13">
        <v>67133.37</v>
      </c>
      <c r="D80" s="13">
        <v>61579.61</v>
      </c>
      <c r="E80" s="13">
        <v>198555.68</v>
      </c>
      <c r="F80" s="14">
        <f t="shared" si="2"/>
        <v>0.91727273634557605</v>
      </c>
      <c r="G80" s="15">
        <f t="shared" si="3"/>
        <v>0.9949501971536463</v>
      </c>
      <c r="H80" s="10"/>
      <c r="K80" s="2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11" customFormat="1" x14ac:dyDescent="0.2">
      <c r="A81" s="12" t="s">
        <v>89</v>
      </c>
      <c r="B81" s="13">
        <v>61357.59</v>
      </c>
      <c r="C81" s="13">
        <v>64835.47</v>
      </c>
      <c r="D81" s="13">
        <v>56098.11</v>
      </c>
      <c r="E81" s="13">
        <v>182291.16999999998</v>
      </c>
      <c r="F81" s="14">
        <f t="shared" si="2"/>
        <v>0.86523796310877366</v>
      </c>
      <c r="G81" s="15">
        <f t="shared" si="3"/>
        <v>1.0539335360640032</v>
      </c>
      <c r="H81" s="10"/>
      <c r="K81" s="2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11" customFormat="1" x14ac:dyDescent="0.2">
      <c r="A82" s="12" t="s">
        <v>90</v>
      </c>
      <c r="B82" s="13">
        <v>60577.79</v>
      </c>
      <c r="C82" s="13">
        <v>58699.4</v>
      </c>
      <c r="D82" s="13">
        <v>53815.59</v>
      </c>
      <c r="E82" s="13">
        <v>173092.78</v>
      </c>
      <c r="F82" s="14">
        <f t="shared" si="2"/>
        <v>0.91679966064389062</v>
      </c>
      <c r="G82" s="15">
        <f t="shared" si="3"/>
        <v>0.97757860867164348</v>
      </c>
      <c r="H82" s="10"/>
      <c r="K82" s="2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x14ac:dyDescent="0.2">
      <c r="A83" s="12" t="s">
        <v>91</v>
      </c>
      <c r="B83" s="13">
        <v>53194.93</v>
      </c>
      <c r="C83" s="13">
        <v>58727.8</v>
      </c>
      <c r="D83" s="13">
        <v>55612.79</v>
      </c>
      <c r="E83" s="13">
        <v>167535.52000000002</v>
      </c>
      <c r="F83" s="14">
        <f t="shared" si="2"/>
        <v>0.94695851027962907</v>
      </c>
      <c r="G83" s="15">
        <f t="shared" si="3"/>
        <v>0.93399483620285051</v>
      </c>
      <c r="H83" s="10"/>
      <c r="I83" s="11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x14ac:dyDescent="0.2">
      <c r="A84" s="12" t="s">
        <v>92</v>
      </c>
      <c r="B84" s="13">
        <v>56849.46</v>
      </c>
      <c r="C84" s="13">
        <v>54122.95</v>
      </c>
      <c r="D84" s="13">
        <v>50366.18</v>
      </c>
      <c r="E84" s="13">
        <v>161338.59</v>
      </c>
      <c r="F84" s="14">
        <f t="shared" si="2"/>
        <v>0.93058822551246745</v>
      </c>
      <c r="G84" s="15">
        <f t="shared" si="3"/>
        <v>0.92787011632389294</v>
      </c>
      <c r="H84" s="7"/>
      <c r="I84" s="11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x14ac:dyDescent="0.2">
      <c r="A85" s="12" t="s">
        <v>93</v>
      </c>
      <c r="B85" s="13">
        <v>72542.559999999998</v>
      </c>
      <c r="C85" s="13">
        <v>69315.149999999994</v>
      </c>
      <c r="D85" s="13">
        <v>65529.93</v>
      </c>
      <c r="E85" s="13">
        <v>207387.63999999998</v>
      </c>
      <c r="F85" s="14">
        <f t="shared" si="2"/>
        <v>0.94539115907561344</v>
      </c>
      <c r="G85" s="15">
        <f t="shared" si="3"/>
        <v>0.93255250861164962</v>
      </c>
      <c r="H85" s="10"/>
      <c r="I85" s="11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x14ac:dyDescent="0.2">
      <c r="A86" s="12" t="s">
        <v>94</v>
      </c>
      <c r="B86" s="13">
        <v>81285.64</v>
      </c>
      <c r="C86" s="13">
        <v>75698.259999999995</v>
      </c>
      <c r="D86" s="13">
        <v>68970.23</v>
      </c>
      <c r="E86" s="13">
        <v>225954.13</v>
      </c>
      <c r="F86" s="14">
        <f t="shared" si="2"/>
        <v>0.91112041412840927</v>
      </c>
      <c r="G86" s="15">
        <f t="shared" si="3"/>
        <v>1.0214653579558157</v>
      </c>
      <c r="H86" s="10"/>
      <c r="I86" s="11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x14ac:dyDescent="0.2">
      <c r="A87" s="17" t="s">
        <v>95</v>
      </c>
      <c r="B87" s="18">
        <v>30118.09</v>
      </c>
      <c r="C87" s="18">
        <v>37934.14</v>
      </c>
      <c r="D87" s="18">
        <v>45217.01</v>
      </c>
      <c r="E87" s="18">
        <v>113269.23999999999</v>
      </c>
      <c r="F87" s="19">
        <f t="shared" si="2"/>
        <v>1.1919872178465099</v>
      </c>
      <c r="G87" s="20">
        <f t="shared" si="3"/>
        <v>1.3361486486486487</v>
      </c>
      <c r="H87" s="26"/>
      <c r="I87" s="11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x14ac:dyDescent="0.2">
      <c r="A88" s="12" t="s">
        <v>96</v>
      </c>
      <c r="B88" s="13">
        <v>74946.34</v>
      </c>
      <c r="C88" s="13">
        <v>70733.06</v>
      </c>
      <c r="D88" s="13">
        <v>61854</v>
      </c>
      <c r="E88" s="13">
        <v>207533.4</v>
      </c>
      <c r="F88" s="14">
        <f t="shared" si="2"/>
        <v>0.87447086270550156</v>
      </c>
      <c r="G88" s="15">
        <f t="shared" si="3"/>
        <v>0.86795277844490581</v>
      </c>
      <c r="H88" s="10"/>
      <c r="I88" s="11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x14ac:dyDescent="0.2">
      <c r="A89" s="12" t="s">
        <v>97</v>
      </c>
      <c r="B89" s="13">
        <v>68760.75</v>
      </c>
      <c r="C89" s="13">
        <v>65082.52</v>
      </c>
      <c r="D89" s="13">
        <v>61043.44</v>
      </c>
      <c r="E89" s="13">
        <v>194886.71</v>
      </c>
      <c r="F89" s="14">
        <f t="shared" si="2"/>
        <v>0.93793909639639039</v>
      </c>
      <c r="G89" s="15">
        <f t="shared" si="3"/>
        <v>0.84010361780119525</v>
      </c>
      <c r="H89" s="10"/>
      <c r="I89" s="11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x14ac:dyDescent="0.2">
      <c r="A90" s="12" t="s">
        <v>98</v>
      </c>
      <c r="B90" s="13">
        <v>61149.18</v>
      </c>
      <c r="C90" s="13">
        <v>58544</v>
      </c>
      <c r="D90" s="13">
        <v>54636.24</v>
      </c>
      <c r="E90" s="13">
        <v>174329.41999999998</v>
      </c>
      <c r="F90" s="14">
        <f t="shared" si="2"/>
        <v>0.93325088822082536</v>
      </c>
      <c r="G90" s="15">
        <f t="shared" si="3"/>
        <v>1.0681432647764539</v>
      </c>
      <c r="H90" s="10"/>
      <c r="I90" s="11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x14ac:dyDescent="0.2">
      <c r="A91" s="12" t="s">
        <v>99</v>
      </c>
      <c r="B91" s="13">
        <v>59575.97</v>
      </c>
      <c r="C91" s="13">
        <v>56599.02</v>
      </c>
      <c r="D91" s="13">
        <v>50087.26</v>
      </c>
      <c r="E91" s="13">
        <v>166262.25</v>
      </c>
      <c r="F91" s="14">
        <f t="shared" si="2"/>
        <v>0.88494924470423697</v>
      </c>
      <c r="G91" s="15">
        <f t="shared" si="3"/>
        <v>0.83817881053827081</v>
      </c>
      <c r="H91" s="7"/>
      <c r="I91" s="11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x14ac:dyDescent="0.2">
      <c r="A92" s="12" t="s">
        <v>100</v>
      </c>
      <c r="B92" s="13">
        <v>97310.34</v>
      </c>
      <c r="C92" s="13">
        <v>54109.79</v>
      </c>
      <c r="D92" s="13">
        <v>50806.59</v>
      </c>
      <c r="E92" s="13">
        <v>202226.72</v>
      </c>
      <c r="F92" s="14">
        <f t="shared" si="2"/>
        <v>0.93895374570849366</v>
      </c>
      <c r="G92" s="15">
        <f t="shared" si="3"/>
        <v>0.7614638447971781</v>
      </c>
      <c r="H92" s="10"/>
      <c r="I92" s="11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76" x14ac:dyDescent="0.2">
      <c r="A93" s="28" t="s">
        <v>101</v>
      </c>
      <c r="B93" s="13">
        <v>80101.84</v>
      </c>
      <c r="C93" s="13">
        <v>52088.4</v>
      </c>
      <c r="D93" s="13">
        <v>47751.09</v>
      </c>
      <c r="E93" s="13">
        <v>179941.33</v>
      </c>
      <c r="F93" s="14">
        <f t="shared" si="2"/>
        <v>0.91673174833552185</v>
      </c>
      <c r="G93" s="15">
        <f t="shared" si="3"/>
        <v>0.66137566137566139</v>
      </c>
      <c r="H93" s="29"/>
      <c r="I93" s="11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spans="1:76" x14ac:dyDescent="0.2">
      <c r="A94" s="28" t="s">
        <v>102</v>
      </c>
      <c r="B94" s="13"/>
      <c r="C94" s="13">
        <v>77664.539999999994</v>
      </c>
      <c r="D94" s="13">
        <v>57250.37</v>
      </c>
      <c r="E94" s="13">
        <v>134914.91</v>
      </c>
      <c r="F94" s="14">
        <f t="shared" si="2"/>
        <v>0.73714941207403029</v>
      </c>
      <c r="G94" s="15">
        <f t="shared" si="3"/>
        <v>0.74147305981216016</v>
      </c>
      <c r="H94" s="29"/>
      <c r="I94" s="11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spans="1:76" x14ac:dyDescent="0.2">
      <c r="A95" s="12" t="s">
        <v>103</v>
      </c>
      <c r="B95" s="13">
        <v>48501.24</v>
      </c>
      <c r="C95" s="13">
        <v>64589.4</v>
      </c>
      <c r="D95" s="13">
        <v>52593.91</v>
      </c>
      <c r="E95" s="13">
        <v>165684.54999999999</v>
      </c>
      <c r="F95" s="14">
        <f t="shared" si="2"/>
        <v>0.81428082626561016</v>
      </c>
      <c r="G95" s="15">
        <f t="shared" si="3"/>
        <v>0.80573405832921408</v>
      </c>
      <c r="H95" s="10"/>
      <c r="I95" s="11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76" ht="10.8" thickBot="1" x14ac:dyDescent="0.25">
      <c r="A96" s="28" t="s">
        <v>104</v>
      </c>
      <c r="B96" s="13">
        <v>39918.35</v>
      </c>
      <c r="C96" s="13">
        <v>72006.94</v>
      </c>
      <c r="D96" s="13">
        <v>56247.34</v>
      </c>
      <c r="E96" s="13">
        <v>168172.63</v>
      </c>
      <c r="F96" s="14">
        <f t="shared" si="2"/>
        <v>0.78113776255455369</v>
      </c>
      <c r="G96" s="15">
        <f t="shared" si="3"/>
        <v>0.67019400352733682</v>
      </c>
      <c r="H96" s="29"/>
      <c r="I96" s="11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spans="1:25" ht="10.8" thickTop="1" x14ac:dyDescent="0.2">
      <c r="A97" s="12" t="s">
        <v>6</v>
      </c>
      <c r="B97" s="13">
        <v>5455645.1199999982</v>
      </c>
      <c r="C97" s="13">
        <v>5478974.9500000002</v>
      </c>
      <c r="D97" s="13">
        <v>4927396.0999999987</v>
      </c>
      <c r="E97" s="13">
        <v>15862016.170000006</v>
      </c>
      <c r="F97" s="30">
        <f>IFERROR((D97/C97),0)</f>
        <v>0.89932809420857063</v>
      </c>
      <c r="G97" s="30">
        <f>+F197</f>
        <v>0.94324703629310214</v>
      </c>
      <c r="H97" s="15"/>
      <c r="I97" s="15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spans="1:25" x14ac:dyDescent="0.2">
      <c r="A98" s="12"/>
      <c r="B98" s="13"/>
      <c r="C98" s="13"/>
      <c r="D98" s="13"/>
      <c r="E98" s="13"/>
      <c r="F98" s="13"/>
      <c r="G98" s="13"/>
      <c r="H98" s="15"/>
      <c r="I98" s="15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 x14ac:dyDescent="0.2">
      <c r="A99" s="12"/>
      <c r="B99" s="13"/>
      <c r="C99" s="13"/>
      <c r="D99" s="13"/>
      <c r="E99" s="13"/>
      <c r="F99" s="13"/>
      <c r="G99" s="13"/>
      <c r="H99" s="15"/>
      <c r="I99" s="15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spans="1:25" x14ac:dyDescent="0.2">
      <c r="A100" s="12"/>
      <c r="B100" s="13"/>
      <c r="C100" s="13"/>
      <c r="D100" s="13"/>
      <c r="E100" s="13"/>
      <c r="F100" s="13"/>
      <c r="G100" s="13"/>
      <c r="H100" s="15"/>
      <c r="I100" s="15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x14ac:dyDescent="0.2">
      <c r="A101" s="12"/>
      <c r="B101" s="13"/>
      <c r="C101" s="13"/>
      <c r="D101" s="13"/>
      <c r="E101" s="13"/>
      <c r="F101" s="13"/>
      <c r="G101" s="13"/>
      <c r="H101" s="15"/>
      <c r="I101" s="15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x14ac:dyDescent="0.2">
      <c r="A102" s="12"/>
      <c r="B102" s="13"/>
      <c r="C102" s="13"/>
      <c r="D102" s="13"/>
      <c r="E102" s="13"/>
      <c r="F102" s="13"/>
      <c r="G102" s="13"/>
      <c r="H102" s="15"/>
      <c r="I102" s="15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x14ac:dyDescent="0.2">
      <c r="A103" s="12"/>
      <c r="B103" s="13"/>
      <c r="C103" s="13"/>
      <c r="D103" s="13"/>
      <c r="E103" s="13"/>
      <c r="F103" s="13"/>
      <c r="G103" s="13"/>
      <c r="H103" s="15"/>
      <c r="I103" s="15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x14ac:dyDescent="0.2">
      <c r="A104" s="12"/>
      <c r="B104" s="13"/>
      <c r="C104" s="13"/>
      <c r="D104" s="13"/>
      <c r="E104" s="13"/>
      <c r="F104" s="13"/>
      <c r="G104" s="13"/>
      <c r="H104" s="15"/>
      <c r="I104" s="15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x14ac:dyDescent="0.2">
      <c r="A105" s="12"/>
      <c r="B105" s="13"/>
      <c r="C105" s="13"/>
      <c r="D105" s="13"/>
      <c r="E105" s="13"/>
      <c r="F105" s="13"/>
      <c r="G105" s="13"/>
      <c r="H105" s="31"/>
      <c r="I105" s="31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t="20.399999999999999" x14ac:dyDescent="0.2">
      <c r="A106" s="32" t="s">
        <v>105</v>
      </c>
      <c r="B106" s="32" t="s">
        <v>106</v>
      </c>
      <c r="C106" s="32" t="s">
        <v>107</v>
      </c>
      <c r="D106" s="32" t="s">
        <v>108</v>
      </c>
      <c r="E106" s="32"/>
      <c r="F106" s="33" t="s">
        <v>109</v>
      </c>
      <c r="G106" s="2"/>
      <c r="H106" s="2"/>
      <c r="I106" s="2"/>
      <c r="J106" s="27"/>
      <c r="K106" s="27"/>
      <c r="L106" s="27"/>
      <c r="M106" s="27"/>
      <c r="N106" s="27"/>
      <c r="O106" s="27"/>
      <c r="P106" s="27"/>
      <c r="Q106" s="2"/>
      <c r="R106" s="2"/>
      <c r="S106" s="2"/>
      <c r="T106" s="2"/>
    </row>
    <row r="107" spans="1:25" x14ac:dyDescent="0.2">
      <c r="A107" s="34" t="s">
        <v>14</v>
      </c>
      <c r="B107" s="35" cm="1">
        <f t="array" ref="B107">+TRANSPOSE('[1]Energía Eléctrica'!$CO$25)</f>
        <v>276</v>
      </c>
      <c r="C107" s="36">
        <v>259.32258064516128</v>
      </c>
      <c r="D107" s="36">
        <v>260.60714285714289</v>
      </c>
      <c r="E107" s="36"/>
      <c r="F107" s="37">
        <f>IFERROR((D107/B107),0)</f>
        <v>0.94422877846790898</v>
      </c>
      <c r="G107" s="2"/>
      <c r="H107" s="2"/>
      <c r="I107" s="2"/>
      <c r="J107" s="27"/>
      <c r="K107" s="27"/>
      <c r="L107" s="27"/>
      <c r="M107" s="27"/>
      <c r="N107" s="27"/>
      <c r="O107" s="27"/>
      <c r="P107" s="27"/>
      <c r="Q107" s="2"/>
      <c r="R107" s="2"/>
      <c r="S107" s="2"/>
      <c r="T107" s="2"/>
    </row>
    <row r="108" spans="1:25" x14ac:dyDescent="0.2">
      <c r="A108" s="34" t="s">
        <v>15</v>
      </c>
      <c r="B108" s="35" cm="1">
        <f t="array" ref="B108">+TRANSPOSE('[1]Energía Eléctrica'!$CQ$25)</f>
        <v>91</v>
      </c>
      <c r="C108" s="36">
        <v>87.064516129032256</v>
      </c>
      <c r="D108" s="36">
        <v>80.107142857142861</v>
      </c>
      <c r="E108" s="36"/>
      <c r="F108" s="37">
        <f t="shared" ref="F108:F171" si="4">IFERROR((D108/B108),0)</f>
        <v>0.88029827315541609</v>
      </c>
      <c r="G108" s="2"/>
      <c r="H108" s="2"/>
      <c r="I108" s="2"/>
      <c r="J108" s="27"/>
      <c r="K108" s="27"/>
      <c r="L108" s="27"/>
      <c r="M108" s="27"/>
      <c r="N108" s="27"/>
      <c r="O108" s="27"/>
      <c r="P108" s="27"/>
      <c r="Q108" s="2"/>
      <c r="R108" s="2"/>
      <c r="S108" s="2"/>
      <c r="T108" s="2"/>
    </row>
    <row r="109" spans="1:25" x14ac:dyDescent="0.2">
      <c r="A109" s="34" t="s">
        <v>16</v>
      </c>
      <c r="B109" s="35" cm="1">
        <f t="array" ref="B109">+TRANSPOSE('[1]Energía Eléctrica'!$CS$25)</f>
        <v>185</v>
      </c>
      <c r="C109" s="36">
        <v>163.93548387096774</v>
      </c>
      <c r="D109" s="36">
        <v>154.85714285714286</v>
      </c>
      <c r="E109" s="36"/>
      <c r="F109" s="37">
        <f t="shared" si="4"/>
        <v>0.83706563706563708</v>
      </c>
      <c r="G109" s="2"/>
      <c r="H109" s="2"/>
      <c r="I109" s="2"/>
      <c r="J109" s="27"/>
      <c r="K109" s="27"/>
      <c r="L109" s="27"/>
      <c r="M109" s="27"/>
      <c r="N109" s="27"/>
      <c r="O109" s="27"/>
      <c r="P109" s="27"/>
      <c r="Q109" s="2"/>
      <c r="R109" s="2"/>
      <c r="S109" s="2"/>
      <c r="T109" s="2"/>
    </row>
    <row r="110" spans="1:25" x14ac:dyDescent="0.2">
      <c r="A110" s="34" t="s">
        <v>17</v>
      </c>
      <c r="B110" s="38" cm="1">
        <f t="array" ref="B110">+TRANSPOSE('[1]Energía Eléctrica'!$CN$25)</f>
        <v>2</v>
      </c>
      <c r="C110" s="36">
        <v>2.6129032258064515</v>
      </c>
      <c r="D110" s="36">
        <v>1.8571428571428572</v>
      </c>
      <c r="E110" s="36"/>
      <c r="F110" s="37">
        <f t="shared" si="4"/>
        <v>0.9285714285714286</v>
      </c>
      <c r="G110" s="2"/>
      <c r="H110" s="2"/>
      <c r="I110" s="2"/>
      <c r="J110" s="27"/>
      <c r="K110" s="27"/>
      <c r="L110" s="27"/>
      <c r="M110" s="27"/>
      <c r="N110" s="27"/>
      <c r="O110" s="27"/>
      <c r="P110" s="27"/>
      <c r="Q110" s="2"/>
      <c r="R110" s="2"/>
      <c r="S110" s="2"/>
      <c r="T110" s="2"/>
    </row>
    <row r="111" spans="1:25" x14ac:dyDescent="0.2">
      <c r="A111" s="34" t="s">
        <v>18</v>
      </c>
      <c r="B111" s="35" cm="1">
        <f t="array" ref="B111">+TRANSPOSE('[1]Energía Eléctrica'!$CR$25)</f>
        <v>159</v>
      </c>
      <c r="C111" s="36">
        <v>202.38709677419357</v>
      </c>
      <c r="D111" s="36">
        <v>151.46428571428572</v>
      </c>
      <c r="E111" s="36"/>
      <c r="F111" s="37">
        <f t="shared" si="4"/>
        <v>0.95260557053009887</v>
      </c>
      <c r="G111" s="2"/>
      <c r="H111" s="2"/>
      <c r="I111" s="2"/>
      <c r="J111" s="27"/>
      <c r="K111" s="27"/>
      <c r="L111" s="27"/>
      <c r="M111" s="27"/>
      <c r="N111" s="27"/>
      <c r="O111" s="27"/>
      <c r="P111" s="27"/>
      <c r="Q111" s="2"/>
      <c r="R111" s="2"/>
      <c r="S111" s="2"/>
      <c r="T111" s="2"/>
    </row>
    <row r="112" spans="1:25" x14ac:dyDescent="0.2">
      <c r="A112" s="34" t="s">
        <v>19</v>
      </c>
      <c r="B112" s="35" cm="1">
        <f t="array" ref="B112:B121">+TRANSPOSE('[1]Energía Eléctrica'!$B$25:$K$25)</f>
        <v>287.34424534204669</v>
      </c>
      <c r="C112" s="36">
        <v>286.20314238042272</v>
      </c>
      <c r="D112" s="36">
        <v>211.85714285714286</v>
      </c>
      <c r="E112" s="36"/>
      <c r="F112" s="37">
        <f t="shared" si="4"/>
        <v>0.73729384280848898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34" t="s">
        <v>20</v>
      </c>
      <c r="B113" s="35">
        <v>262.64979606970707</v>
      </c>
      <c r="C113" s="36">
        <v>250.56666666666666</v>
      </c>
      <c r="D113" s="36">
        <v>253.78571428571428</v>
      </c>
      <c r="E113" s="36"/>
      <c r="F113" s="37">
        <f t="shared" si="4"/>
        <v>0.9662513281310896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34" t="s">
        <v>21</v>
      </c>
      <c r="B114" s="35">
        <v>328.75087702666264</v>
      </c>
      <c r="C114" s="36">
        <v>322.650723025584</v>
      </c>
      <c r="D114" s="36">
        <v>311.25</v>
      </c>
      <c r="E114" s="36"/>
      <c r="F114" s="37">
        <f t="shared" si="4"/>
        <v>0.94676553509165773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34" t="s">
        <v>22</v>
      </c>
      <c r="B115" s="35">
        <v>279.83198345383761</v>
      </c>
      <c r="C115" s="36">
        <v>254.87096774193549</v>
      </c>
      <c r="D115" s="36">
        <v>261.75</v>
      </c>
      <c r="E115" s="36"/>
      <c r="F115" s="37">
        <f t="shared" si="4"/>
        <v>0.93538271347449287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34" t="s">
        <v>23</v>
      </c>
      <c r="B116" s="35">
        <v>317.7688577586207</v>
      </c>
      <c r="C116" s="36">
        <v>269.54838709677421</v>
      </c>
      <c r="D116" s="36">
        <v>324.75</v>
      </c>
      <c r="E116" s="36"/>
      <c r="F116" s="37">
        <f t="shared" si="4"/>
        <v>1.0219692461074401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34" t="s">
        <v>25</v>
      </c>
      <c r="B117" s="35">
        <v>358.74270891268077</v>
      </c>
      <c r="C117" s="36">
        <v>355.03225806451616</v>
      </c>
      <c r="D117" s="36">
        <v>358.75</v>
      </c>
      <c r="E117" s="36"/>
      <c r="F117" s="37">
        <f t="shared" si="4"/>
        <v>1.0000203240014029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34" t="s">
        <v>26</v>
      </c>
      <c r="B118" s="35">
        <v>345</v>
      </c>
      <c r="C118" s="36">
        <v>341.6709677419355</v>
      </c>
      <c r="D118" s="36">
        <v>341.14285714285717</v>
      </c>
      <c r="E118" s="36"/>
      <c r="F118" s="37">
        <f t="shared" si="4"/>
        <v>0.98881987577639763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34" t="s">
        <v>27</v>
      </c>
      <c r="B119" s="35">
        <v>244.72547043010752</v>
      </c>
      <c r="C119" s="36">
        <v>235.09677419354838</v>
      </c>
      <c r="D119" s="36">
        <v>232</v>
      </c>
      <c r="E119" s="36"/>
      <c r="F119" s="37">
        <f t="shared" si="4"/>
        <v>0.94800103802950153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34" t="s">
        <v>28</v>
      </c>
      <c r="B120" s="35">
        <v>320.25213199851686</v>
      </c>
      <c r="C120" s="36">
        <v>420.64516129032256</v>
      </c>
      <c r="D120" s="36">
        <v>301.42857142857144</v>
      </c>
      <c r="E120" s="36"/>
      <c r="F120" s="37">
        <f t="shared" si="4"/>
        <v>0.94122268460016811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34" t="s">
        <v>29</v>
      </c>
      <c r="B121" s="35">
        <v>290.72843089543937</v>
      </c>
      <c r="C121" s="36">
        <v>259.90322580645159</v>
      </c>
      <c r="D121" s="36">
        <v>276.64285714285717</v>
      </c>
      <c r="E121" s="36"/>
      <c r="F121" s="37">
        <f t="shared" si="4"/>
        <v>0.95155075233199982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34" t="s">
        <v>30</v>
      </c>
      <c r="B122" s="35" cm="1">
        <f t="array" ref="B122:B126">+TRANSPOSE('[1]Energía Eléctrica'!$M$25:$Q$25)</f>
        <v>336.34003717303733</v>
      </c>
      <c r="C122" s="36">
        <v>316.67956989247313</v>
      </c>
      <c r="D122" s="36">
        <v>317.67857142857144</v>
      </c>
      <c r="E122" s="36"/>
      <c r="F122" s="37">
        <f t="shared" si="4"/>
        <v>0.94451607396693871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34" t="s">
        <v>31</v>
      </c>
      <c r="B123" s="35">
        <v>320.48742526418243</v>
      </c>
      <c r="C123" s="36">
        <v>348.73333333333335</v>
      </c>
      <c r="D123" s="36">
        <v>331.42857142857144</v>
      </c>
      <c r="E123" s="36"/>
      <c r="F123" s="37">
        <f t="shared" si="4"/>
        <v>1.034139080980697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34" t="s">
        <v>32</v>
      </c>
      <c r="B124" s="35">
        <v>231.31307355394884</v>
      </c>
      <c r="C124" s="36">
        <v>233.38709677419354</v>
      </c>
      <c r="D124" s="36">
        <v>252.28571428571431</v>
      </c>
      <c r="E124" s="36"/>
      <c r="F124" s="37">
        <f t="shared" si="4"/>
        <v>1.0906677707815509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34" t="s">
        <v>33</v>
      </c>
      <c r="B125" s="35">
        <v>217.34912055061179</v>
      </c>
      <c r="C125" s="36">
        <v>181.53333333333333</v>
      </c>
      <c r="D125" s="36">
        <v>191.92857142857144</v>
      </c>
      <c r="E125" s="36"/>
      <c r="F125" s="37">
        <f t="shared" si="4"/>
        <v>0.88304277902002859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34" t="s">
        <v>34</v>
      </c>
      <c r="B126" s="35">
        <v>289.96176307007784</v>
      </c>
      <c r="C126" s="36">
        <v>286.64516129032256</v>
      </c>
      <c r="D126" s="36">
        <v>298.46428571428572</v>
      </c>
      <c r="E126" s="36"/>
      <c r="F126" s="37">
        <f t="shared" si="4"/>
        <v>1.0293229098698542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34" t="s">
        <v>35</v>
      </c>
      <c r="B127" s="35" cm="1">
        <f t="array" ref="B127:B130">+TRANSPOSE('[1]Energía Eléctrica'!$S$25:$V$25)</f>
        <v>318.37519128998548</v>
      </c>
      <c r="C127" s="36">
        <v>280.43145161290323</v>
      </c>
      <c r="D127" s="36">
        <v>283.5</v>
      </c>
      <c r="E127" s="36"/>
      <c r="F127" s="37">
        <f t="shared" si="4"/>
        <v>0.89045882894116546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34" t="s">
        <v>36</v>
      </c>
      <c r="B128" s="35">
        <v>252.67001529477199</v>
      </c>
      <c r="C128" s="36">
        <v>289.61290322580646</v>
      </c>
      <c r="D128" s="36">
        <v>282.89285714285717</v>
      </c>
      <c r="E128" s="36"/>
      <c r="F128" s="37">
        <f t="shared" si="4"/>
        <v>1.1196138837955361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34" t="s">
        <v>37</v>
      </c>
      <c r="B129" s="35">
        <v>287.32960233592883</v>
      </c>
      <c r="C129" s="36">
        <v>253.70967741935485</v>
      </c>
      <c r="D129" s="36">
        <v>259.78571428571428</v>
      </c>
      <c r="E129" s="36"/>
      <c r="F129" s="37">
        <f t="shared" si="4"/>
        <v>0.90413835599851677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34" t="s">
        <v>38</v>
      </c>
      <c r="B130" s="35">
        <v>272.51976154060065</v>
      </c>
      <c r="C130" s="36">
        <v>254.48387096774192</v>
      </c>
      <c r="D130" s="36">
        <v>254.35714285714286</v>
      </c>
      <c r="E130" s="36"/>
      <c r="F130" s="37">
        <f t="shared" si="4"/>
        <v>0.93335302151748034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34" t="s">
        <v>39</v>
      </c>
      <c r="B131" s="35" cm="1">
        <f t="array" ref="B131">+TRANSPOSE('[1]Energía Eléctrica'!$X$25)</f>
        <v>249.48335824527251</v>
      </c>
      <c r="C131" s="36">
        <v>225</v>
      </c>
      <c r="D131" s="36">
        <v>230.57142857142858</v>
      </c>
      <c r="E131" s="36"/>
      <c r="F131" s="37">
        <f t="shared" si="4"/>
        <v>0.92419562648643205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34" t="s">
        <v>40</v>
      </c>
      <c r="B132" s="35" cm="1">
        <f t="array" ref="B132:B196">+TRANSPOSE('[1]Energía Eléctrica'!$Z$25:$CL$25)</f>
        <v>267.24066671301443</v>
      </c>
      <c r="C132" s="36">
        <v>281.29032258064518</v>
      </c>
      <c r="D132" s="36">
        <v>261.42857142857144</v>
      </c>
      <c r="E132" s="36"/>
      <c r="F132" s="37">
        <f t="shared" si="4"/>
        <v>0.97825145642715927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34" t="s">
        <v>41</v>
      </c>
      <c r="B133" s="35">
        <v>249.97711540811338</v>
      </c>
      <c r="C133" s="36">
        <v>230.3516129032258</v>
      </c>
      <c r="D133" s="36">
        <v>223.89285714285714</v>
      </c>
      <c r="E133" s="36"/>
      <c r="F133" s="37">
        <f t="shared" si="4"/>
        <v>0.8956534152229455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34" t="s">
        <v>42</v>
      </c>
      <c r="B134" s="35">
        <v>324.78125</v>
      </c>
      <c r="C134" s="36">
        <v>314.16129032258061</v>
      </c>
      <c r="D134" s="36">
        <v>311.96428571428567</v>
      </c>
      <c r="E134" s="36"/>
      <c r="F134" s="37">
        <f t="shared" si="4"/>
        <v>0.96053662492611769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34" t="s">
        <v>43</v>
      </c>
      <c r="B135" s="35">
        <v>255.48135949666295</v>
      </c>
      <c r="C135" s="36">
        <v>256.16666666666663</v>
      </c>
      <c r="D135" s="36">
        <v>253.46428571428572</v>
      </c>
      <c r="E135" s="36"/>
      <c r="F135" s="37">
        <f t="shared" si="4"/>
        <v>0.99210481036130715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34" t="s">
        <v>44</v>
      </c>
      <c r="B136" s="35">
        <v>336.05500034760843</v>
      </c>
      <c r="C136" s="36">
        <v>307.96774193548384</v>
      </c>
      <c r="D136" s="36">
        <v>305.21428571428572</v>
      </c>
      <c r="E136" s="36"/>
      <c r="F136" s="37">
        <f t="shared" si="4"/>
        <v>0.90822718126074098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34" t="s">
        <v>45</v>
      </c>
      <c r="B137" s="35">
        <v>296.17074527252504</v>
      </c>
      <c r="C137" s="36">
        <v>300.64516129032256</v>
      </c>
      <c r="D137" s="36">
        <v>310</v>
      </c>
      <c r="E137" s="36"/>
      <c r="F137" s="37">
        <f t="shared" si="4"/>
        <v>1.0466935203703183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34" t="s">
        <v>46</v>
      </c>
      <c r="B138" s="35">
        <v>195</v>
      </c>
      <c r="C138" s="36">
        <v>180.48387096774192</v>
      </c>
      <c r="D138" s="36">
        <v>180.78571428571428</v>
      </c>
      <c r="E138" s="36"/>
      <c r="F138" s="37">
        <f t="shared" si="4"/>
        <v>0.92710622710622703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34" t="s">
        <v>47</v>
      </c>
      <c r="B139" s="35">
        <v>270.96145022246941</v>
      </c>
      <c r="C139" s="36">
        <v>266.45161290322579</v>
      </c>
      <c r="D139" s="36">
        <v>261.85714285714283</v>
      </c>
      <c r="E139" s="36"/>
      <c r="F139" s="37">
        <f t="shared" si="4"/>
        <v>0.96639999026484547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39" t="s">
        <v>48</v>
      </c>
      <c r="B140" s="35">
        <v>354.19165392102332</v>
      </c>
      <c r="C140" s="36">
        <v>350.7</v>
      </c>
      <c r="D140" s="36">
        <v>341.5</v>
      </c>
      <c r="E140" s="36"/>
      <c r="F140" s="37">
        <f t="shared" si="4"/>
        <v>0.96416726994969437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39" t="s">
        <v>49</v>
      </c>
      <c r="B141" s="35">
        <v>381.33377363737486</v>
      </c>
      <c r="C141" s="36">
        <v>376.77419354838707</v>
      </c>
      <c r="D141" s="36">
        <v>371.42857142857144</v>
      </c>
      <c r="E141" s="36"/>
      <c r="F141" s="37">
        <f t="shared" si="4"/>
        <v>0.97402484937454648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34" t="s">
        <v>50</v>
      </c>
      <c r="B142" s="35">
        <v>226.84891777901373</v>
      </c>
      <c r="C142" s="36">
        <v>200.12903225806451</v>
      </c>
      <c r="D142" s="36">
        <v>196.82142857142856</v>
      </c>
      <c r="E142" s="36"/>
      <c r="F142" s="37">
        <f t="shared" si="4"/>
        <v>0.86763221309772065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34" t="s">
        <v>51</v>
      </c>
      <c r="B143" s="35">
        <v>190.74784968056139</v>
      </c>
      <c r="C143" s="36">
        <v>181.93548387096774</v>
      </c>
      <c r="D143" s="36">
        <v>181.10714285714286</v>
      </c>
      <c r="E143" s="36"/>
      <c r="F143" s="37">
        <f t="shared" si="4"/>
        <v>0.94945837219363949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34" t="s">
        <v>52</v>
      </c>
      <c r="B144" s="35">
        <v>234.4374391685206</v>
      </c>
      <c r="C144" s="36">
        <v>231.70967741935485</v>
      </c>
      <c r="D144" s="36">
        <v>229.10714285714286</v>
      </c>
      <c r="E144" s="36"/>
      <c r="F144" s="37">
        <f t="shared" si="4"/>
        <v>0.9772634595810179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34" t="s">
        <v>53</v>
      </c>
      <c r="B145" s="35">
        <v>299.81555026418243</v>
      </c>
      <c r="C145" s="36">
        <v>297</v>
      </c>
      <c r="D145" s="36">
        <v>327.78571428571428</v>
      </c>
      <c r="E145" s="36"/>
      <c r="F145" s="37">
        <f t="shared" si="4"/>
        <v>1.09329123855279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34" t="s">
        <v>54</v>
      </c>
      <c r="B146" s="35">
        <v>261.95752688172047</v>
      </c>
      <c r="C146" s="36">
        <v>212.06451612903226</v>
      </c>
      <c r="D146" s="36">
        <v>199.35714285714286</v>
      </c>
      <c r="E146" s="36"/>
      <c r="F146" s="37">
        <f t="shared" si="4"/>
        <v>0.7610284966049361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34" t="s">
        <v>55</v>
      </c>
      <c r="B147" s="35">
        <v>285</v>
      </c>
      <c r="C147" s="36">
        <v>266.25806451612902</v>
      </c>
      <c r="D147" s="36">
        <v>266.85714285714289</v>
      </c>
      <c r="E147" s="36"/>
      <c r="F147" s="37">
        <f t="shared" si="4"/>
        <v>0.93634085213032592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34" t="s">
        <v>56</v>
      </c>
      <c r="B148" s="35">
        <v>295.69267936596214</v>
      </c>
      <c r="C148" s="36">
        <v>270.03225806451616</v>
      </c>
      <c r="D148" s="36">
        <v>275.07142857142856</v>
      </c>
      <c r="E148" s="36"/>
      <c r="F148" s="37">
        <f t="shared" si="4"/>
        <v>0.93026120619979291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34" t="s">
        <v>57</v>
      </c>
      <c r="B149" s="35">
        <v>259.0314736506773</v>
      </c>
      <c r="C149" s="36">
        <v>248.625</v>
      </c>
      <c r="D149" s="36">
        <v>235.71428571428572</v>
      </c>
      <c r="E149" s="36"/>
      <c r="F149" s="37">
        <f t="shared" si="4"/>
        <v>0.90998318618286322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34" t="s">
        <v>58</v>
      </c>
      <c r="B150" s="35">
        <v>290.48634767797552</v>
      </c>
      <c r="C150" s="36">
        <v>243.45161290322579</v>
      </c>
      <c r="D150" s="36">
        <v>238.60714285714286</v>
      </c>
      <c r="E150" s="36"/>
      <c r="F150" s="37">
        <f t="shared" si="4"/>
        <v>0.82140570379457423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34" t="s">
        <v>59</v>
      </c>
      <c r="B151" s="35">
        <v>279.61602301167966</v>
      </c>
      <c r="C151" s="36">
        <v>255.48387096774192</v>
      </c>
      <c r="D151" s="36">
        <v>249.96428571428572</v>
      </c>
      <c r="E151" s="36"/>
      <c r="F151" s="37">
        <f t="shared" si="4"/>
        <v>0.89395551450155852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34" t="s">
        <v>60</v>
      </c>
      <c r="B152" s="35">
        <v>315.46835288367549</v>
      </c>
      <c r="C152" s="36">
        <v>325.40020161290323</v>
      </c>
      <c r="D152" s="36">
        <v>325.5</v>
      </c>
      <c r="E152" s="36"/>
      <c r="F152" s="37">
        <f t="shared" si="4"/>
        <v>1.0317992186050546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34" t="s">
        <v>61</v>
      </c>
      <c r="B153" s="35">
        <v>259.58454706618465</v>
      </c>
      <c r="C153" s="36">
        <v>253.70967741935485</v>
      </c>
      <c r="D153" s="36">
        <v>244.42857142857142</v>
      </c>
      <c r="E153" s="36"/>
      <c r="F153" s="37">
        <f t="shared" si="4"/>
        <v>0.94161449204544134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34" t="s">
        <v>62</v>
      </c>
      <c r="B154" s="35">
        <v>277.09070842602893</v>
      </c>
      <c r="C154" s="36">
        <v>248.52725250278087</v>
      </c>
      <c r="D154" s="36">
        <v>247.21428571428572</v>
      </c>
      <c r="E154" s="36"/>
      <c r="F154" s="37">
        <f t="shared" si="4"/>
        <v>0.89217818640887814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34" t="s">
        <v>63</v>
      </c>
      <c r="B155" s="35">
        <v>243.49438800446862</v>
      </c>
      <c r="C155" s="36">
        <v>222.96774193548387</v>
      </c>
      <c r="D155" s="36">
        <v>213.14285714285714</v>
      </c>
      <c r="E155" s="36"/>
      <c r="F155" s="37">
        <f t="shared" si="4"/>
        <v>0.87535018317935742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39" t="s">
        <v>64</v>
      </c>
      <c r="B156" s="35">
        <v>357.69207105116794</v>
      </c>
      <c r="C156" s="36">
        <v>377.51612903225805</v>
      </c>
      <c r="D156" s="36">
        <v>283</v>
      </c>
      <c r="E156" s="36"/>
      <c r="F156" s="37">
        <f t="shared" si="4"/>
        <v>0.79118331912791207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34" t="s">
        <v>65</v>
      </c>
      <c r="B157" s="35">
        <v>239.54333808398221</v>
      </c>
      <c r="C157" s="36">
        <v>231.70967741935485</v>
      </c>
      <c r="D157" s="36">
        <v>222.96428571428572</v>
      </c>
      <c r="E157" s="36"/>
      <c r="F157" s="37">
        <f t="shared" si="4"/>
        <v>0.93078892319733819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34" t="s">
        <v>66</v>
      </c>
      <c r="B158" s="35">
        <v>320</v>
      </c>
      <c r="C158" s="36">
        <v>311.12903225806457</v>
      </c>
      <c r="D158" s="36">
        <v>301.17857142857144</v>
      </c>
      <c r="E158" s="36"/>
      <c r="F158" s="37">
        <f t="shared" si="4"/>
        <v>0.94118303571428574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34" t="s">
        <v>67</v>
      </c>
      <c r="B159" s="35">
        <v>254.81695807842047</v>
      </c>
      <c r="C159" s="36">
        <v>216.48387096774192</v>
      </c>
      <c r="D159" s="36">
        <v>207.89285714285714</v>
      </c>
      <c r="E159" s="36"/>
      <c r="F159" s="37">
        <f t="shared" si="4"/>
        <v>0.81585173416471624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34" t="s">
        <v>68</v>
      </c>
      <c r="B160" s="35">
        <v>242.36041666666668</v>
      </c>
      <c r="C160" s="36">
        <v>229.51612903225808</v>
      </c>
      <c r="D160" s="36">
        <v>228.17857142857142</v>
      </c>
      <c r="E160" s="36"/>
      <c r="F160" s="37">
        <f t="shared" si="4"/>
        <v>0.94148448235422688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34" t="s">
        <v>69</v>
      </c>
      <c r="B161" s="35">
        <v>324.32016476640712</v>
      </c>
      <c r="C161" s="36">
        <v>321.87096774193549</v>
      </c>
      <c r="D161" s="36">
        <v>316.25</v>
      </c>
      <c r="E161" s="36"/>
      <c r="F161" s="37">
        <f t="shared" si="4"/>
        <v>0.97511667283401982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34" t="s">
        <v>70</v>
      </c>
      <c r="B162" s="35">
        <v>315.86522351223584</v>
      </c>
      <c r="C162" s="36">
        <v>274.64516129032256</v>
      </c>
      <c r="D162" s="36">
        <v>263.17857142857144</v>
      </c>
      <c r="E162" s="36"/>
      <c r="F162" s="37">
        <f t="shared" si="4"/>
        <v>0.83319894638029546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34" t="s">
        <v>71</v>
      </c>
      <c r="B163" s="35">
        <v>244.08397810187125</v>
      </c>
      <c r="C163" s="36">
        <v>228.32258064516128</v>
      </c>
      <c r="D163" s="36">
        <v>256.89285714285717</v>
      </c>
      <c r="E163" s="36"/>
      <c r="F163" s="37">
        <f t="shared" si="4"/>
        <v>1.0524773446442273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34" t="s">
        <v>72</v>
      </c>
      <c r="B164" s="35">
        <v>264.90725806451616</v>
      </c>
      <c r="C164" s="36">
        <v>297.06451612903226</v>
      </c>
      <c r="D164" s="36">
        <v>513.78571428571433</v>
      </c>
      <c r="E164" s="36"/>
      <c r="F164" s="37">
        <f t="shared" si="4"/>
        <v>1.9394927796224659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34" t="s">
        <v>73</v>
      </c>
      <c r="B165" s="35">
        <v>275.16653052002221</v>
      </c>
      <c r="C165" s="36">
        <v>255.87096774193549</v>
      </c>
      <c r="D165" s="36">
        <v>250.42857142857142</v>
      </c>
      <c r="E165" s="36"/>
      <c r="F165" s="37">
        <f t="shared" si="4"/>
        <v>0.91009822653685435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34" t="s">
        <v>74</v>
      </c>
      <c r="B166" s="35">
        <v>208</v>
      </c>
      <c r="C166" s="36">
        <v>196.45161290322579</v>
      </c>
      <c r="D166" s="36">
        <v>192.82142857142858</v>
      </c>
      <c r="E166" s="36"/>
      <c r="F166" s="37">
        <f t="shared" si="4"/>
        <v>0.92702609890109899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34" t="s">
        <v>75</v>
      </c>
      <c r="B167" s="35">
        <v>303.04741379310349</v>
      </c>
      <c r="C167" s="36">
        <v>275.74193548387098</v>
      </c>
      <c r="D167" s="36">
        <v>273.57142857142856</v>
      </c>
      <c r="E167" s="36"/>
      <c r="F167" s="37">
        <f t="shared" si="4"/>
        <v>0.9027347409016373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34" t="s">
        <v>76</v>
      </c>
      <c r="B168" s="35">
        <v>254.79913445494995</v>
      </c>
      <c r="C168" s="36">
        <v>259.48387096774195</v>
      </c>
      <c r="D168" s="36">
        <v>258</v>
      </c>
      <c r="E168" s="36"/>
      <c r="F168" s="37">
        <f t="shared" si="4"/>
        <v>1.0125623093339666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34" t="s">
        <v>77</v>
      </c>
      <c r="B169" s="35">
        <v>248</v>
      </c>
      <c r="C169" s="36">
        <v>261.74193548387098</v>
      </c>
      <c r="D169" s="36">
        <v>245.39285714285714</v>
      </c>
      <c r="E169" s="36"/>
      <c r="F169" s="37">
        <f t="shared" si="4"/>
        <v>0.98948732718894006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34" t="s">
        <v>78</v>
      </c>
      <c r="B170" s="35">
        <v>281.85727196885432</v>
      </c>
      <c r="C170" s="36">
        <v>273.54838709677421</v>
      </c>
      <c r="D170" s="36">
        <v>272.85714285714283</v>
      </c>
      <c r="E170" s="36"/>
      <c r="F170" s="37">
        <f t="shared" si="4"/>
        <v>0.96806848711462012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34" t="s">
        <v>79</v>
      </c>
      <c r="B171" s="35">
        <v>205</v>
      </c>
      <c r="C171" s="36">
        <v>193.45161290322579</v>
      </c>
      <c r="D171" s="36">
        <v>184.92857142857142</v>
      </c>
      <c r="E171" s="36"/>
      <c r="F171" s="37">
        <f t="shared" si="4"/>
        <v>0.90209059233449473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39" t="s">
        <v>80</v>
      </c>
      <c r="B172" s="35">
        <v>373.01161012235821</v>
      </c>
      <c r="C172" s="36">
        <v>368.35483870967744</v>
      </c>
      <c r="D172" s="36">
        <v>368.28571428571428</v>
      </c>
      <c r="E172" s="36"/>
      <c r="F172" s="37">
        <f t="shared" ref="F172:F196" si="5">IFERROR((D172/B172),0)</f>
        <v>0.98733043232865136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34" t="s">
        <v>81</v>
      </c>
      <c r="B173" s="35">
        <v>296.58667609272447</v>
      </c>
      <c r="C173" s="36">
        <v>274.83870967741933</v>
      </c>
      <c r="D173" s="36">
        <v>285.71428571428572</v>
      </c>
      <c r="E173" s="36"/>
      <c r="F173" s="37">
        <f t="shared" si="5"/>
        <v>0.96334160886229558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34" t="s">
        <v>82</v>
      </c>
      <c r="B174" s="35">
        <v>302.20558896459033</v>
      </c>
      <c r="C174" s="36">
        <v>260.23387096774195</v>
      </c>
      <c r="D174" s="36">
        <v>278.32142857142856</v>
      </c>
      <c r="E174" s="36"/>
      <c r="F174" s="37">
        <f t="shared" si="5"/>
        <v>0.92096717841985276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34" t="s">
        <v>83</v>
      </c>
      <c r="B175" s="35">
        <v>295.12231182795699</v>
      </c>
      <c r="C175" s="36">
        <v>284.45161290322579</v>
      </c>
      <c r="D175" s="36">
        <v>275.74193548387098</v>
      </c>
      <c r="E175" s="36"/>
      <c r="F175" s="37">
        <f t="shared" si="5"/>
        <v>0.93433103643012971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34" t="s">
        <v>84</v>
      </c>
      <c r="B176" s="35">
        <v>256.83919632925472</v>
      </c>
      <c r="C176" s="36">
        <v>250.48387096774192</v>
      </c>
      <c r="D176" s="36">
        <v>256.78571428571428</v>
      </c>
      <c r="E176" s="36"/>
      <c r="F176" s="37">
        <f t="shared" si="5"/>
        <v>0.99979176837373418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34" t="s">
        <v>85</v>
      </c>
      <c r="B177" s="35">
        <v>245.0767754590839</v>
      </c>
      <c r="C177" s="36">
        <v>220.51612903225808</v>
      </c>
      <c r="D177" s="36">
        <v>232.46428571428572</v>
      </c>
      <c r="E177" s="36"/>
      <c r="F177" s="37">
        <f t="shared" si="5"/>
        <v>0.94853657707397143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34" t="s">
        <v>86</v>
      </c>
      <c r="B178" s="35">
        <v>282.27075222469409</v>
      </c>
      <c r="C178" s="36">
        <v>285.67741935483872</v>
      </c>
      <c r="D178" s="36">
        <v>274.57142857142856</v>
      </c>
      <c r="E178" s="36"/>
      <c r="F178" s="37">
        <f t="shared" si="5"/>
        <v>0.97272362229319209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34" t="s">
        <v>87</v>
      </c>
      <c r="B179" s="35">
        <v>252</v>
      </c>
      <c r="C179" s="36">
        <v>357.41935483870969</v>
      </c>
      <c r="D179" s="36">
        <v>222.85714285714286</v>
      </c>
      <c r="E179" s="36"/>
      <c r="F179" s="37">
        <f t="shared" si="5"/>
        <v>0.88435374149659862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5" t="s">
        <v>88</v>
      </c>
      <c r="B180" s="35">
        <v>285.72858731924362</v>
      </c>
      <c r="C180" s="36">
        <v>275</v>
      </c>
      <c r="D180" s="36">
        <v>284.28571428571428</v>
      </c>
      <c r="E180" s="36"/>
      <c r="F180" s="37">
        <f t="shared" si="5"/>
        <v>0.9949501971536463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5" t="s">
        <v>89</v>
      </c>
      <c r="B181" s="35">
        <v>243.98394048943271</v>
      </c>
      <c r="C181" s="36">
        <v>265</v>
      </c>
      <c r="D181" s="36">
        <v>257.14285714285717</v>
      </c>
      <c r="E181" s="36"/>
      <c r="F181" s="37">
        <f t="shared" si="5"/>
        <v>1.0539335360640032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5" t="s">
        <v>90</v>
      </c>
      <c r="B182" s="35">
        <v>245.50455367074528</v>
      </c>
      <c r="C182" s="36">
        <v>241.93548387096774</v>
      </c>
      <c r="D182" s="36">
        <v>240</v>
      </c>
      <c r="E182" s="36"/>
      <c r="F182" s="37">
        <f t="shared" si="5"/>
        <v>0.97757860867164348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5" t="s">
        <v>91</v>
      </c>
      <c r="B183" s="35">
        <v>221.66317204301077</v>
      </c>
      <c r="C183" s="36">
        <v>216.1875</v>
      </c>
      <c r="D183" s="36">
        <v>207.03225806451613</v>
      </c>
      <c r="E183" s="36"/>
      <c r="F183" s="37">
        <f t="shared" si="5"/>
        <v>0.93399483620285051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5" t="s">
        <v>92</v>
      </c>
      <c r="B184" s="35">
        <v>246.33989666247732</v>
      </c>
      <c r="C184" s="36">
        <v>225.80645161290323</v>
      </c>
      <c r="D184" s="36">
        <v>228.57142857142858</v>
      </c>
      <c r="E184" s="36"/>
      <c r="F184" s="37">
        <f t="shared" si="5"/>
        <v>0.92787011632389294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5" t="s">
        <v>93</v>
      </c>
      <c r="B185" s="35">
        <v>320.16580923248051</v>
      </c>
      <c r="C185" s="36">
        <v>292.90322580645159</v>
      </c>
      <c r="D185" s="36">
        <v>298.57142857142856</v>
      </c>
      <c r="E185" s="36"/>
      <c r="F185" s="37">
        <f t="shared" si="5"/>
        <v>0.93255250861164962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5" t="s">
        <v>94</v>
      </c>
      <c r="B186" s="35">
        <v>307.47144396551721</v>
      </c>
      <c r="C186" s="36">
        <v>322.06451612903226</v>
      </c>
      <c r="D186" s="36">
        <v>314.07142857142856</v>
      </c>
      <c r="E186" s="36"/>
      <c r="F186" s="37">
        <f t="shared" si="5"/>
        <v>1.0214653579558157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5" t="s">
        <v>95</v>
      </c>
      <c r="B187" s="35">
        <v>185</v>
      </c>
      <c r="C187" s="36">
        <v>213.74193548387098</v>
      </c>
      <c r="D187" s="36">
        <v>247.1875</v>
      </c>
      <c r="E187" s="36"/>
      <c r="F187" s="37">
        <f t="shared" si="5"/>
        <v>1.3361486486486487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5" t="s">
        <v>96</v>
      </c>
      <c r="B188" s="35">
        <v>310.33617213570631</v>
      </c>
      <c r="C188" s="36">
        <v>296.48387096774195</v>
      </c>
      <c r="D188" s="36">
        <v>269.35714285714283</v>
      </c>
      <c r="E188" s="36"/>
      <c r="F188" s="37">
        <f t="shared" si="5"/>
        <v>0.86795277844490581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5" t="s">
        <v>97</v>
      </c>
      <c r="B189" s="35">
        <v>320.02855024100853</v>
      </c>
      <c r="C189" s="36">
        <v>271.09677419354841</v>
      </c>
      <c r="D189" s="36">
        <v>268.85714285714283</v>
      </c>
      <c r="E189" s="36"/>
      <c r="F189" s="37">
        <f t="shared" si="5"/>
        <v>0.84010361780119525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5" t="s">
        <v>98</v>
      </c>
      <c r="B190" s="35">
        <v>263.4745550611791</v>
      </c>
      <c r="C190" s="36">
        <v>277.41935483870969</v>
      </c>
      <c r="D190" s="36">
        <v>281.42857142857144</v>
      </c>
      <c r="E190" s="36"/>
      <c r="F190" s="37">
        <f t="shared" si="5"/>
        <v>1.0681432647764539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5" t="s">
        <v>99</v>
      </c>
      <c r="B191" s="35">
        <v>265.88257786429369</v>
      </c>
      <c r="C191" s="36">
        <v>234.83870967741936</v>
      </c>
      <c r="D191" s="36">
        <v>222.85714285714286</v>
      </c>
      <c r="E191" s="36"/>
      <c r="F191" s="37">
        <f t="shared" si="5"/>
        <v>0.83817881053827081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5" t="s">
        <v>100</v>
      </c>
      <c r="B192" s="35">
        <v>324</v>
      </c>
      <c r="C192" s="36">
        <v>251.06451612903226</v>
      </c>
      <c r="D192" s="36">
        <v>246.71428571428572</v>
      </c>
      <c r="F192" s="37">
        <f t="shared" si="5"/>
        <v>0.7614638447971781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38" x14ac:dyDescent="0.2">
      <c r="A193" s="25" t="s">
        <v>101</v>
      </c>
      <c r="B193" s="35">
        <v>324</v>
      </c>
      <c r="C193" s="36">
        <v>211.61290322580646</v>
      </c>
      <c r="D193" s="36">
        <v>214.28571428571428</v>
      </c>
      <c r="F193" s="37">
        <f t="shared" si="5"/>
        <v>0.66137566137566139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38" x14ac:dyDescent="0.2">
      <c r="A194" s="25" t="s">
        <v>102</v>
      </c>
      <c r="B194" s="35">
        <v>289</v>
      </c>
      <c r="C194" s="36">
        <v>460</v>
      </c>
      <c r="D194" s="36">
        <v>214.28571428571428</v>
      </c>
      <c r="F194" s="37">
        <f t="shared" si="5"/>
        <v>0.74147305981216016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38" x14ac:dyDescent="0.2">
      <c r="A195" s="25" t="s">
        <v>103</v>
      </c>
      <c r="B195" s="35">
        <v>289</v>
      </c>
      <c r="C195" s="36">
        <v>255</v>
      </c>
      <c r="D195" s="36">
        <v>232.85714285714286</v>
      </c>
      <c r="F195" s="37">
        <f t="shared" si="5"/>
        <v>0.80573405832921408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38" x14ac:dyDescent="0.2">
      <c r="A196" s="25" t="s">
        <v>104</v>
      </c>
      <c r="B196" s="35">
        <v>324</v>
      </c>
      <c r="C196" s="36">
        <v>240</v>
      </c>
      <c r="D196" s="36">
        <v>217.14285714285714</v>
      </c>
      <c r="F196" s="37">
        <f t="shared" si="5"/>
        <v>0.67019400352733682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38" x14ac:dyDescent="0.2">
      <c r="A197" s="3" t="s">
        <v>110</v>
      </c>
      <c r="B197" s="40">
        <f t="shared" ref="B197:E197" si="6">SUM(B107:B196)</f>
        <v>24583.240597853433</v>
      </c>
      <c r="C197" s="40">
        <f t="shared" si="6"/>
        <v>23760.693550704484</v>
      </c>
      <c r="D197" s="40">
        <f t="shared" si="6"/>
        <v>23188.06883640552</v>
      </c>
      <c r="E197" s="40">
        <f t="shared" si="6"/>
        <v>0</v>
      </c>
      <c r="F197" s="41">
        <f>IFERROR((D197/B197),0)</f>
        <v>0.94324703629310214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38" x14ac:dyDescent="0.2">
      <c r="B198" s="42"/>
      <c r="C198" s="42"/>
      <c r="D198" s="42"/>
      <c r="E198" s="42"/>
      <c r="F198" s="42"/>
      <c r="G198" s="42"/>
      <c r="U198" s="3"/>
    </row>
    <row r="200" spans="1:38" ht="14.4" customHeight="1" x14ac:dyDescent="0.3">
      <c r="A200" s="43" t="s">
        <v>111</v>
      </c>
      <c r="B200" s="43"/>
      <c r="C200" s="43"/>
      <c r="D200" s="43"/>
      <c r="E200" s="43"/>
      <c r="F200" s="44"/>
      <c r="G200" s="44"/>
      <c r="H200" s="44"/>
      <c r="I200" s="44"/>
      <c r="J200" s="44"/>
      <c r="K200" s="44"/>
      <c r="L200" s="44"/>
      <c r="M200" s="45" t="s">
        <v>112</v>
      </c>
      <c r="N200" s="45"/>
      <c r="O200" s="45"/>
      <c r="P200" s="45"/>
      <c r="Q200" s="45"/>
      <c r="R200" s="45"/>
      <c r="S200" s="45"/>
      <c r="T200" s="45"/>
      <c r="AK200" s="46"/>
      <c r="AL200" s="46"/>
    </row>
    <row r="201" spans="1:38" ht="39.75" customHeight="1" x14ac:dyDescent="0.2">
      <c r="A201" s="47" t="s">
        <v>113</v>
      </c>
      <c r="B201" s="48" t="s">
        <v>106</v>
      </c>
      <c r="C201" s="48" t="s">
        <v>114</v>
      </c>
      <c r="D201" s="48" t="s">
        <v>115</v>
      </c>
      <c r="E201" s="48" t="s">
        <v>116</v>
      </c>
      <c r="F201" s="49"/>
      <c r="G201" s="49"/>
      <c r="H201" s="49"/>
      <c r="I201" s="49"/>
      <c r="J201" s="49"/>
      <c r="K201" s="49"/>
      <c r="L201" s="50"/>
      <c r="M201" s="47" t="s">
        <v>113</v>
      </c>
      <c r="N201" s="51"/>
      <c r="O201" s="48" t="s">
        <v>106</v>
      </c>
      <c r="P201" s="48" t="s">
        <v>117</v>
      </c>
      <c r="Q201" s="48" t="s">
        <v>115</v>
      </c>
      <c r="R201" s="52" t="s">
        <v>118</v>
      </c>
      <c r="S201" s="52" t="s">
        <v>119</v>
      </c>
      <c r="T201" s="52" t="s">
        <v>120</v>
      </c>
    </row>
    <row r="202" spans="1:38" x14ac:dyDescent="0.2">
      <c r="A202" s="53" t="s">
        <v>121</v>
      </c>
      <c r="B202" s="40"/>
      <c r="C202" s="54"/>
      <c r="D202" s="54">
        <f>+C202-B202</f>
        <v>0</v>
      </c>
      <c r="E202" s="55"/>
      <c r="F202" s="56"/>
      <c r="G202" s="56"/>
      <c r="H202" s="56"/>
      <c r="I202" s="56"/>
      <c r="J202" s="56"/>
      <c r="K202" s="56"/>
      <c r="L202" s="57"/>
      <c r="M202" s="58" t="s">
        <v>121</v>
      </c>
      <c r="N202" s="28"/>
      <c r="O202" s="59"/>
      <c r="P202" s="11"/>
      <c r="Q202" s="37"/>
      <c r="R202" s="57"/>
      <c r="S202" s="57"/>
      <c r="T202" s="57"/>
      <c r="U202" s="11"/>
    </row>
    <row r="203" spans="1:38" x14ac:dyDescent="0.2">
      <c r="A203" s="53" t="s">
        <v>14</v>
      </c>
      <c r="B203" s="60" cm="1">
        <f t="array" ref="B203">+TRANSPOSE('[1]Energía Eléctrica'!$CO$10)</f>
        <v>59371.566145494988</v>
      </c>
      <c r="C203" s="61">
        <f>+D7</f>
        <v>63744.490000000005</v>
      </c>
      <c r="D203" s="54">
        <f t="shared" ref="D203:D266" si="7">+C203-B203</f>
        <v>4372.9238545050175</v>
      </c>
      <c r="E203" s="55">
        <f>IFERROR((D203/B203),0)</f>
        <v>7.3653503493386077E-2</v>
      </c>
      <c r="F203" s="56"/>
      <c r="G203" s="56"/>
      <c r="H203" s="56"/>
      <c r="I203" s="56"/>
      <c r="J203" s="56"/>
      <c r="K203" s="56"/>
      <c r="L203" s="62"/>
      <c r="M203" s="58" t="s">
        <v>14</v>
      </c>
      <c r="N203" s="28"/>
      <c r="O203" s="59">
        <f t="shared" ref="O203:O266" si="8">+B107</f>
        <v>276</v>
      </c>
      <c r="P203" s="59">
        <f>+D107</f>
        <v>260.60714285714289</v>
      </c>
      <c r="Q203" s="37">
        <f>IFERROR((P203/O203),0)</f>
        <v>0.94422877846790898</v>
      </c>
      <c r="R203" s="59">
        <f t="shared" ref="R203:R266" si="9">(Q203-1)*O203*31*$B$296</f>
        <v>-3205.2681116071385</v>
      </c>
      <c r="S203" s="59">
        <v>0</v>
      </c>
      <c r="T203" s="59">
        <f t="shared" ref="T203:T266" si="10">IFERROR((D203-R203-S203),0)</f>
        <v>7578.1919661121556</v>
      </c>
      <c r="U203" s="11"/>
      <c r="AL203" s="63"/>
    </row>
    <row r="204" spans="1:38" x14ac:dyDescent="0.2">
      <c r="A204" s="53" t="s">
        <v>15</v>
      </c>
      <c r="B204" s="60" cm="1">
        <f t="array" ref="B204">+TRANSPOSE('[1]Energía Eléctrica'!$CQ$10)</f>
        <v>24965.876762096774</v>
      </c>
      <c r="C204" s="61">
        <f t="shared" ref="C204:C267" si="11">+D8</f>
        <v>21804.49</v>
      </c>
      <c r="D204" s="54">
        <f t="shared" si="7"/>
        <v>-3161.3867620967721</v>
      </c>
      <c r="E204" s="55">
        <f t="shared" ref="E204:E267" si="12">IFERROR((D204/B204),0)</f>
        <v>-0.12662830920067641</v>
      </c>
      <c r="F204" s="56"/>
      <c r="G204" s="56"/>
      <c r="H204" s="56"/>
      <c r="I204" s="56"/>
      <c r="J204" s="56"/>
      <c r="K204" s="56"/>
      <c r="L204" s="57"/>
      <c r="M204" s="58" t="s">
        <v>15</v>
      </c>
      <c r="N204" s="28"/>
      <c r="O204" s="59">
        <f t="shared" si="8"/>
        <v>91</v>
      </c>
      <c r="P204" s="59">
        <f t="shared" ref="P204:P267" si="13">+D108</f>
        <v>80.107142857142861</v>
      </c>
      <c r="Q204" s="37">
        <f t="shared" ref="Q204:Q267" si="14">IFERROR((P204/O204),0)</f>
        <v>0.88029827315541609</v>
      </c>
      <c r="R204" s="59">
        <f t="shared" si="9"/>
        <v>-2268.2291741071417</v>
      </c>
      <c r="S204" s="59"/>
      <c r="T204" s="59">
        <f t="shared" si="10"/>
        <v>-893.15758798963043</v>
      </c>
      <c r="U204" s="11"/>
      <c r="AL204" s="63"/>
    </row>
    <row r="205" spans="1:38" x14ac:dyDescent="0.2">
      <c r="A205" s="53" t="s">
        <v>16</v>
      </c>
      <c r="B205" s="60" cm="1">
        <f t="array" ref="B205">+TRANSPOSE('[1]Energía Eléctrica'!$CS$10)</f>
        <v>44713.521578049687</v>
      </c>
      <c r="C205" s="61">
        <f t="shared" si="11"/>
        <v>37124.239999999998</v>
      </c>
      <c r="D205" s="54">
        <f t="shared" si="7"/>
        <v>-7589.2815780496894</v>
      </c>
      <c r="E205" s="55">
        <f t="shared" si="12"/>
        <v>-0.16973124259072769</v>
      </c>
      <c r="F205" s="56"/>
      <c r="G205" s="56"/>
      <c r="H205" s="56"/>
      <c r="I205" s="56"/>
      <c r="J205" s="56"/>
      <c r="K205" s="56"/>
      <c r="L205" s="57"/>
      <c r="M205" s="58" t="s">
        <v>16</v>
      </c>
      <c r="N205" s="28"/>
      <c r="O205" s="59">
        <f t="shared" si="8"/>
        <v>185</v>
      </c>
      <c r="P205" s="59">
        <f t="shared" si="13"/>
        <v>154.85714285714286</v>
      </c>
      <c r="Q205" s="37">
        <f t="shared" si="14"/>
        <v>0.83706563706563708</v>
      </c>
      <c r="R205" s="59">
        <f t="shared" si="9"/>
        <v>-6276.6735178571425</v>
      </c>
      <c r="S205" s="59"/>
      <c r="T205" s="59">
        <f t="shared" si="10"/>
        <v>-1312.6080601925469</v>
      </c>
      <c r="U205" s="11"/>
      <c r="AL205" s="63"/>
    </row>
    <row r="206" spans="1:38" x14ac:dyDescent="0.2">
      <c r="A206" s="53" t="s">
        <v>17</v>
      </c>
      <c r="B206" s="60" cm="1">
        <f t="array" ref="B206">+TRANSPOSE('[1]Energía Eléctrica'!$CN$10)</f>
        <v>578.1579999999999</v>
      </c>
      <c r="C206" s="61">
        <f t="shared" si="11"/>
        <v>523.4</v>
      </c>
      <c r="D206" s="54">
        <f t="shared" si="7"/>
        <v>-54.757999999999925</v>
      </c>
      <c r="E206" s="55">
        <f t="shared" si="12"/>
        <v>-9.471113432660265E-2</v>
      </c>
      <c r="F206" s="56"/>
      <c r="G206" s="56"/>
      <c r="H206" s="56"/>
      <c r="I206" s="56"/>
      <c r="J206" s="56"/>
      <c r="K206" s="56"/>
      <c r="L206" s="57"/>
      <c r="M206" s="58" t="s">
        <v>17</v>
      </c>
      <c r="N206" s="28"/>
      <c r="O206" s="59">
        <f t="shared" si="8"/>
        <v>2</v>
      </c>
      <c r="P206" s="59">
        <f t="shared" si="13"/>
        <v>1.8571428571428572</v>
      </c>
      <c r="Q206" s="37">
        <f t="shared" si="14"/>
        <v>0.9285714285714286</v>
      </c>
      <c r="R206" s="59">
        <f t="shared" si="9"/>
        <v>-29.747267857142848</v>
      </c>
      <c r="S206" s="59"/>
      <c r="T206" s="59">
        <f t="shared" si="10"/>
        <v>-25.010732142857076</v>
      </c>
      <c r="U206" s="11"/>
      <c r="AL206" s="63"/>
    </row>
    <row r="207" spans="1:38" x14ac:dyDescent="0.2">
      <c r="A207" s="53" t="s">
        <v>18</v>
      </c>
      <c r="B207" s="60" cm="1">
        <f t="array" ref="B207">+TRANSPOSE('[1]Energía Eléctrica'!$CR$10)</f>
        <v>34068.761193118269</v>
      </c>
      <c r="C207" s="61">
        <f t="shared" si="11"/>
        <v>30776.04</v>
      </c>
      <c r="D207" s="54">
        <f t="shared" si="7"/>
        <v>-3292.7211931182683</v>
      </c>
      <c r="E207" s="55">
        <f t="shared" si="12"/>
        <v>-9.6649278629578783E-2</v>
      </c>
      <c r="F207" s="56"/>
      <c r="G207" s="56"/>
      <c r="H207" s="56"/>
      <c r="I207" s="56"/>
      <c r="J207" s="56"/>
      <c r="K207" s="56"/>
      <c r="L207" s="57"/>
      <c r="M207" s="58" t="s">
        <v>18</v>
      </c>
      <c r="N207" s="28"/>
      <c r="O207" s="59">
        <f t="shared" si="8"/>
        <v>159</v>
      </c>
      <c r="P207" s="59">
        <f t="shared" si="13"/>
        <v>151.46428571428572</v>
      </c>
      <c r="Q207" s="37">
        <f t="shared" si="14"/>
        <v>0.95260557053009887</v>
      </c>
      <c r="R207" s="59">
        <f t="shared" si="9"/>
        <v>-1569.1683794642847</v>
      </c>
      <c r="S207" s="59"/>
      <c r="T207" s="59">
        <f t="shared" si="10"/>
        <v>-1723.5528136539835</v>
      </c>
      <c r="U207" s="11"/>
      <c r="AL207" s="63"/>
    </row>
    <row r="208" spans="1:38" x14ac:dyDescent="0.2">
      <c r="A208" s="53" t="s">
        <v>19</v>
      </c>
      <c r="B208" s="64" cm="1">
        <f t="array" ref="B208:B217">+TRANSPOSE('[1]Energía Eléctrica'!$B$10:$K$10)</f>
        <v>61888.026640753611</v>
      </c>
      <c r="C208" s="61">
        <f t="shared" si="11"/>
        <v>44629.09</v>
      </c>
      <c r="D208" s="54">
        <f t="shared" si="7"/>
        <v>-17258.936640753614</v>
      </c>
      <c r="E208" s="55">
        <f t="shared" si="12"/>
        <v>-0.2788735976497998</v>
      </c>
      <c r="F208" s="56"/>
      <c r="G208" s="56"/>
      <c r="H208" s="56"/>
      <c r="I208" s="56"/>
      <c r="J208" s="56"/>
      <c r="K208" s="56"/>
      <c r="L208" s="57"/>
      <c r="M208" s="58" t="s">
        <v>19</v>
      </c>
      <c r="N208" s="28"/>
      <c r="O208" s="59">
        <f t="shared" si="8"/>
        <v>287.34424534204669</v>
      </c>
      <c r="P208" s="59">
        <f t="shared" si="13"/>
        <v>211.85714285714286</v>
      </c>
      <c r="Q208" s="37">
        <f t="shared" si="14"/>
        <v>0.73729384280848898</v>
      </c>
      <c r="R208" s="59">
        <f t="shared" si="9"/>
        <v>-15718.745401646198</v>
      </c>
      <c r="S208" s="59"/>
      <c r="T208" s="59">
        <f t="shared" si="10"/>
        <v>-1540.1912391074165</v>
      </c>
      <c r="U208" s="11"/>
      <c r="AL208" s="63"/>
    </row>
    <row r="209" spans="1:38" x14ac:dyDescent="0.2">
      <c r="A209" s="53" t="s">
        <v>20</v>
      </c>
      <c r="B209" s="64">
        <v>56584.093559362249</v>
      </c>
      <c r="C209" s="61">
        <f t="shared" si="11"/>
        <v>49712.51</v>
      </c>
      <c r="D209" s="54">
        <f t="shared" si="7"/>
        <v>-6871.5835593622469</v>
      </c>
      <c r="E209" s="55">
        <f t="shared" si="12"/>
        <v>-0.12144019859845034</v>
      </c>
      <c r="F209" s="56"/>
      <c r="G209" s="56"/>
      <c r="H209" s="56"/>
      <c r="I209" s="56"/>
      <c r="J209" s="56"/>
      <c r="K209" s="56"/>
      <c r="L209" s="57"/>
      <c r="M209" s="58" t="s">
        <v>20</v>
      </c>
      <c r="N209" s="28"/>
      <c r="O209" s="59">
        <f t="shared" si="8"/>
        <v>262.64979606970707</v>
      </c>
      <c r="P209" s="59">
        <f t="shared" si="13"/>
        <v>253.78571428571428</v>
      </c>
      <c r="Q209" s="37">
        <f t="shared" si="14"/>
        <v>0.9662513281310896</v>
      </c>
      <c r="R209" s="59">
        <f t="shared" si="9"/>
        <v>-1845.7755059523765</v>
      </c>
      <c r="S209" s="59"/>
      <c r="T209" s="59">
        <f t="shared" si="10"/>
        <v>-5025.8080534098699</v>
      </c>
      <c r="U209" s="11"/>
      <c r="AL209" s="63"/>
    </row>
    <row r="210" spans="1:38" x14ac:dyDescent="0.2">
      <c r="A210" s="53" t="s">
        <v>21</v>
      </c>
      <c r="B210" s="64">
        <v>70781.442369891462</v>
      </c>
      <c r="C210" s="61">
        <f t="shared" si="11"/>
        <v>60823.72</v>
      </c>
      <c r="D210" s="54">
        <f t="shared" si="7"/>
        <v>-9957.7223698914604</v>
      </c>
      <c r="E210" s="55">
        <f t="shared" si="12"/>
        <v>-0.14068267100088383</v>
      </c>
      <c r="F210" s="56"/>
      <c r="G210" s="56"/>
      <c r="H210" s="56"/>
      <c r="I210" s="56"/>
      <c r="J210" s="56"/>
      <c r="K210" s="56"/>
      <c r="L210" s="57"/>
      <c r="M210" s="58" t="s">
        <v>21</v>
      </c>
      <c r="N210" s="28"/>
      <c r="O210" s="59">
        <f t="shared" si="8"/>
        <v>328.75087702666264</v>
      </c>
      <c r="P210" s="59">
        <f t="shared" si="13"/>
        <v>311.25</v>
      </c>
      <c r="Q210" s="37">
        <f t="shared" si="14"/>
        <v>0.94676553509165773</v>
      </c>
      <c r="R210" s="59">
        <f t="shared" si="9"/>
        <v>-3644.2229365293556</v>
      </c>
      <c r="S210" s="59"/>
      <c r="T210" s="59">
        <f t="shared" si="10"/>
        <v>-6313.4994333621053</v>
      </c>
      <c r="U210" s="11"/>
      <c r="AL210" s="63"/>
    </row>
    <row r="211" spans="1:38" x14ac:dyDescent="0.2">
      <c r="A211" s="53" t="s">
        <v>22</v>
      </c>
      <c r="B211" s="64">
        <v>60274.525002975526</v>
      </c>
      <c r="C211" s="61">
        <f t="shared" si="11"/>
        <v>53091.53</v>
      </c>
      <c r="D211" s="54">
        <f t="shared" si="7"/>
        <v>-7182.9950029755273</v>
      </c>
      <c r="E211" s="55">
        <f t="shared" si="12"/>
        <v>-0.11917132491082974</v>
      </c>
      <c r="F211" s="56"/>
      <c r="G211" s="56"/>
      <c r="H211" s="56"/>
      <c r="I211" s="56"/>
      <c r="J211" s="56"/>
      <c r="K211" s="56"/>
      <c r="L211" s="57"/>
      <c r="M211" s="58" t="s">
        <v>22</v>
      </c>
      <c r="N211" s="28"/>
      <c r="O211" s="59">
        <f t="shared" si="8"/>
        <v>279.83198345383761</v>
      </c>
      <c r="P211" s="59">
        <f t="shared" si="13"/>
        <v>261.75</v>
      </c>
      <c r="Q211" s="37">
        <f t="shared" si="14"/>
        <v>0.93538271347449287</v>
      </c>
      <c r="R211" s="59">
        <f t="shared" si="9"/>
        <v>-3765.2272363281254</v>
      </c>
      <c r="S211" s="59"/>
      <c r="T211" s="59">
        <f t="shared" si="10"/>
        <v>-3417.7677666474019</v>
      </c>
      <c r="U211" s="11"/>
      <c r="AL211" s="63"/>
    </row>
    <row r="212" spans="1:38" x14ac:dyDescent="0.2">
      <c r="A212" s="53" t="s">
        <v>23</v>
      </c>
      <c r="B212" s="64">
        <v>68422.697914655175</v>
      </c>
      <c r="C212" s="61">
        <f t="shared" si="11"/>
        <v>61219.73</v>
      </c>
      <c r="D212" s="54">
        <f t="shared" si="7"/>
        <v>-7202.9679146551716</v>
      </c>
      <c r="E212" s="55">
        <f t="shared" si="12"/>
        <v>-0.10527161503686334</v>
      </c>
      <c r="F212" s="56"/>
      <c r="G212" s="56"/>
      <c r="H212" s="56"/>
      <c r="I212" s="56"/>
      <c r="J212" s="56"/>
      <c r="K212" s="56"/>
      <c r="L212" s="57"/>
      <c r="M212" s="58" t="s">
        <v>23</v>
      </c>
      <c r="N212" s="28"/>
      <c r="O212" s="59">
        <f t="shared" si="8"/>
        <v>317.7688577586207</v>
      </c>
      <c r="P212" s="59">
        <f t="shared" si="13"/>
        <v>324.75</v>
      </c>
      <c r="Q212" s="37">
        <f t="shared" si="14"/>
        <v>1.0219692461074401</v>
      </c>
      <c r="R212" s="59">
        <f t="shared" si="9"/>
        <v>1453.6893574218661</v>
      </c>
      <c r="S212" s="59"/>
      <c r="T212" s="59">
        <f t="shared" si="10"/>
        <v>-8656.6572720770382</v>
      </c>
      <c r="U212" s="11"/>
      <c r="AL212" s="63"/>
    </row>
    <row r="213" spans="1:38" x14ac:dyDescent="0.2">
      <c r="A213" s="53" t="s">
        <v>25</v>
      </c>
      <c r="B213" s="64">
        <v>77223.160002766948</v>
      </c>
      <c r="C213" s="61">
        <f t="shared" si="11"/>
        <v>70724.070000000007</v>
      </c>
      <c r="D213" s="54">
        <f t="shared" si="7"/>
        <v>-6499.0900027669413</v>
      </c>
      <c r="E213" s="55">
        <f t="shared" si="12"/>
        <v>-8.4159855703056896E-2</v>
      </c>
      <c r="F213" s="56"/>
      <c r="G213" s="56"/>
      <c r="H213" s="56"/>
      <c r="I213" s="56"/>
      <c r="J213" s="56"/>
      <c r="K213" s="56"/>
      <c r="L213" s="57"/>
      <c r="M213" s="58" t="s">
        <v>25</v>
      </c>
      <c r="N213" s="28"/>
      <c r="O213" s="59">
        <f t="shared" si="8"/>
        <v>358.74270891268077</v>
      </c>
      <c r="P213" s="59">
        <f t="shared" si="13"/>
        <v>358.75</v>
      </c>
      <c r="Q213" s="37">
        <f t="shared" si="14"/>
        <v>1.0000203240014029</v>
      </c>
      <c r="R213" s="59">
        <f t="shared" si="9"/>
        <v>1.5182294921865753</v>
      </c>
      <c r="S213" s="59"/>
      <c r="T213" s="59">
        <f t="shared" si="10"/>
        <v>-6500.6082322591283</v>
      </c>
      <c r="U213" s="11"/>
      <c r="AL213" s="63"/>
    </row>
    <row r="214" spans="1:38" x14ac:dyDescent="0.2">
      <c r="A214" s="53" t="s">
        <v>26</v>
      </c>
      <c r="B214" s="64">
        <v>74271.467999999993</v>
      </c>
      <c r="C214" s="61">
        <f t="shared" si="11"/>
        <v>68840.98</v>
      </c>
      <c r="D214" s="54">
        <f t="shared" si="7"/>
        <v>-5430.4879999999976</v>
      </c>
      <c r="E214" s="55">
        <f t="shared" si="12"/>
        <v>-7.3116745181339329E-2</v>
      </c>
      <c r="F214" s="56"/>
      <c r="G214" s="56"/>
      <c r="H214" s="56"/>
      <c r="I214" s="56"/>
      <c r="J214" s="56"/>
      <c r="K214" s="56"/>
      <c r="L214" s="57"/>
      <c r="M214" s="58" t="s">
        <v>26</v>
      </c>
      <c r="N214" s="28"/>
      <c r="O214" s="59">
        <f t="shared" si="8"/>
        <v>345</v>
      </c>
      <c r="P214" s="59">
        <f t="shared" si="13"/>
        <v>341.14285714285717</v>
      </c>
      <c r="Q214" s="37">
        <f t="shared" si="14"/>
        <v>0.98881987577639763</v>
      </c>
      <c r="R214" s="59">
        <f t="shared" si="9"/>
        <v>-803.17623214284913</v>
      </c>
      <c r="S214" s="59"/>
      <c r="T214" s="59">
        <f t="shared" si="10"/>
        <v>-4627.3117678571489</v>
      </c>
      <c r="U214" s="11"/>
      <c r="AL214" s="63"/>
    </row>
    <row r="215" spans="1:38" x14ac:dyDescent="0.2">
      <c r="A215" s="53" t="s">
        <v>27</v>
      </c>
      <c r="B215" s="64">
        <v>52734.263880107523</v>
      </c>
      <c r="C215" s="61">
        <f t="shared" si="11"/>
        <v>53948.33</v>
      </c>
      <c r="D215" s="54">
        <f t="shared" si="7"/>
        <v>1214.066119892479</v>
      </c>
      <c r="E215" s="55">
        <f t="shared" si="12"/>
        <v>2.3022339377917256E-2</v>
      </c>
      <c r="F215" s="56"/>
      <c r="G215" s="56"/>
      <c r="H215" s="56"/>
      <c r="I215" s="56"/>
      <c r="J215" s="56"/>
      <c r="K215" s="56"/>
      <c r="L215" s="57"/>
      <c r="M215" s="58" t="s">
        <v>27</v>
      </c>
      <c r="N215" s="28"/>
      <c r="O215" s="59">
        <f t="shared" si="8"/>
        <v>244.72547043010752</v>
      </c>
      <c r="P215" s="59">
        <f t="shared" si="13"/>
        <v>232</v>
      </c>
      <c r="Q215" s="37">
        <f t="shared" si="14"/>
        <v>0.94800103802950153</v>
      </c>
      <c r="R215" s="59">
        <f t="shared" si="9"/>
        <v>-2649.8358424479129</v>
      </c>
      <c r="S215" s="59"/>
      <c r="T215" s="59">
        <f t="shared" si="10"/>
        <v>3863.9019623403919</v>
      </c>
      <c r="U215" s="11"/>
      <c r="AL215" s="63"/>
    </row>
    <row r="216" spans="1:38" x14ac:dyDescent="0.2">
      <c r="A216" s="53" t="s">
        <v>28</v>
      </c>
      <c r="B216" s="64">
        <v>68956.061515758251</v>
      </c>
      <c r="C216" s="61">
        <f t="shared" si="11"/>
        <v>58398.52</v>
      </c>
      <c r="D216" s="54">
        <f t="shared" si="7"/>
        <v>-10557.541515758254</v>
      </c>
      <c r="E216" s="55">
        <f t="shared" si="12"/>
        <v>-0.15310534394928546</v>
      </c>
      <c r="F216" s="56"/>
      <c r="G216" s="56"/>
      <c r="H216" s="56"/>
      <c r="I216" s="56"/>
      <c r="J216" s="56"/>
      <c r="K216" s="56"/>
      <c r="L216" s="57"/>
      <c r="M216" s="58" t="s">
        <v>28</v>
      </c>
      <c r="N216" s="28"/>
      <c r="O216" s="59">
        <f t="shared" si="8"/>
        <v>320.25213199851686</v>
      </c>
      <c r="P216" s="59">
        <f t="shared" si="13"/>
        <v>301.42857142857144</v>
      </c>
      <c r="Q216" s="37">
        <f t="shared" si="14"/>
        <v>0.94122268460016811</v>
      </c>
      <c r="R216" s="59">
        <f t="shared" si="9"/>
        <v>-3919.6464880952326</v>
      </c>
      <c r="S216" s="59"/>
      <c r="T216" s="59">
        <f t="shared" si="10"/>
        <v>-6637.8950276630212</v>
      </c>
      <c r="U216" s="11"/>
      <c r="AL216" s="63"/>
    </row>
    <row r="217" spans="1:38" x14ac:dyDescent="0.2">
      <c r="A217" s="53" t="s">
        <v>29</v>
      </c>
      <c r="B217" s="64">
        <v>62614.890135956608</v>
      </c>
      <c r="C217" s="61">
        <f t="shared" si="11"/>
        <v>54631.88</v>
      </c>
      <c r="D217" s="54">
        <f t="shared" si="7"/>
        <v>-7983.0101359566106</v>
      </c>
      <c r="E217" s="55">
        <f t="shared" si="12"/>
        <v>-0.12749379769928504</v>
      </c>
      <c r="F217" s="56"/>
      <c r="G217" s="56"/>
      <c r="H217" s="56"/>
      <c r="I217" s="56"/>
      <c r="J217" s="56"/>
      <c r="K217" s="56"/>
      <c r="L217" s="57"/>
      <c r="M217" s="58" t="s">
        <v>29</v>
      </c>
      <c r="N217" s="28"/>
      <c r="O217" s="59">
        <f t="shared" si="8"/>
        <v>290.72843089543937</v>
      </c>
      <c r="P217" s="59">
        <f t="shared" si="13"/>
        <v>276.64285714285717</v>
      </c>
      <c r="Q217" s="37">
        <f t="shared" si="14"/>
        <v>0.95155075233199982</v>
      </c>
      <c r="R217" s="59">
        <f t="shared" si="9"/>
        <v>-2933.0513473772289</v>
      </c>
      <c r="S217" s="59"/>
      <c r="T217" s="59">
        <f t="shared" si="10"/>
        <v>-5049.9587885793817</v>
      </c>
      <c r="U217" s="11"/>
      <c r="AL217" s="63"/>
    </row>
    <row r="218" spans="1:38" x14ac:dyDescent="0.2">
      <c r="A218" s="53" t="s">
        <v>30</v>
      </c>
      <c r="B218" s="64" cm="1">
        <f t="array" ref="B218:B222">+TRANSPOSE('[1]Energía Eléctrica'!$M$10:$Q$10)</f>
        <v>72411.460400114171</v>
      </c>
      <c r="C218" s="61">
        <f t="shared" si="11"/>
        <v>70340.76999999999</v>
      </c>
      <c r="D218" s="54">
        <f t="shared" si="7"/>
        <v>-2070.6904001141811</v>
      </c>
      <c r="E218" s="55">
        <f t="shared" si="12"/>
        <v>-2.8596169565873252E-2</v>
      </c>
      <c r="F218" s="56"/>
      <c r="G218" s="56"/>
      <c r="H218" s="56"/>
      <c r="I218" s="56"/>
      <c r="J218" s="56"/>
      <c r="K218" s="56"/>
      <c r="L218" s="57"/>
      <c r="M218" s="58" t="s">
        <v>30</v>
      </c>
      <c r="N218" s="28"/>
      <c r="O218" s="59">
        <f t="shared" si="8"/>
        <v>336.34003717303733</v>
      </c>
      <c r="P218" s="59">
        <f t="shared" si="13"/>
        <v>317.67857142857144</v>
      </c>
      <c r="Q218" s="37">
        <f t="shared" si="14"/>
        <v>0.94451607396693871</v>
      </c>
      <c r="R218" s="59">
        <f t="shared" si="9"/>
        <v>-3885.8933407526588</v>
      </c>
      <c r="S218" s="59"/>
      <c r="T218" s="59">
        <f t="shared" si="10"/>
        <v>1815.2029406384777</v>
      </c>
      <c r="U218" s="11"/>
      <c r="AL218" s="63"/>
    </row>
    <row r="219" spans="1:38" x14ac:dyDescent="0.2">
      <c r="A219" s="53" t="s">
        <v>31</v>
      </c>
      <c r="B219" s="64">
        <v>69006.598368061736</v>
      </c>
      <c r="C219" s="61">
        <f t="shared" si="11"/>
        <v>66737.960000000006</v>
      </c>
      <c r="D219" s="54">
        <f t="shared" si="7"/>
        <v>-2268.6383680617291</v>
      </c>
      <c r="E219" s="55">
        <f t="shared" si="12"/>
        <v>-3.287567307638397E-2</v>
      </c>
      <c r="F219" s="56"/>
      <c r="G219" s="56"/>
      <c r="H219" s="56"/>
      <c r="I219" s="56"/>
      <c r="J219" s="56"/>
      <c r="K219" s="56"/>
      <c r="L219" s="57"/>
      <c r="M219" s="58" t="s">
        <v>31</v>
      </c>
      <c r="N219" s="28"/>
      <c r="O219" s="59">
        <f t="shared" si="8"/>
        <v>320.48742526418243</v>
      </c>
      <c r="P219" s="59">
        <f t="shared" si="13"/>
        <v>331.42857142857144</v>
      </c>
      <c r="Q219" s="37">
        <f t="shared" si="14"/>
        <v>1.034139080980697</v>
      </c>
      <c r="R219" s="59">
        <f t="shared" si="9"/>
        <v>2278.2844393136124</v>
      </c>
      <c r="S219" s="59"/>
      <c r="T219" s="59">
        <f t="shared" si="10"/>
        <v>-4546.922807375342</v>
      </c>
      <c r="U219" s="11"/>
      <c r="AL219" s="63"/>
    </row>
    <row r="220" spans="1:38" x14ac:dyDescent="0.2">
      <c r="A220" s="53" t="s">
        <v>32</v>
      </c>
      <c r="B220" s="64">
        <v>49853.517089293659</v>
      </c>
      <c r="C220" s="61">
        <f t="shared" si="11"/>
        <v>50654.33</v>
      </c>
      <c r="D220" s="54">
        <f t="shared" si="7"/>
        <v>800.81291070634325</v>
      </c>
      <c r="E220" s="55">
        <f t="shared" si="12"/>
        <v>1.6063318246373488E-2</v>
      </c>
      <c r="F220" s="56"/>
      <c r="G220" s="56"/>
      <c r="H220" s="56"/>
      <c r="I220" s="56"/>
      <c r="J220" s="56"/>
      <c r="K220" s="56"/>
      <c r="L220" s="57"/>
      <c r="M220" s="58" t="s">
        <v>32</v>
      </c>
      <c r="N220" s="28"/>
      <c r="O220" s="59">
        <f t="shared" si="8"/>
        <v>231.31307355394884</v>
      </c>
      <c r="P220" s="59">
        <f t="shared" si="13"/>
        <v>252.28571428571431</v>
      </c>
      <c r="Q220" s="37">
        <f t="shared" si="14"/>
        <v>1.0906677707815509</v>
      </c>
      <c r="R220" s="59">
        <f t="shared" si="9"/>
        <v>4367.1513306361603</v>
      </c>
      <c r="S220" s="59"/>
      <c r="T220" s="59">
        <f t="shared" si="10"/>
        <v>-3566.3384199298171</v>
      </c>
      <c r="U220" s="11"/>
      <c r="AL220" s="63"/>
    </row>
    <row r="221" spans="1:38" x14ac:dyDescent="0.2">
      <c r="A221" s="53" t="s">
        <v>33</v>
      </c>
      <c r="B221" s="64">
        <v>46854.305749749714</v>
      </c>
      <c r="C221" s="61">
        <f t="shared" si="11"/>
        <v>46171.95</v>
      </c>
      <c r="D221" s="54">
        <f t="shared" si="7"/>
        <v>-682.35574974971678</v>
      </c>
      <c r="E221" s="55">
        <f t="shared" si="12"/>
        <v>-1.4563352051233025E-2</v>
      </c>
      <c r="F221" s="56"/>
      <c r="G221" s="56"/>
      <c r="H221" s="56"/>
      <c r="I221" s="56"/>
      <c r="J221" s="56"/>
      <c r="K221" s="56"/>
      <c r="L221" s="57"/>
      <c r="M221" s="58" t="s">
        <v>33</v>
      </c>
      <c r="N221" s="28"/>
      <c r="O221" s="59">
        <f t="shared" si="8"/>
        <v>217.34912055061179</v>
      </c>
      <c r="P221" s="59">
        <f t="shared" si="13"/>
        <v>191.92857142857144</v>
      </c>
      <c r="Q221" s="37">
        <f t="shared" si="14"/>
        <v>0.88304277902002859</v>
      </c>
      <c r="R221" s="59">
        <f t="shared" si="9"/>
        <v>-5293.3431866629435</v>
      </c>
      <c r="S221" s="59">
        <v>5466.38</v>
      </c>
      <c r="T221" s="59">
        <f t="shared" si="10"/>
        <v>-855.39256308677341</v>
      </c>
      <c r="U221" s="11"/>
      <c r="AL221" s="63"/>
    </row>
    <row r="222" spans="1:38" x14ac:dyDescent="0.2">
      <c r="A222" s="53" t="s">
        <v>34</v>
      </c>
      <c r="B222" s="64">
        <v>62450.223380422693</v>
      </c>
      <c r="C222" s="61">
        <f t="shared" si="11"/>
        <v>57948.04</v>
      </c>
      <c r="D222" s="54">
        <f t="shared" si="7"/>
        <v>-4502.1833804226917</v>
      </c>
      <c r="E222" s="55">
        <f t="shared" si="12"/>
        <v>-7.2092350302690289E-2</v>
      </c>
      <c r="F222" s="56"/>
      <c r="G222" s="56"/>
      <c r="H222" s="56"/>
      <c r="I222" s="56"/>
      <c r="J222" s="56"/>
      <c r="K222" s="56"/>
      <c r="L222" s="57"/>
      <c r="M222" s="58" t="s">
        <v>34</v>
      </c>
      <c r="N222" s="28"/>
      <c r="O222" s="59">
        <f t="shared" si="8"/>
        <v>289.96176307007784</v>
      </c>
      <c r="P222" s="59">
        <f t="shared" si="13"/>
        <v>298.46428571428572</v>
      </c>
      <c r="Q222" s="37">
        <f t="shared" si="14"/>
        <v>1.0293229098698542</v>
      </c>
      <c r="R222" s="59">
        <f t="shared" si="9"/>
        <v>1770.4877299107268</v>
      </c>
      <c r="S222" s="65"/>
      <c r="T222" s="59">
        <f t="shared" si="10"/>
        <v>-6272.6711103334183</v>
      </c>
      <c r="U222" s="11"/>
      <c r="AL222" s="63"/>
    </row>
    <row r="223" spans="1:38" x14ac:dyDescent="0.2">
      <c r="A223" s="53" t="s">
        <v>35</v>
      </c>
      <c r="B223" s="64" cm="1">
        <f t="array" ref="B223:B226">+TRANSPOSE('[1]Energía Eléctrica'!$S$10:$V$10)</f>
        <v>68552.92768572217</v>
      </c>
      <c r="C223" s="61">
        <f t="shared" si="11"/>
        <v>58711.35</v>
      </c>
      <c r="D223" s="54">
        <f t="shared" si="7"/>
        <v>-9841.5776857221717</v>
      </c>
      <c r="E223" s="55">
        <f t="shared" si="12"/>
        <v>-0.14356174153262197</v>
      </c>
      <c r="F223" s="56"/>
      <c r="G223" s="56"/>
      <c r="H223" s="56"/>
      <c r="I223" s="56"/>
      <c r="J223" s="56"/>
      <c r="K223" s="56"/>
      <c r="L223" s="57"/>
      <c r="M223" s="58" t="s">
        <v>35</v>
      </c>
      <c r="N223" s="28"/>
      <c r="O223" s="59">
        <f t="shared" si="8"/>
        <v>318.37519128998548</v>
      </c>
      <c r="P223" s="59">
        <f t="shared" si="13"/>
        <v>283.5</v>
      </c>
      <c r="Q223" s="37">
        <f t="shared" si="14"/>
        <v>0.89045882894116546</v>
      </c>
      <c r="R223" s="59">
        <f t="shared" si="9"/>
        <v>-7262.0915981060525</v>
      </c>
      <c r="S223" s="59"/>
      <c r="T223" s="59">
        <f t="shared" si="10"/>
        <v>-2579.4860876161192</v>
      </c>
      <c r="U223" s="11"/>
      <c r="AL223" s="63"/>
    </row>
    <row r="224" spans="1:38" x14ac:dyDescent="0.2">
      <c r="A224" s="53" t="s">
        <v>36</v>
      </c>
      <c r="B224" s="64">
        <v>54440.612293047838</v>
      </c>
      <c r="C224" s="61">
        <f t="shared" si="11"/>
        <v>57027.49</v>
      </c>
      <c r="D224" s="54">
        <f t="shared" si="7"/>
        <v>2586.8777069521602</v>
      </c>
      <c r="E224" s="55">
        <f t="shared" si="12"/>
        <v>4.7517424914827952E-2</v>
      </c>
      <c r="F224" s="56"/>
      <c r="G224" s="56"/>
      <c r="H224" s="56"/>
      <c r="I224" s="56"/>
      <c r="J224" s="56"/>
      <c r="K224" s="56"/>
      <c r="L224" s="57"/>
      <c r="M224" s="58" t="s">
        <v>36</v>
      </c>
      <c r="N224" s="28"/>
      <c r="O224" s="59">
        <f t="shared" si="8"/>
        <v>252.67001529477199</v>
      </c>
      <c r="P224" s="59">
        <f t="shared" si="13"/>
        <v>282.89285714285717</v>
      </c>
      <c r="Q224" s="37">
        <f t="shared" si="14"/>
        <v>1.1196138837955361</v>
      </c>
      <c r="R224" s="59">
        <f t="shared" si="9"/>
        <v>6293.3288030133936</v>
      </c>
      <c r="S224" s="59"/>
      <c r="T224" s="59">
        <f t="shared" si="10"/>
        <v>-3706.4510960612333</v>
      </c>
      <c r="U224" s="11"/>
      <c r="AL224" s="63"/>
    </row>
    <row r="225" spans="1:38" x14ac:dyDescent="0.2">
      <c r="A225" s="53" t="s">
        <v>37</v>
      </c>
      <c r="B225" s="64">
        <v>61884.881580756395</v>
      </c>
      <c r="C225" s="61">
        <f t="shared" si="11"/>
        <v>58007.25</v>
      </c>
      <c r="D225" s="54">
        <f t="shared" si="7"/>
        <v>-3877.6315807563951</v>
      </c>
      <c r="E225" s="55">
        <f t="shared" si="12"/>
        <v>-6.2658786471075284E-2</v>
      </c>
      <c r="F225" s="56"/>
      <c r="G225" s="56"/>
      <c r="H225" s="56"/>
      <c r="I225" s="56"/>
      <c r="J225" s="56"/>
      <c r="K225" s="56"/>
      <c r="L225" s="57"/>
      <c r="M225" s="58" t="s">
        <v>37</v>
      </c>
      <c r="N225" s="28"/>
      <c r="O225" s="59">
        <f t="shared" si="8"/>
        <v>287.32960233592883</v>
      </c>
      <c r="P225" s="59">
        <f t="shared" si="13"/>
        <v>259.78571428571428</v>
      </c>
      <c r="Q225" s="37">
        <f t="shared" si="14"/>
        <v>0.90413835599851677</v>
      </c>
      <c r="R225" s="59">
        <f t="shared" si="9"/>
        <v>-5735.4879095982196</v>
      </c>
      <c r="S225" s="59"/>
      <c r="T225" s="59">
        <f t="shared" si="10"/>
        <v>1857.8563288418245</v>
      </c>
      <c r="U225" s="11"/>
      <c r="AL225" s="63"/>
    </row>
    <row r="226" spans="1:38" x14ac:dyDescent="0.2">
      <c r="A226" s="53" t="s">
        <v>38</v>
      </c>
      <c r="B226" s="64">
        <v>58703.988431117905</v>
      </c>
      <c r="C226" s="61">
        <f t="shared" si="11"/>
        <v>51245.16</v>
      </c>
      <c r="D226" s="54">
        <f t="shared" si="7"/>
        <v>-7458.8284311179013</v>
      </c>
      <c r="E226" s="55">
        <f t="shared" si="12"/>
        <v>-0.12705829076451838</v>
      </c>
      <c r="F226" s="56"/>
      <c r="G226" s="56"/>
      <c r="H226" s="56"/>
      <c r="I226" s="56"/>
      <c r="J226" s="56"/>
      <c r="K226" s="56"/>
      <c r="L226" s="57"/>
      <c r="M226" s="58" t="s">
        <v>38</v>
      </c>
      <c r="N226" s="28"/>
      <c r="O226" s="59">
        <f t="shared" si="8"/>
        <v>272.51976154060065</v>
      </c>
      <c r="P226" s="59">
        <f t="shared" si="13"/>
        <v>254.35714285714286</v>
      </c>
      <c r="Q226" s="37">
        <f t="shared" si="14"/>
        <v>0.93335302151748034</v>
      </c>
      <c r="R226" s="59">
        <f t="shared" si="9"/>
        <v>-3782.0179807477657</v>
      </c>
      <c r="S226" s="59"/>
      <c r="T226" s="59">
        <f t="shared" si="10"/>
        <v>-3676.8104503701356</v>
      </c>
      <c r="U226" s="11"/>
      <c r="AL226" s="63"/>
    </row>
    <row r="227" spans="1:38" x14ac:dyDescent="0.2">
      <c r="A227" s="53" t="s">
        <v>39</v>
      </c>
      <c r="B227" s="64" cm="1">
        <f t="array" ref="B227">+TRANSPOSE('[1]Energía Eléctrica'!$X$10)</f>
        <v>53756.174443979413</v>
      </c>
      <c r="C227" s="61">
        <f t="shared" si="11"/>
        <v>45461.78</v>
      </c>
      <c r="D227" s="54">
        <f t="shared" si="7"/>
        <v>-8294.3944439794141</v>
      </c>
      <c r="E227" s="55">
        <f t="shared" si="12"/>
        <v>-0.15429659066649543</v>
      </c>
      <c r="F227" s="56"/>
      <c r="G227" s="56"/>
      <c r="H227" s="56"/>
      <c r="I227" s="56"/>
      <c r="J227" s="56"/>
      <c r="K227" s="56"/>
      <c r="L227" s="57"/>
      <c r="M227" s="58" t="s">
        <v>39</v>
      </c>
      <c r="N227" s="28"/>
      <c r="O227" s="59">
        <f t="shared" si="8"/>
        <v>249.48335824527251</v>
      </c>
      <c r="P227" s="59">
        <f t="shared" si="13"/>
        <v>230.57142857142858</v>
      </c>
      <c r="Q227" s="37">
        <f t="shared" si="14"/>
        <v>0.92419562648643205</v>
      </c>
      <c r="R227" s="59">
        <f t="shared" si="9"/>
        <v>-3938.0476639229837</v>
      </c>
      <c r="S227" s="59"/>
      <c r="T227" s="59">
        <f t="shared" si="10"/>
        <v>-4356.3467800564304</v>
      </c>
      <c r="U227" s="11"/>
      <c r="AL227" s="63"/>
    </row>
    <row r="228" spans="1:38" x14ac:dyDescent="0.2">
      <c r="A228" s="53" t="s">
        <v>40</v>
      </c>
      <c r="B228" s="64" cm="1">
        <f t="array" ref="B228:B292">+TRANSPOSE('[1]Energía Eléctrica'!$Z$10:$CL$10)</f>
        <v>57570.13177422135</v>
      </c>
      <c r="C228" s="61">
        <f t="shared" si="11"/>
        <v>56630.9</v>
      </c>
      <c r="D228" s="54">
        <f t="shared" si="7"/>
        <v>-939.23177422134904</v>
      </c>
      <c r="E228" s="55">
        <f t="shared" si="12"/>
        <v>-1.6314567038075056E-2</v>
      </c>
      <c r="F228" s="56"/>
      <c r="G228" s="56"/>
      <c r="H228" s="56"/>
      <c r="I228" s="56"/>
      <c r="J228" s="56"/>
      <c r="K228" s="56"/>
      <c r="L228" s="57"/>
      <c r="M228" s="58" t="s">
        <v>40</v>
      </c>
      <c r="N228" s="28"/>
      <c r="O228" s="59">
        <f t="shared" si="8"/>
        <v>267.24066671301443</v>
      </c>
      <c r="P228" s="59">
        <f t="shared" si="13"/>
        <v>261.42857142857144</v>
      </c>
      <c r="Q228" s="37">
        <f t="shared" si="14"/>
        <v>0.97825145642715927</v>
      </c>
      <c r="R228" s="59">
        <f t="shared" si="9"/>
        <v>-1210.2576866629402</v>
      </c>
      <c r="S228" s="59"/>
      <c r="T228" s="59">
        <f t="shared" si="10"/>
        <v>271.02591244159112</v>
      </c>
      <c r="U228" s="11"/>
      <c r="AL228" s="63"/>
    </row>
    <row r="229" spans="1:38" x14ac:dyDescent="0.2">
      <c r="A229" s="53" t="s">
        <v>41</v>
      </c>
      <c r="B229" s="64">
        <v>53862.224792431567</v>
      </c>
      <c r="C229" s="61">
        <f t="shared" si="11"/>
        <v>61519.56</v>
      </c>
      <c r="D229" s="54">
        <f t="shared" si="7"/>
        <v>7657.3352075684306</v>
      </c>
      <c r="E229" s="55">
        <f t="shared" si="12"/>
        <v>0.14216522316108263</v>
      </c>
      <c r="F229" s="56"/>
      <c r="G229" s="56"/>
      <c r="H229" s="56"/>
      <c r="I229" s="56"/>
      <c r="J229" s="56"/>
      <c r="K229" s="56"/>
      <c r="L229" s="57"/>
      <c r="M229" s="58" t="s">
        <v>41</v>
      </c>
      <c r="N229" s="28"/>
      <c r="O229" s="59">
        <f t="shared" si="8"/>
        <v>249.97711540811338</v>
      </c>
      <c r="P229" s="59">
        <f t="shared" si="13"/>
        <v>223.89285714285714</v>
      </c>
      <c r="Q229" s="37">
        <f t="shared" si="14"/>
        <v>0.8956534152229455</v>
      </c>
      <c r="R229" s="59">
        <f t="shared" si="9"/>
        <v>-5431.5479223002885</v>
      </c>
      <c r="S229" s="65">
        <v>11894.11</v>
      </c>
      <c r="T229" s="59">
        <f t="shared" si="10"/>
        <v>1194.7731298687177</v>
      </c>
      <c r="U229" s="11"/>
      <c r="AL229" s="63"/>
    </row>
    <row r="230" spans="1:38" x14ac:dyDescent="0.2">
      <c r="A230" s="53" t="s">
        <v>42</v>
      </c>
      <c r="B230" s="64">
        <v>69928.836349999983</v>
      </c>
      <c r="C230" s="61">
        <f t="shared" si="11"/>
        <v>69368.070000000007</v>
      </c>
      <c r="D230" s="54">
        <f t="shared" si="7"/>
        <v>-560.76634999997623</v>
      </c>
      <c r="E230" s="55">
        <f t="shared" si="12"/>
        <v>-8.019100263492035E-3</v>
      </c>
      <c r="F230" s="56"/>
      <c r="G230" s="56"/>
      <c r="H230" s="56"/>
      <c r="I230" s="56"/>
      <c r="J230" s="56"/>
      <c r="K230" s="56"/>
      <c r="L230" s="57"/>
      <c r="M230" s="58" t="s">
        <v>42</v>
      </c>
      <c r="N230" s="28"/>
      <c r="O230" s="59">
        <f t="shared" si="8"/>
        <v>324.78125</v>
      </c>
      <c r="P230" s="59">
        <f t="shared" si="13"/>
        <v>311.96428571428567</v>
      </c>
      <c r="Q230" s="37">
        <f t="shared" si="14"/>
        <v>0.96053662492611769</v>
      </c>
      <c r="R230" s="59">
        <f t="shared" si="9"/>
        <v>-2668.8876880580469</v>
      </c>
      <c r="S230" s="59"/>
      <c r="T230" s="59">
        <f t="shared" si="10"/>
        <v>2108.1213380580707</v>
      </c>
      <c r="U230" s="11"/>
      <c r="AL230" s="63"/>
    </row>
    <row r="231" spans="1:38" x14ac:dyDescent="0.2">
      <c r="A231" s="53" t="s">
        <v>43</v>
      </c>
      <c r="B231" s="64">
        <v>55044.439547956063</v>
      </c>
      <c r="C231" s="61">
        <f t="shared" si="11"/>
        <v>51349.48</v>
      </c>
      <c r="D231" s="54">
        <f t="shared" si="7"/>
        <v>-3694.9595479560594</v>
      </c>
      <c r="E231" s="55">
        <f t="shared" si="12"/>
        <v>-6.7126844751265388E-2</v>
      </c>
      <c r="F231" s="56"/>
      <c r="G231" s="56"/>
      <c r="H231" s="56"/>
      <c r="I231" s="56"/>
      <c r="J231" s="56"/>
      <c r="K231" s="56"/>
      <c r="L231" s="57"/>
      <c r="M231" s="58" t="s">
        <v>43</v>
      </c>
      <c r="N231" s="28"/>
      <c r="O231" s="59">
        <f t="shared" si="8"/>
        <v>255.48135949666295</v>
      </c>
      <c r="P231" s="59">
        <f t="shared" si="13"/>
        <v>253.46428571428572</v>
      </c>
      <c r="Q231" s="37">
        <f t="shared" si="14"/>
        <v>0.99210481036130715</v>
      </c>
      <c r="R231" s="59">
        <f t="shared" si="9"/>
        <v>-420.01703864396711</v>
      </c>
      <c r="S231" s="65">
        <v>1633.08</v>
      </c>
      <c r="T231" s="59">
        <f t="shared" si="10"/>
        <v>-4908.0225093120916</v>
      </c>
      <c r="U231" s="11"/>
      <c r="AL231" s="63"/>
    </row>
    <row r="232" spans="1:38" x14ac:dyDescent="0.2">
      <c r="A232" s="53" t="s">
        <v>44</v>
      </c>
      <c r="B232" s="64">
        <v>72350.23950666016</v>
      </c>
      <c r="C232" s="61">
        <f t="shared" si="11"/>
        <v>59027.93</v>
      </c>
      <c r="D232" s="54">
        <f t="shared" si="7"/>
        <v>-13322.30950666016</v>
      </c>
      <c r="E232" s="55">
        <f t="shared" si="12"/>
        <v>-0.18413635666587921</v>
      </c>
      <c r="F232" s="56"/>
      <c r="G232" s="56"/>
      <c r="H232" s="56"/>
      <c r="I232" s="56"/>
      <c r="J232" s="56"/>
      <c r="K232" s="56"/>
      <c r="L232" s="57"/>
      <c r="M232" s="58" t="s">
        <v>44</v>
      </c>
      <c r="N232" s="28"/>
      <c r="O232" s="59">
        <f t="shared" si="8"/>
        <v>336.05500034760843</v>
      </c>
      <c r="P232" s="59">
        <f t="shared" si="13"/>
        <v>305.21428571428572</v>
      </c>
      <c r="Q232" s="37">
        <f t="shared" si="14"/>
        <v>0.90822718126074098</v>
      </c>
      <c r="R232" s="59">
        <f t="shared" si="9"/>
        <v>-6421.9889937220887</v>
      </c>
      <c r="S232" s="59"/>
      <c r="T232" s="59">
        <f t="shared" si="10"/>
        <v>-6900.3205129380713</v>
      </c>
      <c r="U232" s="11"/>
      <c r="AL232" s="63"/>
    </row>
    <row r="233" spans="1:38" x14ac:dyDescent="0.2">
      <c r="A233" s="53" t="s">
        <v>45</v>
      </c>
      <c r="B233" s="64">
        <v>63783.803479421578</v>
      </c>
      <c r="C233" s="61">
        <f t="shared" si="11"/>
        <v>66810.64</v>
      </c>
      <c r="D233" s="54">
        <f t="shared" si="7"/>
        <v>3026.8365205784212</v>
      </c>
      <c r="E233" s="55">
        <f t="shared" si="12"/>
        <v>4.7454625711603457E-2</v>
      </c>
      <c r="F233" s="56"/>
      <c r="G233" s="56"/>
      <c r="H233" s="56"/>
      <c r="I233" s="56"/>
      <c r="J233" s="56"/>
      <c r="K233" s="56"/>
      <c r="L233" s="57"/>
      <c r="M233" s="58" t="s">
        <v>45</v>
      </c>
      <c r="N233" s="28"/>
      <c r="O233" s="59">
        <f t="shared" si="8"/>
        <v>296.17074527252504</v>
      </c>
      <c r="P233" s="59">
        <f t="shared" si="13"/>
        <v>310</v>
      </c>
      <c r="Q233" s="37">
        <f t="shared" si="14"/>
        <v>1.0466935203703183</v>
      </c>
      <c r="R233" s="59">
        <f t="shared" si="9"/>
        <v>2879.6778125000033</v>
      </c>
      <c r="S233" s="59"/>
      <c r="T233" s="59">
        <f t="shared" si="10"/>
        <v>147.15870807841793</v>
      </c>
      <c r="U233" s="11"/>
      <c r="AL233" s="63"/>
    </row>
    <row r="234" spans="1:38" x14ac:dyDescent="0.2">
      <c r="A234" s="53" t="s">
        <v>46</v>
      </c>
      <c r="B234" s="64">
        <v>42054.108</v>
      </c>
      <c r="C234" s="61">
        <f t="shared" si="11"/>
        <v>39096.959999999999</v>
      </c>
      <c r="D234" s="54">
        <f t="shared" si="7"/>
        <v>-2957.148000000001</v>
      </c>
      <c r="E234" s="55">
        <f t="shared" si="12"/>
        <v>-7.0317696430512833E-2</v>
      </c>
      <c r="F234" s="56"/>
      <c r="G234" s="56"/>
      <c r="H234" s="56"/>
      <c r="I234" s="56"/>
      <c r="J234" s="56"/>
      <c r="K234" s="56"/>
      <c r="L234" s="57"/>
      <c r="M234" s="58" t="s">
        <v>46</v>
      </c>
      <c r="N234" s="28"/>
      <c r="O234" s="59">
        <f t="shared" si="8"/>
        <v>195</v>
      </c>
      <c r="P234" s="59">
        <f t="shared" si="13"/>
        <v>180.78571428571428</v>
      </c>
      <c r="Q234" s="37">
        <f t="shared" si="14"/>
        <v>0.92710622710622703</v>
      </c>
      <c r="R234" s="59">
        <f t="shared" si="9"/>
        <v>-2959.8531517857177</v>
      </c>
      <c r="S234" s="59"/>
      <c r="T234" s="59">
        <f t="shared" si="10"/>
        <v>2.70515178571668</v>
      </c>
      <c r="U234" s="11"/>
      <c r="AL234" s="63"/>
    </row>
    <row r="235" spans="1:38" x14ac:dyDescent="0.2">
      <c r="A235" s="53" t="s">
        <v>47</v>
      </c>
      <c r="B235" s="64">
        <v>58369.290586262519</v>
      </c>
      <c r="C235" s="61">
        <f t="shared" si="11"/>
        <v>56924.6</v>
      </c>
      <c r="D235" s="54">
        <f t="shared" si="7"/>
        <v>-1444.6905862625208</v>
      </c>
      <c r="E235" s="55">
        <f t="shared" si="12"/>
        <v>-2.4750867652356484E-2</v>
      </c>
      <c r="F235" s="56"/>
      <c r="G235" s="56"/>
      <c r="H235" s="56"/>
      <c r="I235" s="56"/>
      <c r="J235" s="56"/>
      <c r="K235" s="56"/>
      <c r="L235" s="57"/>
      <c r="M235" s="58" t="s">
        <v>47</v>
      </c>
      <c r="N235" s="28"/>
      <c r="O235" s="59">
        <f t="shared" si="8"/>
        <v>270.96145022246941</v>
      </c>
      <c r="P235" s="59">
        <f t="shared" si="13"/>
        <v>261.85714285714283</v>
      </c>
      <c r="Q235" s="37">
        <f t="shared" si="14"/>
        <v>0.96639999026484547</v>
      </c>
      <c r="R235" s="59">
        <f t="shared" si="9"/>
        <v>-1895.7978889508947</v>
      </c>
      <c r="S235" s="59"/>
      <c r="T235" s="59">
        <f t="shared" si="10"/>
        <v>451.10730268837392</v>
      </c>
      <c r="U235" s="11"/>
      <c r="AL235" s="63"/>
    </row>
    <row r="236" spans="1:38" x14ac:dyDescent="0.2">
      <c r="A236" s="53" t="s">
        <v>48</v>
      </c>
      <c r="B236" s="64">
        <v>76245.673489126784</v>
      </c>
      <c r="C236" s="61">
        <f t="shared" si="11"/>
        <v>72878.81</v>
      </c>
      <c r="D236" s="54">
        <f t="shared" si="7"/>
        <v>-3366.8634891267866</v>
      </c>
      <c r="E236" s="55">
        <f t="shared" si="12"/>
        <v>-4.4158092322535876E-2</v>
      </c>
      <c r="F236" s="56"/>
      <c r="G236" s="56"/>
      <c r="H236" s="56"/>
      <c r="I236" s="56"/>
      <c r="J236" s="56"/>
      <c r="K236" s="56"/>
      <c r="L236" s="57"/>
      <c r="M236" s="58" t="s">
        <v>48</v>
      </c>
      <c r="N236" s="28"/>
      <c r="O236" s="59">
        <f t="shared" si="8"/>
        <v>354.19165392102332</v>
      </c>
      <c r="P236" s="59">
        <f t="shared" si="13"/>
        <v>341.5</v>
      </c>
      <c r="Q236" s="37">
        <f t="shared" si="14"/>
        <v>0.96416726994969437</v>
      </c>
      <c r="R236" s="59">
        <f t="shared" si="9"/>
        <v>-2642.7942011718633</v>
      </c>
      <c r="S236" s="59"/>
      <c r="T236" s="59">
        <f t="shared" si="10"/>
        <v>-724.06928795492331</v>
      </c>
      <c r="U236" s="11"/>
      <c r="AL236" s="63"/>
    </row>
    <row r="237" spans="1:38" x14ac:dyDescent="0.2">
      <c r="A237" s="53" t="s">
        <v>49</v>
      </c>
      <c r="B237" s="64">
        <v>82075.323102892085</v>
      </c>
      <c r="C237" s="61">
        <f t="shared" si="11"/>
        <v>81194.570000000007</v>
      </c>
      <c r="D237" s="54">
        <f t="shared" si="7"/>
        <v>-880.75310289207846</v>
      </c>
      <c r="E237" s="55">
        <f t="shared" si="12"/>
        <v>-1.0731034245067059E-2</v>
      </c>
      <c r="F237" s="56"/>
      <c r="G237" s="56"/>
      <c r="H237" s="56"/>
      <c r="I237" s="56"/>
      <c r="J237" s="56"/>
      <c r="K237" s="56"/>
      <c r="L237" s="57"/>
      <c r="M237" s="58" t="s">
        <v>49</v>
      </c>
      <c r="N237" s="28"/>
      <c r="O237" s="59">
        <f t="shared" si="8"/>
        <v>381.33377363737486</v>
      </c>
      <c r="P237" s="59">
        <f t="shared" si="13"/>
        <v>371.42857142857144</v>
      </c>
      <c r="Q237" s="37">
        <f t="shared" si="14"/>
        <v>0.97402484937454648</v>
      </c>
      <c r="R237" s="59">
        <f t="shared" si="9"/>
        <v>-2062.5689229910672</v>
      </c>
      <c r="S237" s="59">
        <v>0</v>
      </c>
      <c r="T237" s="59">
        <f t="shared" si="10"/>
        <v>1181.8158200989888</v>
      </c>
      <c r="U237" s="11"/>
      <c r="AL237" s="63"/>
    </row>
    <row r="238" spans="1:38" x14ac:dyDescent="0.2">
      <c r="A238" s="53" t="s">
        <v>50</v>
      </c>
      <c r="B238" s="64">
        <v>48894.694997979233</v>
      </c>
      <c r="C238" s="61">
        <f t="shared" si="11"/>
        <v>39721.42</v>
      </c>
      <c r="D238" s="54">
        <f t="shared" si="7"/>
        <v>-9173.2749979792352</v>
      </c>
      <c r="E238" s="55">
        <f t="shared" si="12"/>
        <v>-0.1876128892584023</v>
      </c>
      <c r="F238" s="56"/>
      <c r="G238" s="56"/>
      <c r="H238" s="56"/>
      <c r="I238" s="56"/>
      <c r="J238" s="56"/>
      <c r="K238" s="56"/>
      <c r="L238" s="57"/>
      <c r="M238" s="58" t="s">
        <v>50</v>
      </c>
      <c r="N238" s="28"/>
      <c r="O238" s="59">
        <f t="shared" si="8"/>
        <v>226.84891777901373</v>
      </c>
      <c r="P238" s="59">
        <f t="shared" si="13"/>
        <v>196.82142857142856</v>
      </c>
      <c r="Q238" s="37">
        <f t="shared" si="14"/>
        <v>0.86763221309772065</v>
      </c>
      <c r="R238" s="59">
        <f t="shared" si="9"/>
        <v>-6252.6503517485189</v>
      </c>
      <c r="S238" s="59"/>
      <c r="T238" s="59">
        <f t="shared" si="10"/>
        <v>-2920.6246462307163</v>
      </c>
      <c r="U238" s="11"/>
      <c r="AL238" s="63"/>
    </row>
    <row r="239" spans="1:38" x14ac:dyDescent="0.2">
      <c r="A239" s="53" t="s">
        <v>51</v>
      </c>
      <c r="B239" s="64">
        <v>41140.820949230212</v>
      </c>
      <c r="C239" s="61">
        <f t="shared" si="11"/>
        <v>40702.86</v>
      </c>
      <c r="D239" s="54">
        <f t="shared" si="7"/>
        <v>-437.96094923021155</v>
      </c>
      <c r="E239" s="55">
        <f t="shared" si="12"/>
        <v>-1.0645411032771486E-2</v>
      </c>
      <c r="F239" s="56"/>
      <c r="G239" s="56"/>
      <c r="H239" s="56"/>
      <c r="I239" s="56"/>
      <c r="J239" s="56"/>
      <c r="K239" s="56"/>
      <c r="L239" s="57"/>
      <c r="M239" s="58" t="s">
        <v>51</v>
      </c>
      <c r="N239" s="28"/>
      <c r="O239" s="59">
        <f t="shared" si="8"/>
        <v>190.74784968056139</v>
      </c>
      <c r="P239" s="59">
        <f t="shared" si="13"/>
        <v>181.10714285714286</v>
      </c>
      <c r="Q239" s="37">
        <f t="shared" si="14"/>
        <v>0.94945837219363949</v>
      </c>
      <c r="R239" s="59">
        <f t="shared" si="9"/>
        <v>-2007.4928174589124</v>
      </c>
      <c r="S239" s="59"/>
      <c r="T239" s="59">
        <f t="shared" si="10"/>
        <v>1569.5318682287009</v>
      </c>
      <c r="U239" s="11"/>
      <c r="AL239" s="63"/>
    </row>
    <row r="240" spans="1:38" x14ac:dyDescent="0.2">
      <c r="A240" s="53" t="s">
        <v>52</v>
      </c>
      <c r="B240" s="64">
        <v>50524.575834468858</v>
      </c>
      <c r="C240" s="61">
        <f t="shared" si="11"/>
        <v>49014.28</v>
      </c>
      <c r="D240" s="54">
        <f t="shared" si="7"/>
        <v>-1510.2958344688595</v>
      </c>
      <c r="E240" s="55">
        <f t="shared" si="12"/>
        <v>-2.9892301113362461E-2</v>
      </c>
      <c r="F240" s="56"/>
      <c r="G240" s="56"/>
      <c r="H240" s="56"/>
      <c r="I240" s="56"/>
      <c r="J240" s="56"/>
      <c r="K240" s="56"/>
      <c r="L240" s="57"/>
      <c r="M240" s="58" t="s">
        <v>52</v>
      </c>
      <c r="N240" s="28"/>
      <c r="O240" s="59">
        <f t="shared" si="8"/>
        <v>234.4374391685206</v>
      </c>
      <c r="P240" s="59">
        <f t="shared" si="13"/>
        <v>229.10714285714286</v>
      </c>
      <c r="Q240" s="37">
        <f t="shared" si="14"/>
        <v>0.9772634595810179</v>
      </c>
      <c r="R240" s="59">
        <f t="shared" si="9"/>
        <v>-1109.9322649274563</v>
      </c>
      <c r="S240" s="59"/>
      <c r="T240" s="59">
        <f t="shared" si="10"/>
        <v>-400.36356954140319</v>
      </c>
      <c r="U240" s="11"/>
      <c r="AL240" s="63"/>
    </row>
    <row r="241" spans="1:39" x14ac:dyDescent="0.2">
      <c r="A241" s="53" t="s">
        <v>53</v>
      </c>
      <c r="B241" s="64">
        <v>64566.643443061737</v>
      </c>
      <c r="C241" s="61">
        <f t="shared" si="11"/>
        <v>70119.900000000009</v>
      </c>
      <c r="D241" s="54">
        <f t="shared" si="7"/>
        <v>5553.2565569382714</v>
      </c>
      <c r="E241" s="55">
        <f t="shared" si="12"/>
        <v>8.600813455380292E-2</v>
      </c>
      <c r="F241" s="56"/>
      <c r="G241" s="56"/>
      <c r="H241" s="56"/>
      <c r="I241" s="56"/>
      <c r="J241" s="56"/>
      <c r="K241" s="56"/>
      <c r="L241" s="57"/>
      <c r="M241" s="58" t="s">
        <v>53</v>
      </c>
      <c r="N241" s="28"/>
      <c r="O241" s="59">
        <f t="shared" si="8"/>
        <v>299.81555026418243</v>
      </c>
      <c r="P241" s="59">
        <f t="shared" si="13"/>
        <v>327.78571428571428</v>
      </c>
      <c r="Q241" s="37">
        <f t="shared" si="14"/>
        <v>1.09329123855279</v>
      </c>
      <c r="R241" s="59">
        <f t="shared" si="9"/>
        <v>5824.2517280970933</v>
      </c>
      <c r="S241" s="59"/>
      <c r="T241" s="59">
        <f t="shared" si="10"/>
        <v>-270.9951711588219</v>
      </c>
      <c r="U241" s="11"/>
      <c r="AL241" s="63"/>
    </row>
    <row r="242" spans="1:39" x14ac:dyDescent="0.2">
      <c r="A242" s="53" t="s">
        <v>54</v>
      </c>
      <c r="B242" s="64">
        <v>56435.406321720438</v>
      </c>
      <c r="C242" s="61">
        <f t="shared" si="11"/>
        <v>46227.5</v>
      </c>
      <c r="D242" s="54">
        <f t="shared" si="7"/>
        <v>-10207.906321720438</v>
      </c>
      <c r="E242" s="55">
        <f t="shared" si="12"/>
        <v>-0.18087769694663641</v>
      </c>
      <c r="F242" s="56"/>
      <c r="G242" s="56"/>
      <c r="H242" s="56"/>
      <c r="I242" s="56"/>
      <c r="J242" s="56"/>
      <c r="K242" s="56"/>
      <c r="L242" s="57"/>
      <c r="M242" s="58" t="s">
        <v>54</v>
      </c>
      <c r="N242" s="28"/>
      <c r="O242" s="59">
        <f t="shared" si="8"/>
        <v>261.95752688172047</v>
      </c>
      <c r="P242" s="59">
        <f t="shared" si="13"/>
        <v>199.35714285714286</v>
      </c>
      <c r="Q242" s="37">
        <f t="shared" si="14"/>
        <v>0.7610284966049361</v>
      </c>
      <c r="R242" s="59">
        <f t="shared" si="9"/>
        <v>-13035.332740773818</v>
      </c>
      <c r="S242" s="59"/>
      <c r="T242" s="59">
        <f t="shared" si="10"/>
        <v>2827.4264190533795</v>
      </c>
      <c r="U242" s="11"/>
      <c r="AL242" s="63"/>
    </row>
    <row r="243" spans="1:39" x14ac:dyDescent="0.2">
      <c r="A243" s="53" t="s">
        <v>55</v>
      </c>
      <c r="B243" s="64">
        <v>61384.523999999998</v>
      </c>
      <c r="C243" s="61">
        <f t="shared" si="11"/>
        <v>58681.38</v>
      </c>
      <c r="D243" s="54">
        <f t="shared" si="7"/>
        <v>-2703.1440000000002</v>
      </c>
      <c r="E243" s="55">
        <f t="shared" si="12"/>
        <v>-4.4036246008847445E-2</v>
      </c>
      <c r="F243" s="56"/>
      <c r="G243" s="56"/>
      <c r="H243" s="56"/>
      <c r="I243" s="56"/>
      <c r="J243" s="56"/>
      <c r="K243" s="56"/>
      <c r="L243" s="57"/>
      <c r="M243" s="58" t="s">
        <v>55</v>
      </c>
      <c r="N243" s="28"/>
      <c r="O243" s="59">
        <f t="shared" si="8"/>
        <v>285</v>
      </c>
      <c r="P243" s="59">
        <f t="shared" si="13"/>
        <v>266.85714285714289</v>
      </c>
      <c r="Q243" s="37">
        <f t="shared" si="14"/>
        <v>0.93634085213032592</v>
      </c>
      <c r="R243" s="59">
        <f t="shared" si="9"/>
        <v>-3777.903017857137</v>
      </c>
      <c r="S243" s="59"/>
      <c r="T243" s="59">
        <f t="shared" si="10"/>
        <v>1074.7590178571368</v>
      </c>
      <c r="U243" s="11"/>
      <c r="AL243" s="63"/>
    </row>
    <row r="244" spans="1:39" x14ac:dyDescent="0.2">
      <c r="A244" s="53" t="s">
        <v>56</v>
      </c>
      <c r="B244" s="64">
        <v>63681.123336651828</v>
      </c>
      <c r="C244" s="61">
        <f t="shared" si="11"/>
        <v>60172.21</v>
      </c>
      <c r="D244" s="54">
        <f t="shared" si="7"/>
        <v>-3508.913336651829</v>
      </c>
      <c r="E244" s="55">
        <f t="shared" si="12"/>
        <v>-5.5101310290992703E-2</v>
      </c>
      <c r="F244" s="56"/>
      <c r="G244" s="56"/>
      <c r="H244" s="56"/>
      <c r="I244" s="56"/>
      <c r="J244" s="56"/>
      <c r="K244" s="56"/>
      <c r="L244" s="57"/>
      <c r="M244" s="58" t="s">
        <v>56</v>
      </c>
      <c r="N244" s="28"/>
      <c r="O244" s="59">
        <f t="shared" si="8"/>
        <v>295.69267936596214</v>
      </c>
      <c r="P244" s="59">
        <f t="shared" si="13"/>
        <v>275.07142857142856</v>
      </c>
      <c r="Q244" s="37">
        <f t="shared" si="14"/>
        <v>0.93026120619979291</v>
      </c>
      <c r="R244" s="59">
        <f t="shared" si="9"/>
        <v>-4293.9810965401739</v>
      </c>
      <c r="S244" s="59"/>
      <c r="T244" s="59">
        <f t="shared" si="10"/>
        <v>785.06775988834488</v>
      </c>
      <c r="U244" s="11"/>
      <c r="AL244" s="63"/>
    </row>
    <row r="245" spans="1:39" x14ac:dyDescent="0.2">
      <c r="A245" s="53" t="s">
        <v>57</v>
      </c>
      <c r="B245" s="64">
        <v>55806.94158622923</v>
      </c>
      <c r="C245" s="61">
        <f t="shared" si="11"/>
        <v>45528.89</v>
      </c>
      <c r="D245" s="54">
        <f t="shared" si="7"/>
        <v>-10278.05158622923</v>
      </c>
      <c r="E245" s="55">
        <f t="shared" si="12"/>
        <v>-0.18417156171062085</v>
      </c>
      <c r="F245" s="56"/>
      <c r="G245" s="56"/>
      <c r="H245" s="56"/>
      <c r="I245" s="56"/>
      <c r="J245" s="56"/>
      <c r="K245" s="56"/>
      <c r="L245" s="57"/>
      <c r="M245" s="58" t="s">
        <v>57</v>
      </c>
      <c r="N245" s="28"/>
      <c r="O245" s="59">
        <f t="shared" si="8"/>
        <v>259.0314736506773</v>
      </c>
      <c r="P245" s="59">
        <f t="shared" si="13"/>
        <v>235.71428571428572</v>
      </c>
      <c r="Q245" s="37">
        <f t="shared" si="14"/>
        <v>0.90998318618286322</v>
      </c>
      <c r="R245" s="59">
        <f t="shared" si="9"/>
        <v>-4855.3584465342656</v>
      </c>
      <c r="S245" s="59"/>
      <c r="T245" s="59">
        <f t="shared" si="10"/>
        <v>-5422.6931396949649</v>
      </c>
      <c r="U245" s="11"/>
      <c r="AL245" s="63"/>
    </row>
    <row r="246" spans="1:39" x14ac:dyDescent="0.2">
      <c r="A246" s="53" t="s">
        <v>58</v>
      </c>
      <c r="B246" s="64">
        <v>62562.89492151</v>
      </c>
      <c r="C246" s="61">
        <f t="shared" si="11"/>
        <v>48128.75</v>
      </c>
      <c r="D246" s="54">
        <f t="shared" si="7"/>
        <v>-14434.14492151</v>
      </c>
      <c r="E246" s="55">
        <f t="shared" si="12"/>
        <v>-0.23071414677371874</v>
      </c>
      <c r="F246" s="56"/>
      <c r="G246" s="56"/>
      <c r="H246" s="56"/>
      <c r="I246" s="56"/>
      <c r="J246" s="56"/>
      <c r="K246" s="56"/>
      <c r="L246" s="57"/>
      <c r="M246" s="58" t="s">
        <v>58</v>
      </c>
      <c r="N246" s="28"/>
      <c r="O246" s="59">
        <f t="shared" si="8"/>
        <v>290.48634767797552</v>
      </c>
      <c r="P246" s="59">
        <f t="shared" si="13"/>
        <v>238.60714285714286</v>
      </c>
      <c r="Q246" s="37">
        <f t="shared" si="14"/>
        <v>0.82140570379457423</v>
      </c>
      <c r="R246" s="59">
        <f t="shared" si="9"/>
        <v>-10802.852214146202</v>
      </c>
      <c r="S246" s="59"/>
      <c r="T246" s="59">
        <f t="shared" si="10"/>
        <v>-3631.2927073637984</v>
      </c>
      <c r="U246" s="11"/>
      <c r="AL246" s="63"/>
    </row>
    <row r="247" spans="1:39" x14ac:dyDescent="0.2">
      <c r="A247" s="53" t="s">
        <v>59</v>
      </c>
      <c r="B247" s="64">
        <v>60228.140500903784</v>
      </c>
      <c r="C247" s="61">
        <f t="shared" si="11"/>
        <v>54116.69</v>
      </c>
      <c r="D247" s="54">
        <f t="shared" si="7"/>
        <v>-6111.4505009037821</v>
      </c>
      <c r="E247" s="55">
        <f t="shared" si="12"/>
        <v>-0.10147167835626726</v>
      </c>
      <c r="F247" s="56"/>
      <c r="G247" s="56"/>
      <c r="H247" s="56"/>
      <c r="I247" s="56"/>
      <c r="J247" s="56"/>
      <c r="K247" s="56"/>
      <c r="L247" s="57"/>
      <c r="M247" s="58" t="s">
        <v>59</v>
      </c>
      <c r="N247" s="28"/>
      <c r="O247" s="59">
        <f t="shared" si="8"/>
        <v>279.61602301167966</v>
      </c>
      <c r="P247" s="59">
        <f t="shared" si="13"/>
        <v>249.96428571428572</v>
      </c>
      <c r="Q247" s="37">
        <f t="shared" si="14"/>
        <v>0.89395551450155852</v>
      </c>
      <c r="R247" s="59">
        <f t="shared" si="9"/>
        <v>-6174.4072027064758</v>
      </c>
      <c r="S247" s="59"/>
      <c r="T247" s="59">
        <f t="shared" si="10"/>
        <v>62.956701802693715</v>
      </c>
      <c r="U247" s="11"/>
      <c r="AL247" s="63"/>
    </row>
    <row r="248" spans="1:39" x14ac:dyDescent="0.2">
      <c r="A248" s="53" t="s">
        <v>60</v>
      </c>
      <c r="B248" s="64">
        <v>67928.589956402735</v>
      </c>
      <c r="C248" s="61">
        <f t="shared" si="11"/>
        <v>65071.040000000001</v>
      </c>
      <c r="D248" s="54">
        <f t="shared" si="7"/>
        <v>-2857.5499564027341</v>
      </c>
      <c r="E248" s="55">
        <f t="shared" si="12"/>
        <v>-4.20669700083093E-2</v>
      </c>
      <c r="F248" s="56"/>
      <c r="G248" s="56"/>
      <c r="H248" s="56"/>
      <c r="I248" s="56"/>
      <c r="J248" s="56"/>
      <c r="K248" s="56"/>
      <c r="L248" s="57"/>
      <c r="M248" s="58" t="s">
        <v>60</v>
      </c>
      <c r="N248" s="28"/>
      <c r="O248" s="59">
        <f t="shared" si="8"/>
        <v>315.46835288367549</v>
      </c>
      <c r="P248" s="59">
        <f t="shared" si="13"/>
        <v>325.5</v>
      </c>
      <c r="Q248" s="37">
        <f t="shared" si="14"/>
        <v>1.0317992186050546</v>
      </c>
      <c r="R248" s="59">
        <f t="shared" si="9"/>
        <v>2088.8986567234811</v>
      </c>
      <c r="S248" s="59"/>
      <c r="T248" s="59">
        <f t="shared" si="10"/>
        <v>-4946.4486131262147</v>
      </c>
      <c r="U248" s="11"/>
      <c r="AL248" s="63"/>
    </row>
    <row r="249" spans="1:39" x14ac:dyDescent="0.2">
      <c r="A249" s="53" t="s">
        <v>61</v>
      </c>
      <c r="B249" s="64">
        <v>55925.732021788092</v>
      </c>
      <c r="C249" s="61">
        <f t="shared" si="11"/>
        <v>53146.19</v>
      </c>
      <c r="D249" s="54">
        <f t="shared" si="7"/>
        <v>-2779.5420217880892</v>
      </c>
      <c r="E249" s="55">
        <f t="shared" si="12"/>
        <v>-4.9700592577048577E-2</v>
      </c>
      <c r="F249" s="56"/>
      <c r="G249" s="56"/>
      <c r="H249" s="56"/>
      <c r="I249" s="56"/>
      <c r="J249" s="56"/>
      <c r="K249" s="56"/>
      <c r="L249" s="57"/>
      <c r="M249" s="58" t="s">
        <v>61</v>
      </c>
      <c r="N249" s="28"/>
      <c r="O249" s="59">
        <f t="shared" si="8"/>
        <v>259.58454706618465</v>
      </c>
      <c r="P249" s="59">
        <f t="shared" si="13"/>
        <v>244.42857142857142</v>
      </c>
      <c r="Q249" s="37">
        <f t="shared" si="14"/>
        <v>0.94161449204544134</v>
      </c>
      <c r="R249" s="59">
        <f t="shared" si="9"/>
        <v>-3155.9420684988859</v>
      </c>
      <c r="S249" s="59"/>
      <c r="T249" s="59">
        <f t="shared" si="10"/>
        <v>376.40004671079669</v>
      </c>
      <c r="U249" s="11"/>
      <c r="AL249" s="63"/>
      <c r="AM249" s="11"/>
    </row>
    <row r="250" spans="1:39" x14ac:dyDescent="0.2">
      <c r="A250" s="53" t="s">
        <v>62</v>
      </c>
      <c r="B250" s="64">
        <v>59685.747373442719</v>
      </c>
      <c r="C250" s="61">
        <f t="shared" si="11"/>
        <v>54650.080000000002</v>
      </c>
      <c r="D250" s="54">
        <f t="shared" si="7"/>
        <v>-5035.6673734427168</v>
      </c>
      <c r="E250" s="55">
        <f t="shared" si="12"/>
        <v>-8.4369679446844731E-2</v>
      </c>
      <c r="F250" s="56"/>
      <c r="G250" s="56"/>
      <c r="H250" s="56"/>
      <c r="I250" s="56"/>
      <c r="J250" s="56"/>
      <c r="K250" s="56"/>
      <c r="L250" s="57"/>
      <c r="M250" s="58" t="s">
        <v>62</v>
      </c>
      <c r="N250" s="28"/>
      <c r="O250" s="59">
        <f t="shared" si="8"/>
        <v>277.09070842602893</v>
      </c>
      <c r="P250" s="59">
        <f t="shared" si="13"/>
        <v>247.21428571428572</v>
      </c>
      <c r="Q250" s="37">
        <f t="shared" si="14"/>
        <v>0.89217818640887814</v>
      </c>
      <c r="R250" s="59">
        <f t="shared" si="9"/>
        <v>-6221.1936431361582</v>
      </c>
      <c r="S250" s="59"/>
      <c r="T250" s="59">
        <f t="shared" si="10"/>
        <v>1185.5262696934415</v>
      </c>
      <c r="U250" s="11"/>
      <c r="AL250" s="63"/>
      <c r="AM250" s="11"/>
    </row>
    <row r="251" spans="1:39" x14ac:dyDescent="0.2">
      <c r="A251" s="53" t="s">
        <v>63</v>
      </c>
      <c r="B251" s="64">
        <v>52469.849042130976</v>
      </c>
      <c r="C251" s="61">
        <f t="shared" si="11"/>
        <v>46938.39</v>
      </c>
      <c r="D251" s="54">
        <f t="shared" si="7"/>
        <v>-5531.4590421309767</v>
      </c>
      <c r="E251" s="55">
        <f t="shared" si="12"/>
        <v>-0.10542166869375703</v>
      </c>
      <c r="F251" s="56"/>
      <c r="G251" s="56"/>
      <c r="H251" s="56"/>
      <c r="I251" s="56"/>
      <c r="J251" s="56"/>
      <c r="K251" s="56"/>
      <c r="L251" s="57"/>
      <c r="M251" s="58" t="s">
        <v>63</v>
      </c>
      <c r="N251" s="28"/>
      <c r="O251" s="59">
        <f t="shared" si="8"/>
        <v>243.49438800446862</v>
      </c>
      <c r="P251" s="59">
        <f t="shared" si="13"/>
        <v>213.14285714285714</v>
      </c>
      <c r="Q251" s="37">
        <f t="shared" si="14"/>
        <v>0.87535018317935742</v>
      </c>
      <c r="R251" s="59">
        <f t="shared" si="9"/>
        <v>-6320.1258289028628</v>
      </c>
      <c r="S251" s="59"/>
      <c r="T251" s="59">
        <f t="shared" si="10"/>
        <v>788.66678677188611</v>
      </c>
      <c r="U251" s="11"/>
      <c r="AL251" s="63"/>
    </row>
    <row r="252" spans="1:39" x14ac:dyDescent="0.2">
      <c r="A252" s="53" t="s">
        <v>64</v>
      </c>
      <c r="B252" s="64">
        <v>76997.501481340354</v>
      </c>
      <c r="C252" s="61">
        <f t="shared" si="11"/>
        <v>54911.47</v>
      </c>
      <c r="D252" s="54">
        <f t="shared" si="7"/>
        <v>-22086.031481340353</v>
      </c>
      <c r="E252" s="55">
        <f t="shared" si="12"/>
        <v>-0.28684088517719891</v>
      </c>
      <c r="F252" s="56"/>
      <c r="G252" s="56"/>
      <c r="H252" s="56"/>
      <c r="I252" s="56"/>
      <c r="J252" s="56"/>
      <c r="K252" s="56"/>
      <c r="L252" s="57"/>
      <c r="M252" s="58" t="s">
        <v>64</v>
      </c>
      <c r="N252" s="28"/>
      <c r="O252" s="59">
        <f t="shared" si="8"/>
        <v>357.69207105116794</v>
      </c>
      <c r="P252" s="59">
        <f t="shared" si="13"/>
        <v>283</v>
      </c>
      <c r="Q252" s="37">
        <f t="shared" si="14"/>
        <v>0.79118331912791207</v>
      </c>
      <c r="R252" s="59">
        <f t="shared" si="9"/>
        <v>-15553.195310546869</v>
      </c>
      <c r="S252" s="59"/>
      <c r="T252" s="59">
        <f t="shared" si="10"/>
        <v>-6532.8361707934837</v>
      </c>
      <c r="U252" s="11"/>
      <c r="AL252" s="63"/>
    </row>
    <row r="253" spans="1:39" x14ac:dyDescent="0.2">
      <c r="A253" s="53" t="s">
        <v>65</v>
      </c>
      <c r="B253" s="64">
        <v>51621.233057689096</v>
      </c>
      <c r="C253" s="61">
        <f t="shared" si="11"/>
        <v>47937.35</v>
      </c>
      <c r="D253" s="54">
        <f t="shared" si="7"/>
        <v>-3683.8830576890978</v>
      </c>
      <c r="E253" s="55">
        <f t="shared" si="12"/>
        <v>-7.1363716817306355E-2</v>
      </c>
      <c r="F253" s="56"/>
      <c r="G253" s="56"/>
      <c r="H253" s="56"/>
      <c r="I253" s="56"/>
      <c r="J253" s="56"/>
      <c r="K253" s="56"/>
      <c r="L253" s="57"/>
      <c r="M253" s="58" t="s">
        <v>65</v>
      </c>
      <c r="N253" s="28"/>
      <c r="O253" s="59">
        <f t="shared" si="8"/>
        <v>239.54333808398221</v>
      </c>
      <c r="P253" s="59">
        <f t="shared" si="13"/>
        <v>222.96428571428572</v>
      </c>
      <c r="Q253" s="37">
        <f t="shared" si="14"/>
        <v>0.93078892319733819</v>
      </c>
      <c r="R253" s="59">
        <f t="shared" si="9"/>
        <v>-3452.2705816127213</v>
      </c>
      <c r="S253" s="59"/>
      <c r="T253" s="59">
        <f t="shared" si="10"/>
        <v>-231.61247607637642</v>
      </c>
      <c r="U253" s="11"/>
      <c r="AL253" s="63"/>
    </row>
    <row r="254" spans="1:39" x14ac:dyDescent="0.2">
      <c r="A254" s="53" t="s">
        <v>66</v>
      </c>
      <c r="B254" s="64">
        <v>68901.907999999996</v>
      </c>
      <c r="C254" s="61">
        <f t="shared" si="11"/>
        <v>64998.85</v>
      </c>
      <c r="D254" s="54">
        <f t="shared" si="7"/>
        <v>-3903.0579999999973</v>
      </c>
      <c r="E254" s="55">
        <f t="shared" si="12"/>
        <v>-5.6646588074164762E-2</v>
      </c>
      <c r="F254" s="56"/>
      <c r="G254" s="56"/>
      <c r="H254" s="56"/>
      <c r="I254" s="56"/>
      <c r="J254" s="56"/>
      <c r="K254" s="56"/>
      <c r="L254" s="57"/>
      <c r="M254" s="58" t="s">
        <v>66</v>
      </c>
      <c r="N254" s="28"/>
      <c r="O254" s="59">
        <f t="shared" si="8"/>
        <v>320</v>
      </c>
      <c r="P254" s="59">
        <f t="shared" si="13"/>
        <v>301.17857142857144</v>
      </c>
      <c r="Q254" s="37">
        <f t="shared" si="14"/>
        <v>0.94118303571428574</v>
      </c>
      <c r="R254" s="59">
        <f t="shared" si="9"/>
        <v>-3919.2025401785695</v>
      </c>
      <c r="S254" s="59"/>
      <c r="T254" s="59">
        <f t="shared" si="10"/>
        <v>16.144540178572242</v>
      </c>
      <c r="U254" s="11"/>
      <c r="AL254" s="63"/>
    </row>
    <row r="255" spans="1:39" x14ac:dyDescent="0.2">
      <c r="A255" s="53" t="s">
        <v>67</v>
      </c>
      <c r="B255" s="64">
        <v>54901.737816782537</v>
      </c>
      <c r="C255" s="61">
        <f t="shared" si="11"/>
        <v>45295.09</v>
      </c>
      <c r="D255" s="54">
        <f t="shared" si="7"/>
        <v>-9606.6478167825408</v>
      </c>
      <c r="E255" s="55">
        <f t="shared" si="12"/>
        <v>-0.17497893871486797</v>
      </c>
      <c r="F255" s="56"/>
      <c r="G255" s="56"/>
      <c r="H255" s="56"/>
      <c r="I255" s="56"/>
      <c r="J255" s="56"/>
      <c r="K255" s="56"/>
      <c r="L255" s="57"/>
      <c r="M255" s="58" t="s">
        <v>67</v>
      </c>
      <c r="N255" s="28"/>
      <c r="O255" s="59">
        <f t="shared" si="8"/>
        <v>254.81695807842047</v>
      </c>
      <c r="P255" s="59">
        <f t="shared" si="13"/>
        <v>207.89285714285714</v>
      </c>
      <c r="Q255" s="37">
        <f t="shared" si="14"/>
        <v>0.81585173416471624</v>
      </c>
      <c r="R255" s="59">
        <f t="shared" si="9"/>
        <v>-9771.0465964006726</v>
      </c>
      <c r="S255" s="59"/>
      <c r="T255" s="59">
        <f t="shared" si="10"/>
        <v>164.39877961813181</v>
      </c>
      <c r="U255" s="11"/>
      <c r="AL255" s="63"/>
    </row>
    <row r="256" spans="1:39" x14ac:dyDescent="0.2">
      <c r="A256" s="53" t="s">
        <v>68</v>
      </c>
      <c r="B256" s="64">
        <v>52226.291956666668</v>
      </c>
      <c r="C256" s="61">
        <f t="shared" si="11"/>
        <v>50297.29</v>
      </c>
      <c r="D256" s="54">
        <f t="shared" si="7"/>
        <v>-1929.001956666667</v>
      </c>
      <c r="E256" s="55">
        <f t="shared" si="12"/>
        <v>-3.6935456920188847E-2</v>
      </c>
      <c r="F256" s="56"/>
      <c r="G256" s="56"/>
      <c r="H256" s="56"/>
      <c r="I256" s="56"/>
      <c r="J256" s="56"/>
      <c r="K256" s="56"/>
      <c r="L256" s="57"/>
      <c r="M256" s="58" t="s">
        <v>68</v>
      </c>
      <c r="N256" s="28"/>
      <c r="O256" s="59">
        <f t="shared" si="8"/>
        <v>242.36041666666668</v>
      </c>
      <c r="P256" s="59">
        <f t="shared" si="13"/>
        <v>228.17857142857142</v>
      </c>
      <c r="Q256" s="37">
        <f t="shared" si="14"/>
        <v>0.94148448235422688</v>
      </c>
      <c r="R256" s="59">
        <f t="shared" si="9"/>
        <v>-2953.0980430431596</v>
      </c>
      <c r="S256" s="59"/>
      <c r="T256" s="59">
        <f t="shared" si="10"/>
        <v>1024.0960863764926</v>
      </c>
      <c r="U256" s="11"/>
      <c r="AL256" s="63"/>
    </row>
    <row r="257" spans="1:38" x14ac:dyDescent="0.2">
      <c r="A257" s="53" t="s">
        <v>69</v>
      </c>
      <c r="B257" s="64">
        <v>69829.803356924342</v>
      </c>
      <c r="C257" s="61">
        <f t="shared" si="11"/>
        <v>68629.259999999995</v>
      </c>
      <c r="D257" s="54">
        <f t="shared" si="7"/>
        <v>-1200.5433569243469</v>
      </c>
      <c r="E257" s="55">
        <f t="shared" si="12"/>
        <v>-1.7192420703062178E-2</v>
      </c>
      <c r="F257" s="56"/>
      <c r="G257" s="56"/>
      <c r="H257" s="56"/>
      <c r="I257" s="56"/>
      <c r="J257" s="56"/>
      <c r="K257" s="56"/>
      <c r="L257" s="57"/>
      <c r="M257" s="58" t="s">
        <v>69</v>
      </c>
      <c r="N257" s="28"/>
      <c r="O257" s="59">
        <f t="shared" si="8"/>
        <v>324.32016476640712</v>
      </c>
      <c r="P257" s="59">
        <f t="shared" si="13"/>
        <v>316.25</v>
      </c>
      <c r="Q257" s="37">
        <f t="shared" si="14"/>
        <v>0.97511667283401982</v>
      </c>
      <c r="R257" s="59">
        <f t="shared" si="9"/>
        <v>-1680.4574707031229</v>
      </c>
      <c r="S257" s="59"/>
      <c r="T257" s="59">
        <f t="shared" si="10"/>
        <v>479.91411377877603</v>
      </c>
      <c r="U257" s="11"/>
      <c r="AL257" s="63"/>
    </row>
    <row r="258" spans="1:38" x14ac:dyDescent="0.2">
      <c r="A258" s="53" t="s">
        <v>70</v>
      </c>
      <c r="B258" s="64">
        <v>68013.830782494435</v>
      </c>
      <c r="C258" s="61">
        <f t="shared" si="11"/>
        <v>57879.17</v>
      </c>
      <c r="D258" s="54">
        <f t="shared" si="7"/>
        <v>-10134.660782494437</v>
      </c>
      <c r="E258" s="55">
        <f t="shared" si="12"/>
        <v>-0.1490088216748838</v>
      </c>
      <c r="F258" s="56"/>
      <c r="G258" s="56"/>
      <c r="H258" s="56"/>
      <c r="I258" s="56"/>
      <c r="J258" s="56"/>
      <c r="K258" s="56"/>
      <c r="L258" s="56"/>
      <c r="M258" s="58" t="s">
        <v>70</v>
      </c>
      <c r="N258" s="28"/>
      <c r="O258" s="59">
        <f t="shared" si="8"/>
        <v>315.86522351223584</v>
      </c>
      <c r="P258" s="59">
        <f t="shared" si="13"/>
        <v>263.17857142857144</v>
      </c>
      <c r="Q258" s="37">
        <f t="shared" si="14"/>
        <v>0.83319894638029546</v>
      </c>
      <c r="R258" s="59">
        <f t="shared" si="9"/>
        <v>-10970.987664202014</v>
      </c>
      <c r="S258" s="59"/>
      <c r="T258" s="59">
        <f t="shared" si="10"/>
        <v>836.32688170757683</v>
      </c>
      <c r="U258" s="11"/>
      <c r="AL258" s="63"/>
    </row>
    <row r="259" spans="1:38" x14ac:dyDescent="0.2">
      <c r="A259" s="53" t="s">
        <v>71</v>
      </c>
      <c r="B259" s="64">
        <v>52596.48261826735</v>
      </c>
      <c r="C259" s="61">
        <f t="shared" si="11"/>
        <v>54608.47</v>
      </c>
      <c r="D259" s="54">
        <f t="shared" si="7"/>
        <v>2011.9873817326516</v>
      </c>
      <c r="E259" s="55">
        <f t="shared" si="12"/>
        <v>3.8253268689755801E-2</v>
      </c>
      <c r="F259" s="56"/>
      <c r="G259" s="56"/>
      <c r="H259" s="56"/>
      <c r="I259" s="56"/>
      <c r="J259" s="56"/>
      <c r="K259" s="56"/>
      <c r="L259" s="29"/>
      <c r="M259" s="58" t="s">
        <v>71</v>
      </c>
      <c r="N259" s="28"/>
      <c r="O259" s="59">
        <f t="shared" si="8"/>
        <v>244.08397810187125</v>
      </c>
      <c r="P259" s="59">
        <f t="shared" si="13"/>
        <v>256.89285714285717</v>
      </c>
      <c r="Q259" s="37">
        <f t="shared" si="14"/>
        <v>1.0524773446442273</v>
      </c>
      <c r="R259" s="59">
        <f t="shared" si="9"/>
        <v>2667.2040904736587</v>
      </c>
      <c r="S259" s="59"/>
      <c r="T259" s="59">
        <f t="shared" si="10"/>
        <v>-655.2167087410071</v>
      </c>
      <c r="U259" s="11"/>
      <c r="AL259" s="63"/>
    </row>
    <row r="260" spans="1:38" x14ac:dyDescent="0.2">
      <c r="A260" s="53" t="s">
        <v>72</v>
      </c>
      <c r="B260" s="64">
        <v>63844.754511290324</v>
      </c>
      <c r="C260" s="61">
        <f t="shared" si="11"/>
        <v>40343.82</v>
      </c>
      <c r="D260" s="54">
        <f t="shared" si="7"/>
        <v>-23500.934511290325</v>
      </c>
      <c r="E260" s="55">
        <f t="shared" si="12"/>
        <v>-0.36809499372629606</v>
      </c>
      <c r="F260" s="56"/>
      <c r="G260" s="56"/>
      <c r="H260" s="56"/>
      <c r="I260" s="56"/>
      <c r="J260" s="56"/>
      <c r="K260" s="56"/>
      <c r="L260" s="29"/>
      <c r="M260" s="58" t="s">
        <v>72</v>
      </c>
      <c r="N260" s="28"/>
      <c r="O260" s="59">
        <f t="shared" si="8"/>
        <v>264.90725806451616</v>
      </c>
      <c r="P260" s="59">
        <f t="shared" si="13"/>
        <v>513.78571428571433</v>
      </c>
      <c r="Q260" s="37">
        <f t="shared" si="14"/>
        <v>1.9394927796224659</v>
      </c>
      <c r="R260" s="59">
        <f t="shared" si="9"/>
        <v>51824.178707589286</v>
      </c>
      <c r="S260" s="59"/>
      <c r="T260" s="59">
        <f t="shared" si="10"/>
        <v>-75325.113218879618</v>
      </c>
      <c r="U260" s="11"/>
      <c r="AL260" s="63"/>
    </row>
    <row r="261" spans="1:38" x14ac:dyDescent="0.2">
      <c r="A261" s="53" t="s">
        <v>73</v>
      </c>
      <c r="B261" s="64">
        <v>59272.467824763618</v>
      </c>
      <c r="C261" s="61">
        <f t="shared" si="11"/>
        <v>55643.9</v>
      </c>
      <c r="D261" s="54">
        <f t="shared" si="7"/>
        <v>-3628.567824763617</v>
      </c>
      <c r="E261" s="55">
        <f t="shared" si="12"/>
        <v>-6.121843678740211E-2</v>
      </c>
      <c r="F261" s="56"/>
      <c r="G261" s="56"/>
      <c r="H261" s="56"/>
      <c r="I261" s="56"/>
      <c r="J261" s="56"/>
      <c r="K261" s="56"/>
      <c r="L261" s="29"/>
      <c r="M261" s="58" t="s">
        <v>73</v>
      </c>
      <c r="N261" s="28"/>
      <c r="O261" s="59">
        <f t="shared" si="8"/>
        <v>275.16653052002221</v>
      </c>
      <c r="P261" s="59">
        <f t="shared" si="13"/>
        <v>250.42857142857142</v>
      </c>
      <c r="Q261" s="37">
        <f t="shared" si="14"/>
        <v>0.91009822653685435</v>
      </c>
      <c r="R261" s="59">
        <f t="shared" si="9"/>
        <v>-5151.2068673270032</v>
      </c>
      <c r="S261" s="11"/>
      <c r="T261" s="59">
        <f t="shared" si="10"/>
        <v>1522.6390425633863</v>
      </c>
      <c r="U261" s="11"/>
      <c r="AL261" s="63"/>
    </row>
    <row r="262" spans="1:38" x14ac:dyDescent="0.2">
      <c r="A262" s="53" t="s">
        <v>74</v>
      </c>
      <c r="B262" s="64">
        <v>44846.279200000004</v>
      </c>
      <c r="C262" s="61">
        <f t="shared" si="11"/>
        <v>42652.82</v>
      </c>
      <c r="D262" s="54">
        <f t="shared" si="7"/>
        <v>-2193.4592000000048</v>
      </c>
      <c r="E262" s="55">
        <f t="shared" si="12"/>
        <v>-4.8910617316051598E-2</v>
      </c>
      <c r="F262" s="56"/>
      <c r="G262" s="56"/>
      <c r="H262" s="56"/>
      <c r="I262" s="56"/>
      <c r="J262" s="56"/>
      <c r="K262" s="56"/>
      <c r="L262" s="29"/>
      <c r="M262" s="58" t="s">
        <v>74</v>
      </c>
      <c r="N262" s="28"/>
      <c r="O262" s="59">
        <f t="shared" si="8"/>
        <v>208</v>
      </c>
      <c r="P262" s="59">
        <f t="shared" si="13"/>
        <v>192.82142857142858</v>
      </c>
      <c r="Q262" s="37">
        <f t="shared" si="14"/>
        <v>0.92702609890109899</v>
      </c>
      <c r="R262" s="59">
        <f t="shared" si="9"/>
        <v>-3160.6472098214249</v>
      </c>
      <c r="S262" s="59">
        <v>0</v>
      </c>
      <c r="T262" s="59">
        <f t="shared" si="10"/>
        <v>967.18800982142011</v>
      </c>
      <c r="U262" s="11"/>
    </row>
    <row r="263" spans="1:38" x14ac:dyDescent="0.2">
      <c r="A263" s="53" t="s">
        <v>75</v>
      </c>
      <c r="B263" s="64">
        <v>65260.790848275879</v>
      </c>
      <c r="C263" s="61">
        <f t="shared" si="11"/>
        <v>60424.12</v>
      </c>
      <c r="D263" s="54">
        <f t="shared" si="7"/>
        <v>-4836.6708482758768</v>
      </c>
      <c r="E263" s="55">
        <f t="shared" si="12"/>
        <v>-7.4112967149304113E-2</v>
      </c>
      <c r="F263" s="67"/>
      <c r="G263" s="67"/>
      <c r="H263" s="67"/>
      <c r="I263" s="67"/>
      <c r="J263" s="67"/>
      <c r="K263" s="67"/>
      <c r="L263" s="29"/>
      <c r="M263" s="58" t="s">
        <v>75</v>
      </c>
      <c r="N263" s="28"/>
      <c r="O263" s="59">
        <f t="shared" si="8"/>
        <v>303.04741379310349</v>
      </c>
      <c r="P263" s="59">
        <f t="shared" si="13"/>
        <v>273.57142857142856</v>
      </c>
      <c r="Q263" s="37">
        <f t="shared" si="14"/>
        <v>0.9027347409016373</v>
      </c>
      <c r="R263" s="59">
        <f t="shared" si="9"/>
        <v>-6137.8101941964433</v>
      </c>
      <c r="S263" s="59"/>
      <c r="T263" s="59">
        <f t="shared" si="10"/>
        <v>1301.1393459205665</v>
      </c>
      <c r="U263" s="11"/>
    </row>
    <row r="264" spans="1:38" x14ac:dyDescent="0.2">
      <c r="A264" s="53" t="s">
        <v>76</v>
      </c>
      <c r="B264" s="64">
        <v>54897.909616156845</v>
      </c>
      <c r="C264" s="61">
        <f t="shared" si="11"/>
        <v>56971.28</v>
      </c>
      <c r="D264" s="54">
        <f t="shared" si="7"/>
        <v>2073.3703838431538</v>
      </c>
      <c r="E264" s="55">
        <f t="shared" si="12"/>
        <v>3.7767747412242925E-2</v>
      </c>
      <c r="F264" s="67"/>
      <c r="G264" s="67"/>
      <c r="H264" s="67"/>
      <c r="I264" s="67"/>
      <c r="J264" s="67"/>
      <c r="K264" s="67"/>
      <c r="L264" s="29"/>
      <c r="M264" s="58" t="s">
        <v>76</v>
      </c>
      <c r="N264" s="28"/>
      <c r="O264" s="59">
        <f t="shared" si="8"/>
        <v>254.79913445494995</v>
      </c>
      <c r="P264" s="59">
        <f t="shared" si="13"/>
        <v>258</v>
      </c>
      <c r="Q264" s="37">
        <f t="shared" si="14"/>
        <v>1.0125623093339666</v>
      </c>
      <c r="R264" s="59">
        <f t="shared" si="9"/>
        <v>666.51903320312078</v>
      </c>
      <c r="S264" s="11"/>
      <c r="T264" s="59">
        <f t="shared" si="10"/>
        <v>1406.8513506400332</v>
      </c>
      <c r="U264" s="11"/>
    </row>
    <row r="265" spans="1:38" x14ac:dyDescent="0.2">
      <c r="A265" s="53" t="s">
        <v>77</v>
      </c>
      <c r="B265" s="64">
        <v>53437.575199999999</v>
      </c>
      <c r="C265" s="61">
        <f t="shared" si="11"/>
        <v>57652.66</v>
      </c>
      <c r="D265" s="54">
        <f t="shared" si="7"/>
        <v>4215.0848000000042</v>
      </c>
      <c r="E265" s="55">
        <f t="shared" si="12"/>
        <v>7.8878668880918906E-2</v>
      </c>
      <c r="F265" s="67"/>
      <c r="G265" s="67"/>
      <c r="H265" s="67"/>
      <c r="I265" s="67"/>
      <c r="J265" s="67"/>
      <c r="K265" s="67"/>
      <c r="L265" s="50"/>
      <c r="M265" s="58" t="s">
        <v>77</v>
      </c>
      <c r="N265" s="28"/>
      <c r="O265" s="59">
        <f t="shared" si="8"/>
        <v>248</v>
      </c>
      <c r="P265" s="59">
        <f t="shared" si="13"/>
        <v>245.39285714285714</v>
      </c>
      <c r="Q265" s="37">
        <f t="shared" si="14"/>
        <v>0.98948732718894006</v>
      </c>
      <c r="R265" s="59">
        <f t="shared" si="9"/>
        <v>-542.887638392859</v>
      </c>
      <c r="S265" s="59"/>
      <c r="T265" s="59">
        <f t="shared" si="10"/>
        <v>4757.9724383928633</v>
      </c>
      <c r="U265" s="11"/>
    </row>
    <row r="266" spans="1:38" x14ac:dyDescent="0.2">
      <c r="A266" s="53" t="s">
        <v>78</v>
      </c>
      <c r="B266" s="64">
        <v>60709.521330923257</v>
      </c>
      <c r="C266" s="61">
        <f t="shared" si="11"/>
        <v>59575.98</v>
      </c>
      <c r="D266" s="54">
        <f t="shared" si="7"/>
        <v>-1133.5413309232536</v>
      </c>
      <c r="E266" s="55">
        <f t="shared" si="12"/>
        <v>-1.8671557707470643E-2</v>
      </c>
      <c r="F266" s="67"/>
      <c r="G266" s="67"/>
      <c r="H266" s="67"/>
      <c r="I266" s="67"/>
      <c r="J266" s="67"/>
      <c r="K266" s="67"/>
      <c r="L266" s="50"/>
      <c r="M266" s="58" t="s">
        <v>78</v>
      </c>
      <c r="N266" s="28"/>
      <c r="O266" s="59">
        <f t="shared" si="8"/>
        <v>281.85727196885432</v>
      </c>
      <c r="P266" s="59">
        <f t="shared" si="13"/>
        <v>272.85714285714283</v>
      </c>
      <c r="Q266" s="37">
        <f t="shared" si="14"/>
        <v>0.96806848711462012</v>
      </c>
      <c r="R266" s="59">
        <f t="shared" si="9"/>
        <v>-1874.1047600446566</v>
      </c>
      <c r="S266" s="59"/>
      <c r="T266" s="59">
        <f t="shared" si="10"/>
        <v>740.56342912140303</v>
      </c>
      <c r="U266" s="11"/>
    </row>
    <row r="267" spans="1:38" x14ac:dyDescent="0.2">
      <c r="A267" s="53" t="s">
        <v>79</v>
      </c>
      <c r="B267" s="64">
        <v>44201.931999999993</v>
      </c>
      <c r="C267" s="61">
        <f t="shared" si="11"/>
        <v>40546.17</v>
      </c>
      <c r="D267" s="54">
        <f t="shared" ref="D267:D292" si="15">+C267-B267</f>
        <v>-3655.7619999999952</v>
      </c>
      <c r="E267" s="55">
        <f t="shared" si="12"/>
        <v>-8.2705932401325705E-2</v>
      </c>
      <c r="F267" s="67"/>
      <c r="G267" s="67"/>
      <c r="H267" s="67"/>
      <c r="I267" s="67"/>
      <c r="J267" s="67"/>
      <c r="K267" s="67"/>
      <c r="L267" s="50"/>
      <c r="M267" s="58" t="s">
        <v>79</v>
      </c>
      <c r="N267" s="28"/>
      <c r="O267" s="59">
        <f t="shared" ref="O267:O292" si="16">+B171</f>
        <v>205</v>
      </c>
      <c r="P267" s="59">
        <f t="shared" si="13"/>
        <v>184.92857142857142</v>
      </c>
      <c r="Q267" s="37">
        <f t="shared" si="14"/>
        <v>0.90209059233449473</v>
      </c>
      <c r="R267" s="59">
        <f t="shared" ref="R267:R292" si="17">(Q267-1)*O267*31*$B$296</f>
        <v>-4179.4911339285736</v>
      </c>
      <c r="S267" s="59">
        <v>0</v>
      </c>
      <c r="T267" s="59">
        <f t="shared" ref="T267:T289" si="18">IFERROR((D267-R267-S267),0)</f>
        <v>523.72913392857845</v>
      </c>
      <c r="U267" s="11"/>
    </row>
    <row r="268" spans="1:38" x14ac:dyDescent="0.2">
      <c r="A268" s="53" t="s">
        <v>80</v>
      </c>
      <c r="B268" s="64">
        <v>80287.868849944382</v>
      </c>
      <c r="C268" s="61">
        <f t="shared" ref="C268:C292" si="19">+D72</f>
        <v>79197.78</v>
      </c>
      <c r="D268" s="54">
        <f t="shared" si="15"/>
        <v>-1090.0888499443827</v>
      </c>
      <c r="E268" s="55">
        <f t="shared" ref="E268:E292" si="20">IFERROR((D268/B268),0)</f>
        <v>-1.3577254765370918E-2</v>
      </c>
      <c r="F268" s="67"/>
      <c r="G268" s="67"/>
      <c r="H268" s="67"/>
      <c r="I268" s="67"/>
      <c r="J268" s="67"/>
      <c r="K268" s="67"/>
      <c r="L268" s="50"/>
      <c r="M268" s="58" t="s">
        <v>80</v>
      </c>
      <c r="N268" s="28"/>
      <c r="O268" s="59">
        <f t="shared" si="16"/>
        <v>373.01161012235821</v>
      </c>
      <c r="P268" s="59">
        <f t="shared" ref="P268:P292" si="21">+D172</f>
        <v>368.28571428571428</v>
      </c>
      <c r="Q268" s="37">
        <f t="shared" ref="Q268:Q285" si="22">IFERROR((P268/O268),0)</f>
        <v>0.98733043232865136</v>
      </c>
      <c r="R268" s="59">
        <f t="shared" si="17"/>
        <v>-984.07742522322292</v>
      </c>
      <c r="S268" s="59">
        <v>0</v>
      </c>
      <c r="T268" s="59">
        <f t="shared" si="18"/>
        <v>-106.01142472115976</v>
      </c>
      <c r="U268" s="11"/>
    </row>
    <row r="269" spans="1:38" x14ac:dyDescent="0.2">
      <c r="A269" s="53" t="s">
        <v>81</v>
      </c>
      <c r="B269" s="64">
        <v>63873.138099217977</v>
      </c>
      <c r="C269" s="61">
        <f t="shared" si="19"/>
        <v>63275.85</v>
      </c>
      <c r="D269" s="54">
        <f t="shared" si="15"/>
        <v>-597.28809921797802</v>
      </c>
      <c r="E269" s="55">
        <f t="shared" si="20"/>
        <v>-9.3511625855954433E-3</v>
      </c>
      <c r="F269" s="67"/>
      <c r="G269" s="67"/>
      <c r="H269" s="67"/>
      <c r="I269" s="67"/>
      <c r="J269" s="67"/>
      <c r="K269" s="67"/>
      <c r="L269" s="50"/>
      <c r="M269" s="58" t="s">
        <v>81</v>
      </c>
      <c r="N269" s="28"/>
      <c r="O269" s="59">
        <f t="shared" si="16"/>
        <v>296.58667609272447</v>
      </c>
      <c r="P269" s="59">
        <f t="shared" si="21"/>
        <v>285.71428571428572</v>
      </c>
      <c r="Q269" s="37">
        <f t="shared" si="22"/>
        <v>0.96334160886229558</v>
      </c>
      <c r="R269" s="59">
        <f t="shared" si="17"/>
        <v>-2263.9673618438801</v>
      </c>
      <c r="S269" s="59">
        <v>0</v>
      </c>
      <c r="T269" s="59">
        <f t="shared" si="18"/>
        <v>1666.6792626259021</v>
      </c>
      <c r="U269" s="11"/>
    </row>
    <row r="270" spans="1:38" x14ac:dyDescent="0.2">
      <c r="A270" s="53" t="s">
        <v>82</v>
      </c>
      <c r="B270" s="64">
        <v>65079.981691228226</v>
      </c>
      <c r="C270" s="61">
        <f t="shared" si="19"/>
        <v>61376.97</v>
      </c>
      <c r="D270" s="54">
        <f t="shared" si="15"/>
        <v>-3703.0116912282247</v>
      </c>
      <c r="E270" s="55">
        <f t="shared" si="20"/>
        <v>-5.6899396634700242E-2</v>
      </c>
      <c r="F270" s="56"/>
      <c r="G270" s="56"/>
      <c r="H270" s="56"/>
      <c r="I270" s="56"/>
      <c r="J270" s="56"/>
      <c r="K270" s="56"/>
      <c r="L270" s="68"/>
      <c r="M270" s="58" t="s">
        <v>82</v>
      </c>
      <c r="N270" s="25"/>
      <c r="O270" s="59">
        <f t="shared" si="16"/>
        <v>302.20558896459033</v>
      </c>
      <c r="P270" s="59">
        <f t="shared" si="21"/>
        <v>278.32142857142856</v>
      </c>
      <c r="Q270" s="37">
        <f t="shared" si="22"/>
        <v>0.92096717841985276</v>
      </c>
      <c r="R270" s="59">
        <f t="shared" si="17"/>
        <v>-4973.4196173084219</v>
      </c>
      <c r="S270" s="59">
        <v>0</v>
      </c>
      <c r="T270" s="59">
        <f t="shared" si="18"/>
        <v>1270.4079260801973</v>
      </c>
      <c r="U270" s="11"/>
    </row>
    <row r="271" spans="1:38" x14ac:dyDescent="0.2">
      <c r="A271" s="53" t="s">
        <v>83</v>
      </c>
      <c r="B271" s="64">
        <v>71229.236919892486</v>
      </c>
      <c r="C271" s="61">
        <f t="shared" si="19"/>
        <v>65217.05</v>
      </c>
      <c r="D271" s="54">
        <f t="shared" si="15"/>
        <v>-6012.1869198924833</v>
      </c>
      <c r="E271" s="55">
        <f t="shared" si="20"/>
        <v>-8.4406167746174945E-2</v>
      </c>
      <c r="F271" s="56"/>
      <c r="G271" s="56"/>
      <c r="H271" s="56"/>
      <c r="I271" s="56"/>
      <c r="J271" s="56"/>
      <c r="K271" s="56"/>
      <c r="L271" s="68"/>
      <c r="M271" s="28" t="s">
        <v>83</v>
      </c>
      <c r="N271" s="25"/>
      <c r="O271" s="59">
        <f t="shared" si="16"/>
        <v>295.12231182795699</v>
      </c>
      <c r="P271" s="59">
        <f t="shared" si="21"/>
        <v>275.74193548387098</v>
      </c>
      <c r="Q271" s="37">
        <f t="shared" si="22"/>
        <v>0.93433103643012971</v>
      </c>
      <c r="R271" s="59">
        <f t="shared" si="17"/>
        <v>-4035.5927239583302</v>
      </c>
      <c r="S271" s="59"/>
      <c r="T271" s="59">
        <f t="shared" si="18"/>
        <v>-1976.594195934153</v>
      </c>
      <c r="U271" s="11"/>
    </row>
    <row r="272" spans="1:38" x14ac:dyDescent="0.2">
      <c r="A272" s="53" t="s">
        <v>84</v>
      </c>
      <c r="B272" s="64">
        <v>55336.079001668521</v>
      </c>
      <c r="C272" s="61">
        <f t="shared" si="19"/>
        <v>49445.51</v>
      </c>
      <c r="D272" s="54">
        <f t="shared" si="15"/>
        <v>-5890.5690016685185</v>
      </c>
      <c r="E272" s="55">
        <f t="shared" si="20"/>
        <v>-0.10645078415279303</v>
      </c>
      <c r="F272" s="56"/>
      <c r="G272" s="56"/>
      <c r="H272" s="56"/>
      <c r="I272" s="56"/>
      <c r="J272" s="56"/>
      <c r="K272" s="56"/>
      <c r="L272" s="68"/>
      <c r="M272" s="58" t="s">
        <v>84</v>
      </c>
      <c r="N272" s="25"/>
      <c r="O272" s="59">
        <f t="shared" si="16"/>
        <v>256.83919632925472</v>
      </c>
      <c r="P272" s="59">
        <f t="shared" si="21"/>
        <v>256.78571428571428</v>
      </c>
      <c r="Q272" s="37">
        <f t="shared" si="22"/>
        <v>0.99979176837373418</v>
      </c>
      <c r="R272" s="59">
        <f t="shared" si="17"/>
        <v>-11.136612723215372</v>
      </c>
      <c r="S272" s="59">
        <v>0</v>
      </c>
      <c r="T272" s="59">
        <f t="shared" si="18"/>
        <v>-5879.4323889453035</v>
      </c>
      <c r="U272" s="11"/>
    </row>
    <row r="273" spans="1:21" x14ac:dyDescent="0.2">
      <c r="A273" s="53" t="s">
        <v>85</v>
      </c>
      <c r="B273" s="64">
        <v>52809.718017363142</v>
      </c>
      <c r="C273" s="61">
        <f t="shared" si="19"/>
        <v>51048.65</v>
      </c>
      <c r="D273" s="54">
        <f t="shared" si="15"/>
        <v>-1761.0680173631408</v>
      </c>
      <c r="E273" s="55">
        <f t="shared" si="20"/>
        <v>-3.3347423229643541E-2</v>
      </c>
      <c r="F273" s="56"/>
      <c r="G273" s="56"/>
      <c r="H273" s="56"/>
      <c r="I273" s="56"/>
      <c r="J273" s="56"/>
      <c r="K273" s="56"/>
      <c r="L273" s="68"/>
      <c r="M273" s="28" t="s">
        <v>85</v>
      </c>
      <c r="N273" s="25"/>
      <c r="O273" s="59">
        <f t="shared" si="16"/>
        <v>245.0767754590839</v>
      </c>
      <c r="P273" s="59">
        <f t="shared" si="21"/>
        <v>232.46428571428572</v>
      </c>
      <c r="Q273" s="37">
        <f t="shared" si="22"/>
        <v>0.94853657707397143</v>
      </c>
      <c r="R273" s="59">
        <f t="shared" si="17"/>
        <v>-2626.3097754878504</v>
      </c>
      <c r="S273" s="59">
        <v>0</v>
      </c>
      <c r="T273" s="59">
        <f t="shared" si="18"/>
        <v>865.24175812470958</v>
      </c>
      <c r="U273" s="11"/>
    </row>
    <row r="274" spans="1:21" x14ac:dyDescent="0.2">
      <c r="A274" s="53" t="s">
        <v>86</v>
      </c>
      <c r="B274" s="64">
        <v>60798.32961262513</v>
      </c>
      <c r="C274" s="61">
        <f t="shared" si="19"/>
        <v>61322.33</v>
      </c>
      <c r="D274" s="54">
        <f t="shared" si="15"/>
        <v>524.00038737487193</v>
      </c>
      <c r="E274" s="55">
        <f t="shared" si="20"/>
        <v>8.6186642085979304E-3</v>
      </c>
      <c r="F274" s="56"/>
      <c r="G274" s="56"/>
      <c r="H274" s="56"/>
      <c r="I274" s="56"/>
      <c r="J274" s="56"/>
      <c r="K274" s="56"/>
      <c r="L274" s="68"/>
      <c r="M274" s="58" t="s">
        <v>86</v>
      </c>
      <c r="N274" s="25"/>
      <c r="O274" s="59">
        <f t="shared" si="16"/>
        <v>282.27075222469409</v>
      </c>
      <c r="P274" s="59">
        <f t="shared" si="21"/>
        <v>274.57142857142856</v>
      </c>
      <c r="Q274" s="37">
        <f t="shared" si="22"/>
        <v>0.97272362229319209</v>
      </c>
      <c r="R274" s="59">
        <f t="shared" si="17"/>
        <v>-1603.2369012276811</v>
      </c>
      <c r="S274" s="59">
        <v>0</v>
      </c>
      <c r="T274" s="59">
        <f t="shared" si="18"/>
        <v>2127.2372886025532</v>
      </c>
      <c r="U274" s="11"/>
    </row>
    <row r="275" spans="1:21" x14ac:dyDescent="0.2">
      <c r="A275" s="53" t="s">
        <v>87</v>
      </c>
      <c r="B275" s="64">
        <v>54296.7048</v>
      </c>
      <c r="C275" s="61">
        <f t="shared" si="19"/>
        <v>49364.37</v>
      </c>
      <c r="D275" s="54">
        <f t="shared" si="15"/>
        <v>-4932.3347999999969</v>
      </c>
      <c r="E275" s="55">
        <f t="shared" si="20"/>
        <v>-9.0840407685292848E-2</v>
      </c>
      <c r="F275" s="56"/>
      <c r="G275" s="56"/>
      <c r="H275" s="56"/>
      <c r="I275" s="56"/>
      <c r="J275" s="56"/>
      <c r="K275" s="56"/>
      <c r="L275" s="68"/>
      <c r="M275" s="28" t="s">
        <v>87</v>
      </c>
      <c r="N275" s="25"/>
      <c r="O275" s="59">
        <f t="shared" si="16"/>
        <v>252</v>
      </c>
      <c r="P275" s="59">
        <f t="shared" si="21"/>
        <v>222.85714285714286</v>
      </c>
      <c r="Q275" s="37">
        <f t="shared" si="22"/>
        <v>0.88435374149659862</v>
      </c>
      <c r="R275" s="59">
        <f t="shared" si="17"/>
        <v>-6068.4426428571442</v>
      </c>
      <c r="S275" s="59">
        <v>0</v>
      </c>
      <c r="T275" s="59">
        <f t="shared" si="18"/>
        <v>1136.1078428571473</v>
      </c>
      <c r="U275" s="11"/>
    </row>
    <row r="276" spans="1:21" x14ac:dyDescent="0.2">
      <c r="A276" s="53" t="s">
        <v>88</v>
      </c>
      <c r="B276" s="64">
        <v>61541.011733036707</v>
      </c>
      <c r="C276" s="61">
        <f t="shared" si="19"/>
        <v>61579.61</v>
      </c>
      <c r="D276" s="54">
        <f t="shared" si="15"/>
        <v>38.598266963294009</v>
      </c>
      <c r="E276" s="55">
        <f t="shared" si="20"/>
        <v>6.2719584674253122E-4</v>
      </c>
      <c r="F276" s="54"/>
      <c r="G276" s="54"/>
      <c r="H276" s="54"/>
      <c r="I276" s="54"/>
      <c r="J276" s="54"/>
      <c r="K276" s="54"/>
      <c r="L276" s="27"/>
      <c r="M276" s="58" t="s">
        <v>88</v>
      </c>
      <c r="O276" s="59">
        <f t="shared" si="16"/>
        <v>285.72858731924362</v>
      </c>
      <c r="P276" s="59">
        <f t="shared" si="21"/>
        <v>284.28571428571428</v>
      </c>
      <c r="Q276" s="37">
        <f t="shared" si="22"/>
        <v>0.9949501971536463</v>
      </c>
      <c r="R276" s="59">
        <f t="shared" si="17"/>
        <v>-300.4507142857185</v>
      </c>
      <c r="S276" s="59"/>
      <c r="T276" s="59">
        <f t="shared" si="18"/>
        <v>339.04898124901251</v>
      </c>
      <c r="U276" s="69"/>
    </row>
    <row r="277" spans="1:21" x14ac:dyDescent="0.2">
      <c r="A277" s="53" t="s">
        <v>89</v>
      </c>
      <c r="B277" s="64">
        <v>52574.996299777529</v>
      </c>
      <c r="C277" s="61">
        <f t="shared" si="19"/>
        <v>56098.11</v>
      </c>
      <c r="D277" s="54">
        <f t="shared" si="15"/>
        <v>3523.1137002224714</v>
      </c>
      <c r="E277" s="55">
        <f t="shared" si="20"/>
        <v>6.7011202057609645E-2</v>
      </c>
      <c r="F277" s="54"/>
      <c r="G277" s="54"/>
      <c r="H277" s="54"/>
      <c r="I277" s="54"/>
      <c r="J277" s="54"/>
      <c r="K277" s="54"/>
      <c r="L277" s="27"/>
      <c r="M277" s="58" t="s">
        <v>89</v>
      </c>
      <c r="O277" s="59">
        <f t="shared" si="16"/>
        <v>243.98394048943271</v>
      </c>
      <c r="P277" s="59">
        <f t="shared" si="21"/>
        <v>257.14285714285717</v>
      </c>
      <c r="Q277" s="37">
        <f t="shared" si="22"/>
        <v>1.0539335360640032</v>
      </c>
      <c r="R277" s="59">
        <f t="shared" si="17"/>
        <v>2740.0927287946406</v>
      </c>
      <c r="S277" s="59"/>
      <c r="T277" s="59">
        <f t="shared" si="18"/>
        <v>783.02097142783077</v>
      </c>
      <c r="U277" s="69"/>
    </row>
    <row r="278" spans="1:21" x14ac:dyDescent="0.2">
      <c r="A278" s="53" t="s">
        <v>90</v>
      </c>
      <c r="B278" s="64">
        <v>52901.597248331484</v>
      </c>
      <c r="C278" s="61">
        <f t="shared" si="19"/>
        <v>53815.59</v>
      </c>
      <c r="D278" s="54">
        <f t="shared" si="15"/>
        <v>913.99275166851294</v>
      </c>
      <c r="E278" s="55">
        <f t="shared" si="20"/>
        <v>1.7277224114387969E-2</v>
      </c>
      <c r="F278" s="54"/>
      <c r="G278" s="54"/>
      <c r="H278" s="54"/>
      <c r="I278" s="54"/>
      <c r="J278" s="54"/>
      <c r="K278" s="54"/>
      <c r="L278" s="27"/>
      <c r="M278" s="58" t="s">
        <v>90</v>
      </c>
      <c r="O278" s="59">
        <f t="shared" si="16"/>
        <v>245.50455367074528</v>
      </c>
      <c r="P278" s="59">
        <f t="shared" si="21"/>
        <v>240</v>
      </c>
      <c r="Q278" s="37">
        <f t="shared" si="22"/>
        <v>0.97757860867164348</v>
      </c>
      <c r="R278" s="59">
        <f t="shared" si="17"/>
        <v>-1146.218027343753</v>
      </c>
      <c r="S278" s="59"/>
      <c r="T278" s="59">
        <f t="shared" si="18"/>
        <v>2060.2107790122659</v>
      </c>
      <c r="U278" s="69"/>
    </row>
    <row r="279" spans="1:21" x14ac:dyDescent="0.2">
      <c r="A279" s="53" t="s">
        <v>91</v>
      </c>
      <c r="B279" s="64">
        <v>53572.568697526884</v>
      </c>
      <c r="C279" s="61">
        <f t="shared" si="19"/>
        <v>55612.79</v>
      </c>
      <c r="D279" s="54">
        <f t="shared" si="15"/>
        <v>2040.2213024731172</v>
      </c>
      <c r="E279" s="55">
        <f t="shared" si="20"/>
        <v>3.8083320476796585E-2</v>
      </c>
      <c r="F279" s="54"/>
      <c r="G279" s="54"/>
      <c r="H279" s="54"/>
      <c r="I279" s="54"/>
      <c r="J279" s="54"/>
      <c r="K279" s="54"/>
      <c r="L279" s="27"/>
      <c r="M279" s="58" t="s">
        <v>91</v>
      </c>
      <c r="O279" s="59">
        <f t="shared" si="16"/>
        <v>221.66317204301077</v>
      </c>
      <c r="P279" s="59">
        <f t="shared" si="21"/>
        <v>207.03225806451613</v>
      </c>
      <c r="Q279" s="37">
        <f t="shared" si="22"/>
        <v>0.93399483620285051</v>
      </c>
      <c r="R279" s="59">
        <f t="shared" si="17"/>
        <v>-3046.6080197916731</v>
      </c>
      <c r="S279" s="59"/>
      <c r="T279" s="59">
        <f t="shared" si="18"/>
        <v>5086.8293222647899</v>
      </c>
      <c r="U279" s="69"/>
    </row>
    <row r="280" spans="1:21" x14ac:dyDescent="0.2">
      <c r="A280" s="53" t="s">
        <v>92</v>
      </c>
      <c r="B280" s="64">
        <v>53081.014220918871</v>
      </c>
      <c r="C280" s="61">
        <f t="shared" si="19"/>
        <v>50366.18</v>
      </c>
      <c r="D280" s="54">
        <f t="shared" si="15"/>
        <v>-2714.8342209188704</v>
      </c>
      <c r="E280" s="55">
        <f t="shared" si="20"/>
        <v>-5.1145108298420047E-2</v>
      </c>
      <c r="F280" s="54"/>
      <c r="G280" s="54"/>
      <c r="H280" s="54"/>
      <c r="I280" s="54"/>
      <c r="J280" s="54"/>
      <c r="K280" s="54"/>
      <c r="L280" s="27"/>
      <c r="M280" s="58" t="s">
        <v>92</v>
      </c>
      <c r="O280" s="59">
        <f t="shared" si="16"/>
        <v>246.33989666247732</v>
      </c>
      <c r="P280" s="59">
        <f t="shared" si="21"/>
        <v>228.57142857142858</v>
      </c>
      <c r="Q280" s="37">
        <f t="shared" si="22"/>
        <v>0.92787011632389294</v>
      </c>
      <c r="R280" s="59">
        <f t="shared" si="17"/>
        <v>-3699.9436580086558</v>
      </c>
      <c r="S280" s="59">
        <v>0</v>
      </c>
      <c r="T280" s="59">
        <f t="shared" si="18"/>
        <v>985.10943708978539</v>
      </c>
      <c r="U280" s="69"/>
    </row>
    <row r="281" spans="1:21" x14ac:dyDescent="0.2">
      <c r="A281" s="53" t="s">
        <v>93</v>
      </c>
      <c r="B281" s="64">
        <v>68937.520904894322</v>
      </c>
      <c r="C281" s="61">
        <f t="shared" si="19"/>
        <v>65529.93</v>
      </c>
      <c r="D281" s="54">
        <f t="shared" si="15"/>
        <v>-3407.5909048943213</v>
      </c>
      <c r="E281" s="55">
        <f t="shared" si="20"/>
        <v>-4.9430134129647738E-2</v>
      </c>
      <c r="F281" s="54"/>
      <c r="G281" s="54"/>
      <c r="H281" s="54"/>
      <c r="I281" s="54"/>
      <c r="J281" s="54"/>
      <c r="K281" s="54"/>
      <c r="L281" s="27"/>
      <c r="M281" s="58" t="s">
        <v>93</v>
      </c>
      <c r="O281" s="59">
        <f t="shared" si="16"/>
        <v>320.16580923248051</v>
      </c>
      <c r="P281" s="59">
        <f t="shared" si="21"/>
        <v>298.57142857142856</v>
      </c>
      <c r="Q281" s="37">
        <f t="shared" si="22"/>
        <v>0.93255250861164962</v>
      </c>
      <c r="R281" s="59">
        <f t="shared" si="17"/>
        <v>-4496.6167801339279</v>
      </c>
      <c r="S281" s="59"/>
      <c r="T281" s="59">
        <f t="shared" si="18"/>
        <v>1089.0258752396066</v>
      </c>
      <c r="U281" s="69"/>
    </row>
    <row r="282" spans="1:21" x14ac:dyDescent="0.2">
      <c r="A282" s="53" t="s">
        <v>94</v>
      </c>
      <c r="B282" s="64">
        <v>66210.994666379294</v>
      </c>
      <c r="C282" s="61">
        <f t="shared" si="19"/>
        <v>68970.23</v>
      </c>
      <c r="D282" s="54">
        <f t="shared" si="15"/>
        <v>2759.2353336207016</v>
      </c>
      <c r="E282" s="55">
        <f t="shared" si="20"/>
        <v>4.1673370827968993E-2</v>
      </c>
      <c r="F282" s="54"/>
      <c r="G282" s="54"/>
      <c r="H282" s="54"/>
      <c r="I282" s="54"/>
      <c r="J282" s="54"/>
      <c r="K282" s="54"/>
      <c r="L282" s="27"/>
      <c r="M282" s="58" t="s">
        <v>94</v>
      </c>
      <c r="O282" s="59">
        <f t="shared" si="16"/>
        <v>307.47144396551721</v>
      </c>
      <c r="P282" s="59">
        <f t="shared" si="21"/>
        <v>314.07142857142856</v>
      </c>
      <c r="Q282" s="37">
        <f t="shared" si="22"/>
        <v>1.0214653579558157</v>
      </c>
      <c r="R282" s="59">
        <f t="shared" si="17"/>
        <v>1374.3205694754533</v>
      </c>
      <c r="S282" s="59"/>
      <c r="T282" s="59">
        <f t="shared" si="18"/>
        <v>1384.9147641452482</v>
      </c>
      <c r="U282" s="69"/>
    </row>
    <row r="283" spans="1:21" x14ac:dyDescent="0.2">
      <c r="A283" s="53" t="s">
        <v>95</v>
      </c>
      <c r="B283" s="64">
        <v>44638.214</v>
      </c>
      <c r="C283" s="61">
        <f t="shared" si="19"/>
        <v>45217.01</v>
      </c>
      <c r="D283" s="54">
        <f t="shared" si="15"/>
        <v>578.7960000000021</v>
      </c>
      <c r="E283" s="55">
        <f t="shared" si="20"/>
        <v>1.2966378986399458E-2</v>
      </c>
      <c r="F283" s="54"/>
      <c r="G283" s="54"/>
      <c r="H283" s="54"/>
      <c r="I283" s="54"/>
      <c r="J283" s="54"/>
      <c r="K283" s="54"/>
      <c r="L283" s="27"/>
      <c r="M283" s="58" t="s">
        <v>95</v>
      </c>
      <c r="O283" s="59">
        <f t="shared" si="16"/>
        <v>185</v>
      </c>
      <c r="P283" s="59">
        <f t="shared" si="21"/>
        <v>247.1875</v>
      </c>
      <c r="Q283" s="37">
        <f t="shared" si="22"/>
        <v>1.3361486486486487</v>
      </c>
      <c r="R283" s="59">
        <f t="shared" si="17"/>
        <v>12949.357539062503</v>
      </c>
      <c r="S283" s="59"/>
      <c r="T283" s="59">
        <f t="shared" si="18"/>
        <v>-12370.561539062501</v>
      </c>
      <c r="U283" s="69"/>
    </row>
    <row r="284" spans="1:21" x14ac:dyDescent="0.2">
      <c r="A284" s="70" t="s">
        <v>96</v>
      </c>
      <c r="B284" s="66">
        <v>66826.287858120122</v>
      </c>
      <c r="C284" s="61">
        <f t="shared" si="19"/>
        <v>61854</v>
      </c>
      <c r="D284" s="54">
        <f t="shared" si="15"/>
        <v>-4972.2878581201221</v>
      </c>
      <c r="E284" s="55">
        <f t="shared" si="20"/>
        <v>-7.440616585911311E-2</v>
      </c>
      <c r="F284" s="54"/>
      <c r="G284" s="54"/>
      <c r="H284" s="54"/>
      <c r="I284" s="54"/>
      <c r="J284" s="54"/>
      <c r="K284" s="54"/>
      <c r="L284" s="27"/>
      <c r="M284" s="58" t="s">
        <v>96</v>
      </c>
      <c r="O284" s="59">
        <f t="shared" si="16"/>
        <v>310.33617213570631</v>
      </c>
      <c r="P284" s="59">
        <f t="shared" si="21"/>
        <v>269.35714285714283</v>
      </c>
      <c r="Q284" s="37">
        <f t="shared" si="22"/>
        <v>0.86795277844490581</v>
      </c>
      <c r="R284" s="59">
        <f t="shared" si="17"/>
        <v>-8533.0991233258883</v>
      </c>
      <c r="S284" s="59"/>
      <c r="T284" s="59">
        <f t="shared" si="18"/>
        <v>3560.8112652057662</v>
      </c>
      <c r="U284" s="69"/>
    </row>
    <row r="285" spans="1:21" x14ac:dyDescent="0.2">
      <c r="A285" s="53" t="s">
        <v>97</v>
      </c>
      <c r="B285" s="64">
        <v>77093.730347348916</v>
      </c>
      <c r="C285" s="61">
        <f t="shared" si="19"/>
        <v>61043.44</v>
      </c>
      <c r="D285" s="54">
        <f t="shared" si="15"/>
        <v>-16050.290347348913</v>
      </c>
      <c r="E285" s="55">
        <f t="shared" si="20"/>
        <v>-0.20819190192294085</v>
      </c>
      <c r="F285" s="54"/>
      <c r="G285" s="54"/>
      <c r="H285" s="54"/>
      <c r="I285" s="54"/>
      <c r="J285" s="54"/>
      <c r="K285" s="54"/>
      <c r="L285" s="27"/>
      <c r="M285" s="58" t="s">
        <v>97</v>
      </c>
      <c r="N285" s="11"/>
      <c r="O285" s="59">
        <f t="shared" si="16"/>
        <v>320.02855024100853</v>
      </c>
      <c r="P285" s="59">
        <f t="shared" si="21"/>
        <v>268.85714285714283</v>
      </c>
      <c r="Q285" s="37">
        <f t="shared" si="22"/>
        <v>0.84010361780119525</v>
      </c>
      <c r="R285" s="59">
        <f t="shared" si="17"/>
        <v>-10655.466934523814</v>
      </c>
      <c r="T285" s="59">
        <f t="shared" si="18"/>
        <v>-5394.8234128250988</v>
      </c>
      <c r="U285" s="69"/>
    </row>
    <row r="286" spans="1:21" x14ac:dyDescent="0.2">
      <c r="A286" s="70" t="s">
        <v>98</v>
      </c>
      <c r="B286" s="66">
        <v>63500.389444327026</v>
      </c>
      <c r="C286" s="61">
        <f t="shared" si="19"/>
        <v>54636.24</v>
      </c>
      <c r="D286" s="54">
        <f t="shared" si="15"/>
        <v>-8864.1494443270276</v>
      </c>
      <c r="E286" s="55">
        <f t="shared" si="20"/>
        <v>-0.13959204851961629</v>
      </c>
      <c r="F286" s="54"/>
      <c r="G286" s="54"/>
      <c r="H286" s="54"/>
      <c r="I286" s="54"/>
      <c r="J286" s="54"/>
      <c r="K286" s="54"/>
      <c r="L286" s="27"/>
      <c r="M286" s="58" t="s">
        <v>98</v>
      </c>
      <c r="N286" s="11"/>
      <c r="O286" s="59">
        <f t="shared" si="16"/>
        <v>263.4745550611791</v>
      </c>
      <c r="P286" s="59">
        <f t="shared" si="21"/>
        <v>281.42857142857144</v>
      </c>
      <c r="Q286" s="37">
        <f>IFERROR((P286/O286),0)</f>
        <v>1.0681432647764539</v>
      </c>
      <c r="R286" s="59">
        <f t="shared" si="17"/>
        <v>3738.5805379464241</v>
      </c>
      <c r="S286" s="40"/>
      <c r="T286" s="59">
        <f t="shared" si="18"/>
        <v>-12602.729982273451</v>
      </c>
      <c r="U286" s="69"/>
    </row>
    <row r="287" spans="1:21" x14ac:dyDescent="0.2">
      <c r="A287" s="53" t="s">
        <v>99</v>
      </c>
      <c r="B287" s="64">
        <v>57278.438191879883</v>
      </c>
      <c r="C287" s="61">
        <f t="shared" si="19"/>
        <v>50087.26</v>
      </c>
      <c r="D287" s="54">
        <f t="shared" si="15"/>
        <v>-7191.1781918798806</v>
      </c>
      <c r="E287" s="55">
        <f t="shared" si="20"/>
        <v>-0.1255477352191377</v>
      </c>
      <c r="F287" s="54"/>
      <c r="G287" s="54"/>
      <c r="H287" s="54"/>
      <c r="I287" s="54"/>
      <c r="J287" s="54"/>
      <c r="K287" s="54"/>
      <c r="L287" s="27"/>
      <c r="M287" s="58" t="s">
        <v>99</v>
      </c>
      <c r="N287" s="11"/>
      <c r="O287" s="59">
        <f t="shared" si="16"/>
        <v>265.88257786429369</v>
      </c>
      <c r="P287" s="59">
        <f t="shared" si="21"/>
        <v>222.85714285714286</v>
      </c>
      <c r="Q287" s="37">
        <f>IFERROR((P287/O287),0)</f>
        <v>0.83817881053827081</v>
      </c>
      <c r="R287" s="59">
        <f t="shared" si="17"/>
        <v>-8959.2239787946492</v>
      </c>
      <c r="S287" s="40"/>
      <c r="T287" s="59">
        <f t="shared" si="18"/>
        <v>1768.0457869147685</v>
      </c>
      <c r="U287" s="69"/>
    </row>
    <row r="288" spans="1:21" x14ac:dyDescent="0.2">
      <c r="A288" s="53" t="s">
        <v>100</v>
      </c>
      <c r="B288" s="64">
        <v>78048.309599999993</v>
      </c>
      <c r="C288" s="61">
        <f t="shared" si="19"/>
        <v>50806.59</v>
      </c>
      <c r="D288" s="54">
        <f t="shared" si="15"/>
        <v>-27241.719599999997</v>
      </c>
      <c r="E288" s="55">
        <f t="shared" si="20"/>
        <v>-0.3490366382002974</v>
      </c>
      <c r="F288" s="54"/>
      <c r="G288" s="54"/>
      <c r="H288" s="54"/>
      <c r="I288" s="54"/>
      <c r="J288" s="54"/>
      <c r="K288" s="54"/>
      <c r="L288" s="27"/>
      <c r="M288" s="58" t="s">
        <v>100</v>
      </c>
      <c r="O288" s="59">
        <f t="shared" si="16"/>
        <v>324</v>
      </c>
      <c r="P288" s="59">
        <f t="shared" si="21"/>
        <v>246.71428571428572</v>
      </c>
      <c r="Q288" s="37">
        <f>IFERROR((P288/O288),0)</f>
        <v>0.7614638447971781</v>
      </c>
      <c r="R288" s="59">
        <f t="shared" si="17"/>
        <v>-16093.271910714288</v>
      </c>
      <c r="T288" s="59">
        <f t="shared" si="18"/>
        <v>-11148.447689285709</v>
      </c>
      <c r="U288" s="69"/>
    </row>
    <row r="289" spans="1:21" x14ac:dyDescent="0.2">
      <c r="A289" s="53" t="s">
        <v>101</v>
      </c>
      <c r="B289" s="64">
        <v>78048.309599999993</v>
      </c>
      <c r="C289" s="61">
        <f t="shared" si="19"/>
        <v>47751.09</v>
      </c>
      <c r="D289" s="54">
        <f t="shared" si="15"/>
        <v>-30297.219599999997</v>
      </c>
      <c r="E289" s="55">
        <f t="shared" si="20"/>
        <v>-0.38818546814497568</v>
      </c>
      <c r="F289" s="54"/>
      <c r="G289" s="54"/>
      <c r="H289" s="54"/>
      <c r="I289" s="54"/>
      <c r="J289" s="54"/>
      <c r="K289" s="54"/>
      <c r="L289" s="27"/>
      <c r="M289" s="58" t="s">
        <v>101</v>
      </c>
      <c r="O289" s="59">
        <f t="shared" si="16"/>
        <v>324</v>
      </c>
      <c r="P289" s="59">
        <f t="shared" si="21"/>
        <v>214.28571428571428</v>
      </c>
      <c r="Q289" s="37">
        <f>IFERROR((P289/O289),0)</f>
        <v>0.66137566137566139</v>
      </c>
      <c r="R289" s="59">
        <f t="shared" si="17"/>
        <v>-22845.901714285712</v>
      </c>
      <c r="T289" s="59">
        <f t="shared" si="18"/>
        <v>-7451.3178857142848</v>
      </c>
      <c r="U289" s="69"/>
    </row>
    <row r="290" spans="1:21" x14ac:dyDescent="0.2">
      <c r="A290" s="53" t="s">
        <v>102</v>
      </c>
      <c r="B290" s="64">
        <v>69635.695599999992</v>
      </c>
      <c r="C290" s="61">
        <f t="shared" si="19"/>
        <v>57250.37</v>
      </c>
      <c r="D290" s="54">
        <f t="shared" si="15"/>
        <v>-12385.325599999989</v>
      </c>
      <c r="E290" s="55">
        <f t="shared" si="20"/>
        <v>-0.17785886237345191</v>
      </c>
      <c r="F290" s="54"/>
      <c r="G290" s="54"/>
      <c r="H290" s="54"/>
      <c r="I290" s="54"/>
      <c r="J290" s="54"/>
      <c r="K290" s="54"/>
      <c r="L290" s="27"/>
      <c r="M290" s="58" t="s">
        <v>102</v>
      </c>
      <c r="N290" s="11"/>
      <c r="O290" s="59">
        <f t="shared" si="16"/>
        <v>289</v>
      </c>
      <c r="P290" s="59">
        <f t="shared" si="21"/>
        <v>214.28571428571428</v>
      </c>
      <c r="Q290" s="37">
        <f t="shared" ref="Q290:Q292" si="23">IFERROR((P290/O290),0)</f>
        <v>0.74147305981216016</v>
      </c>
      <c r="R290" s="59">
        <f t="shared" si="17"/>
        <v>-15557.821089285713</v>
      </c>
      <c r="S290" s="40"/>
      <c r="T290" s="59">
        <f>IFERROR((#REF!-R290-S290),0)</f>
        <v>0</v>
      </c>
      <c r="U290" s="69"/>
    </row>
    <row r="291" spans="1:21" x14ac:dyDescent="0.2">
      <c r="A291" s="53" t="s">
        <v>103</v>
      </c>
      <c r="B291" s="64">
        <v>69635.695599999992</v>
      </c>
      <c r="C291" s="61">
        <f t="shared" si="19"/>
        <v>52593.91</v>
      </c>
      <c r="D291" s="54">
        <f t="shared" si="15"/>
        <v>-17041.785599999988</v>
      </c>
      <c r="E291" s="55">
        <f t="shared" si="20"/>
        <v>-0.24472772840370666</v>
      </c>
      <c r="L291" s="2"/>
      <c r="M291" s="58" t="s">
        <v>103</v>
      </c>
      <c r="N291" s="11"/>
      <c r="O291" s="59">
        <f t="shared" si="16"/>
        <v>289</v>
      </c>
      <c r="P291" s="59">
        <f t="shared" si="21"/>
        <v>232.85714285714286</v>
      </c>
      <c r="Q291" s="37">
        <f t="shared" si="23"/>
        <v>0.80573405832921408</v>
      </c>
      <c r="R291" s="59">
        <f t="shared" si="17"/>
        <v>-11690.676267857141</v>
      </c>
      <c r="S291" s="40"/>
      <c r="T291" s="59"/>
      <c r="U291" s="71"/>
    </row>
    <row r="292" spans="1:21" x14ac:dyDescent="0.2">
      <c r="A292" s="53" t="s">
        <v>104</v>
      </c>
      <c r="B292" s="64">
        <v>78048.309599999993</v>
      </c>
      <c r="C292" s="61">
        <f t="shared" si="19"/>
        <v>56247.34</v>
      </c>
      <c r="D292" s="54">
        <f t="shared" si="15"/>
        <v>-21800.969599999997</v>
      </c>
      <c r="E292" s="55">
        <f t="shared" si="20"/>
        <v>-0.27932660824725919</v>
      </c>
      <c r="L292" s="2"/>
      <c r="M292" s="58" t="s">
        <v>104</v>
      </c>
      <c r="N292" s="2"/>
      <c r="O292" s="59">
        <f t="shared" si="16"/>
        <v>324</v>
      </c>
      <c r="P292" s="59">
        <f t="shared" si="21"/>
        <v>217.14285714285714</v>
      </c>
      <c r="Q292" s="37">
        <f t="shared" si="23"/>
        <v>0.67019400352733682</v>
      </c>
      <c r="R292" s="59">
        <f t="shared" si="17"/>
        <v>-22250.956357142863</v>
      </c>
      <c r="S292" s="59"/>
      <c r="T292" s="59">
        <f>IFERROR((D291-R292-S292),0)</f>
        <v>5209.1707571428742</v>
      </c>
    </row>
    <row r="293" spans="1:21" x14ac:dyDescent="0.2">
      <c r="L293" s="2"/>
      <c r="M293" s="58"/>
      <c r="N293" s="2"/>
      <c r="O293" s="2"/>
      <c r="P293" s="2"/>
      <c r="Q293" s="2"/>
      <c r="R293" s="2"/>
      <c r="S293" s="2"/>
      <c r="T293" s="2"/>
    </row>
    <row r="294" spans="1:21" x14ac:dyDescent="0.2">
      <c r="A294" s="3" t="s">
        <v>122</v>
      </c>
      <c r="B294" s="54">
        <f>SUM(B203:B292)</f>
        <v>5384727.1172437994</v>
      </c>
      <c r="C294" s="54">
        <f>SUM(C203:C292)</f>
        <v>4927396.0999999987</v>
      </c>
      <c r="D294" s="54">
        <f t="shared" ref="D294" si="24">+C294-B294</f>
        <v>-457331.01724380068</v>
      </c>
      <c r="E294" s="71">
        <f>IFERROR((D294/B294),0)</f>
        <v>-8.4931140851922673E-2</v>
      </c>
      <c r="L294" s="2"/>
      <c r="M294" s="11" t="s">
        <v>122</v>
      </c>
      <c r="N294" s="11"/>
      <c r="O294" s="40">
        <f>SUM(O202:O292)</f>
        <v>24583.240597853433</v>
      </c>
      <c r="P294" s="40">
        <f>SUM(P202:P292)</f>
        <v>23188.06883640552</v>
      </c>
      <c r="Q294" s="41">
        <f>IFERROR((P294/O294),0)</f>
        <v>0.94324703629310214</v>
      </c>
      <c r="R294" s="40">
        <f>SUM(R202:R292)</f>
        <v>-290517.83666158858</v>
      </c>
      <c r="S294" s="40">
        <f>SUM(S202:S292)</f>
        <v>18993.57</v>
      </c>
      <c r="T294" s="40">
        <f>SUM(T202:T292)</f>
        <v>-178868.95273935463</v>
      </c>
    </row>
    <row r="295" spans="1:21" x14ac:dyDescent="0.2">
      <c r="B295" s="54"/>
      <c r="C295" s="54"/>
      <c r="D295" s="54"/>
      <c r="E295" s="71"/>
      <c r="L295" s="2"/>
      <c r="M295" s="2"/>
      <c r="N295" s="2"/>
      <c r="O295" s="2"/>
      <c r="P295" s="2"/>
    </row>
    <row r="296" spans="1:21" x14ac:dyDescent="0.2">
      <c r="A296" s="3" t="s">
        <v>123</v>
      </c>
      <c r="B296" s="3">
        <f>+[2]Energia!$B$21</f>
        <v>6.7171250000000002</v>
      </c>
      <c r="D296" s="61"/>
      <c r="L296" s="2"/>
      <c r="M296" s="2"/>
      <c r="N296" s="2"/>
      <c r="O296" s="2"/>
      <c r="P296" s="2"/>
      <c r="S296" s="3">
        <f>+S280+S282</f>
        <v>0</v>
      </c>
    </row>
    <row r="297" spans="1:21" x14ac:dyDescent="0.2">
      <c r="A297" s="3" t="s">
        <v>124</v>
      </c>
      <c r="B297" s="3">
        <f>+[2]Energia!$D$21</f>
        <v>8.6999999999999993</v>
      </c>
      <c r="D297" s="61"/>
      <c r="L297" s="2"/>
      <c r="M297" s="2"/>
      <c r="N297" s="2"/>
      <c r="O297" s="2"/>
      <c r="P297" s="2"/>
    </row>
    <row r="298" spans="1:21" x14ac:dyDescent="0.2">
      <c r="A298" s="3" t="s">
        <v>125</v>
      </c>
      <c r="B298" s="3">
        <f>+B297-B296</f>
        <v>1.9828749999999991</v>
      </c>
      <c r="C298" s="72"/>
      <c r="D298" s="72"/>
      <c r="L298" s="2"/>
      <c r="M298" s="2"/>
      <c r="N298" s="2"/>
      <c r="O298" s="2"/>
    </row>
    <row r="299" spans="1:21" x14ac:dyDescent="0.2">
      <c r="C299" s="72"/>
      <c r="D299" s="72"/>
      <c r="L299" s="2"/>
      <c r="M299" s="2"/>
      <c r="N299" s="2"/>
      <c r="O299" s="2"/>
    </row>
    <row r="300" spans="1:21" ht="39.75" customHeight="1" x14ac:dyDescent="0.2">
      <c r="A300" s="3" t="s">
        <v>123</v>
      </c>
      <c r="B300" s="3">
        <f>+[2]Energia!$B$21</f>
        <v>6.7171250000000002</v>
      </c>
      <c r="C300" s="72"/>
      <c r="D300" s="72"/>
      <c r="F300" s="73"/>
      <c r="G300" s="73"/>
      <c r="H300" s="73"/>
      <c r="I300" s="73"/>
      <c r="J300" s="73"/>
      <c r="K300" s="73"/>
      <c r="M300" s="2"/>
      <c r="N300" s="2"/>
      <c r="O300" s="2"/>
      <c r="P300" s="2"/>
    </row>
    <row r="301" spans="1:21" x14ac:dyDescent="0.2">
      <c r="A301" s="3" t="s">
        <v>126</v>
      </c>
      <c r="B301" s="3">
        <f>+[2]Energia!$C$21</f>
        <v>7.6184000000000003</v>
      </c>
      <c r="C301" s="72"/>
      <c r="D301" s="72"/>
      <c r="F301" s="74"/>
      <c r="G301" s="74"/>
      <c r="H301" s="74"/>
      <c r="I301" s="74"/>
      <c r="J301" s="74"/>
      <c r="K301" s="74"/>
    </row>
    <row r="302" spans="1:21" x14ac:dyDescent="0.2">
      <c r="A302" s="3" t="s">
        <v>127</v>
      </c>
      <c r="B302" s="3">
        <f>+B301-B300</f>
        <v>0.90127500000000005</v>
      </c>
      <c r="C302" s="72"/>
      <c r="D302" s="72"/>
      <c r="F302" s="31"/>
      <c r="G302" s="31"/>
      <c r="H302" s="31"/>
      <c r="I302" s="31"/>
      <c r="J302" s="31"/>
      <c r="K302" s="31"/>
      <c r="L302" s="31"/>
    </row>
    <row r="305" spans="1:5" x14ac:dyDescent="0.2">
      <c r="A305" s="75" t="s">
        <v>128</v>
      </c>
      <c r="B305" s="76" t="s">
        <v>129</v>
      </c>
      <c r="C305" s="76" t="s">
        <v>130</v>
      </c>
      <c r="D305" s="76" t="s">
        <v>131</v>
      </c>
    </row>
    <row r="306" spans="1:5" x14ac:dyDescent="0.2">
      <c r="A306" s="77" t="s">
        <v>132</v>
      </c>
      <c r="B306" s="78">
        <f>+B294</f>
        <v>5384727.1172437994</v>
      </c>
      <c r="C306" s="78">
        <f>+C294</f>
        <v>4927396.0999999987</v>
      </c>
      <c r="D306" s="79">
        <f>+C306-B306</f>
        <v>-457331.01724380068</v>
      </c>
    </row>
    <row r="307" spans="1:5" x14ac:dyDescent="0.2">
      <c r="A307" s="77" t="s">
        <v>133</v>
      </c>
      <c r="B307" s="80">
        <f>+O294</f>
        <v>24583.240597853433</v>
      </c>
      <c r="C307" s="80">
        <f>+P294</f>
        <v>23188.06883640552</v>
      </c>
      <c r="D307" s="81">
        <f>+C307/B307</f>
        <v>0.94324703629310214</v>
      </c>
    </row>
    <row r="312" spans="1:5" ht="61.2" x14ac:dyDescent="0.2">
      <c r="A312" s="82" t="s">
        <v>134</v>
      </c>
      <c r="B312" s="82" t="s">
        <v>119</v>
      </c>
      <c r="C312" s="82" t="s">
        <v>135</v>
      </c>
      <c r="D312" s="82" t="s">
        <v>120</v>
      </c>
      <c r="E312" s="82" t="s">
        <v>136</v>
      </c>
    </row>
    <row r="313" spans="1:5" ht="46.2" customHeight="1" x14ac:dyDescent="0.2">
      <c r="A313" s="83">
        <f>+R294</f>
        <v>-290517.83666158858</v>
      </c>
      <c r="B313" s="83">
        <f>+S294-C313</f>
        <v>18993.57</v>
      </c>
      <c r="C313" s="84"/>
      <c r="D313" s="83">
        <f>+T294</f>
        <v>-178868.95273935463</v>
      </c>
      <c r="E313" s="79">
        <f>SUM(A313:D313)</f>
        <v>-450393.2194009432</v>
      </c>
    </row>
    <row r="316" spans="1:5" x14ac:dyDescent="0.2">
      <c r="A316" s="85"/>
      <c r="B316" s="86"/>
      <c r="D316" s="87"/>
    </row>
    <row r="317" spans="1:5" x14ac:dyDescent="0.2">
      <c r="A317" s="88"/>
      <c r="D317" s="88"/>
    </row>
  </sheetData>
  <mergeCells count="2">
    <mergeCell ref="A200:E200"/>
    <mergeCell ref="M200:T200"/>
  </mergeCells>
  <conditionalFormatting sqref="D276:D28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2:D28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7:F197 Q203:Q292">
    <cfRule type="cellIs" dxfId="182" priority="6" operator="greaterThan">
      <formula>1.08</formula>
    </cfRule>
  </conditionalFormatting>
  <conditionalFormatting sqref="F202:K262 D202:D29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3:D289 D291:D29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5:D289 D29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Mickey Ampie</cp:lastModifiedBy>
  <dcterms:created xsi:type="dcterms:W3CDTF">2026-03-05T00:29:49Z</dcterms:created>
  <dcterms:modified xsi:type="dcterms:W3CDTF">2026-03-05T00:30:19Z</dcterms:modified>
</cp:coreProperties>
</file>