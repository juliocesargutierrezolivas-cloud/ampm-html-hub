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78F43420-82E0-4DE7-AC66-8CF97AC4DEE4}" xr6:coauthVersionLast="47" xr6:coauthVersionMax="47" xr10:uidLastSave="{00000000-0000-0000-0000-000000000000}"/>
  <bookViews>
    <workbookView xWindow="-108" yWindow="-108" windowWidth="23256" windowHeight="12456" xr2:uid="{89DDAB87-9188-4DCE-9549-99BC9B2A8D04}"/>
  </bookViews>
  <sheets>
    <sheet name="Hoja1" sheetId="1" r:id="rId1"/>
  </sheets>
  <externalReferences>
    <externalReference r:id="rId2"/>
    <externalReference r:id="rId3"/>
  </externalReferences>
  <calcPr calcId="191029"/>
  <pivotCaches>
    <pivotCache cacheId="8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5" i="1" l="1"/>
  <c r="B306" i="1" s="1"/>
  <c r="B304" i="1"/>
  <c r="B301" i="1"/>
  <c r="B300" i="1"/>
  <c r="B302" i="1" s="1"/>
  <c r="U297" i="1"/>
  <c r="B317" i="1" s="1"/>
  <c r="R296" i="1"/>
  <c r="C296" i="1"/>
  <c r="D296" i="1" s="1"/>
  <c r="E296" i="1" s="1"/>
  <c r="R295" i="1"/>
  <c r="D295" i="1"/>
  <c r="E295" i="1" s="1"/>
  <c r="C295" i="1"/>
  <c r="R294" i="1"/>
  <c r="Q294" i="1"/>
  <c r="D294" i="1"/>
  <c r="C294" i="1"/>
  <c r="R293" i="1"/>
  <c r="C293" i="1"/>
  <c r="R292" i="1"/>
  <c r="D292" i="1"/>
  <c r="C292" i="1"/>
  <c r="R291" i="1"/>
  <c r="C291" i="1"/>
  <c r="R290" i="1"/>
  <c r="C290" i="1"/>
  <c r="D290" i="1" s="1"/>
  <c r="R289" i="1"/>
  <c r="D289" i="1"/>
  <c r="C289" i="1"/>
  <c r="R288" i="1"/>
  <c r="C288" i="1"/>
  <c r="R287" i="1"/>
  <c r="C287" i="1"/>
  <c r="D287" i="1" s="1"/>
  <c r="E287" i="1" s="1"/>
  <c r="R286" i="1"/>
  <c r="Q286" i="1"/>
  <c r="S286" i="1" s="1"/>
  <c r="T286" i="1" s="1"/>
  <c r="C286" i="1"/>
  <c r="R285" i="1"/>
  <c r="C285" i="1"/>
  <c r="R284" i="1"/>
  <c r="C284" i="1"/>
  <c r="D284" i="1" s="1"/>
  <c r="R283" i="1"/>
  <c r="C283" i="1"/>
  <c r="R282" i="1"/>
  <c r="D282" i="1"/>
  <c r="E282" i="1" s="1"/>
  <c r="C282" i="1"/>
  <c r="R281" i="1"/>
  <c r="C281" i="1"/>
  <c r="R280" i="1"/>
  <c r="D280" i="1"/>
  <c r="E280" i="1" s="1"/>
  <c r="C280" i="1"/>
  <c r="R279" i="1"/>
  <c r="D279" i="1"/>
  <c r="C279" i="1"/>
  <c r="R278" i="1"/>
  <c r="C278" i="1"/>
  <c r="R277" i="1"/>
  <c r="D277" i="1"/>
  <c r="C277" i="1"/>
  <c r="R276" i="1"/>
  <c r="C276" i="1"/>
  <c r="R275" i="1"/>
  <c r="C275" i="1"/>
  <c r="D275" i="1" s="1"/>
  <c r="R274" i="1"/>
  <c r="C274" i="1"/>
  <c r="R273" i="1"/>
  <c r="D273" i="1"/>
  <c r="E273" i="1" s="1"/>
  <c r="C273" i="1"/>
  <c r="R272" i="1"/>
  <c r="C272" i="1"/>
  <c r="D272" i="1" s="1"/>
  <c r="R271" i="1"/>
  <c r="D271" i="1"/>
  <c r="E271" i="1" s="1"/>
  <c r="C271" i="1"/>
  <c r="R270" i="1"/>
  <c r="D270" i="1"/>
  <c r="C270" i="1"/>
  <c r="R269" i="1"/>
  <c r="C269" i="1"/>
  <c r="R268" i="1"/>
  <c r="D268" i="1"/>
  <c r="C268" i="1"/>
  <c r="R267" i="1"/>
  <c r="C267" i="1"/>
  <c r="R266" i="1"/>
  <c r="C266" i="1"/>
  <c r="D266" i="1" s="1"/>
  <c r="R265" i="1"/>
  <c r="D265" i="1"/>
  <c r="C265" i="1"/>
  <c r="R264" i="1"/>
  <c r="D264" i="1"/>
  <c r="C264" i="1"/>
  <c r="R263" i="1"/>
  <c r="C263" i="1"/>
  <c r="D263" i="1" s="1"/>
  <c r="R262" i="1"/>
  <c r="D262" i="1"/>
  <c r="E262" i="1" s="1"/>
  <c r="C262" i="1"/>
  <c r="R261" i="1"/>
  <c r="D261" i="1"/>
  <c r="C261" i="1"/>
  <c r="R260" i="1"/>
  <c r="C260" i="1"/>
  <c r="D260" i="1" s="1"/>
  <c r="E260" i="1" s="1"/>
  <c r="R259" i="1"/>
  <c r="D259" i="1"/>
  <c r="C259" i="1"/>
  <c r="R258" i="1"/>
  <c r="C258" i="1"/>
  <c r="R257" i="1"/>
  <c r="C257" i="1"/>
  <c r="D257" i="1" s="1"/>
  <c r="R256" i="1"/>
  <c r="C256" i="1"/>
  <c r="R255" i="1"/>
  <c r="D255" i="1"/>
  <c r="E255" i="1" s="1"/>
  <c r="C255" i="1"/>
  <c r="R254" i="1"/>
  <c r="C254" i="1"/>
  <c r="R253" i="1"/>
  <c r="D253" i="1"/>
  <c r="E253" i="1" s="1"/>
  <c r="C253" i="1"/>
  <c r="R252" i="1"/>
  <c r="D252" i="1"/>
  <c r="C252" i="1"/>
  <c r="R251" i="1"/>
  <c r="C251" i="1"/>
  <c r="D251" i="1" s="1"/>
  <c r="R250" i="1"/>
  <c r="D250" i="1"/>
  <c r="C250" i="1"/>
  <c r="R249" i="1"/>
  <c r="C249" i="1"/>
  <c r="R248" i="1"/>
  <c r="C248" i="1"/>
  <c r="D248" i="1" s="1"/>
  <c r="R247" i="1"/>
  <c r="C247" i="1"/>
  <c r="R246" i="1"/>
  <c r="D246" i="1"/>
  <c r="C246" i="1"/>
  <c r="R245" i="1"/>
  <c r="C245" i="1"/>
  <c r="R244" i="1"/>
  <c r="D244" i="1"/>
  <c r="E244" i="1" s="1"/>
  <c r="C244" i="1"/>
  <c r="R243" i="1"/>
  <c r="D243" i="1"/>
  <c r="C243" i="1"/>
  <c r="R242" i="1"/>
  <c r="C242" i="1"/>
  <c r="D242" i="1" s="1"/>
  <c r="R241" i="1"/>
  <c r="D241" i="1"/>
  <c r="C241" i="1"/>
  <c r="R240" i="1"/>
  <c r="C240" i="1"/>
  <c r="R239" i="1"/>
  <c r="C239" i="1"/>
  <c r="D239" i="1" s="1"/>
  <c r="R238" i="1"/>
  <c r="C238" i="1"/>
  <c r="R237" i="1"/>
  <c r="D237" i="1"/>
  <c r="C237" i="1"/>
  <c r="R236" i="1"/>
  <c r="C236" i="1"/>
  <c r="R235" i="1"/>
  <c r="D235" i="1"/>
  <c r="E235" i="1" s="1"/>
  <c r="C235" i="1"/>
  <c r="R234" i="1"/>
  <c r="C234" i="1"/>
  <c r="R233" i="1"/>
  <c r="C233" i="1"/>
  <c r="D233" i="1" s="1"/>
  <c r="R232" i="1"/>
  <c r="Q232" i="1"/>
  <c r="S232" i="1" s="1"/>
  <c r="T232" i="1" s="1"/>
  <c r="C232" i="1"/>
  <c r="R231" i="1"/>
  <c r="C231" i="1"/>
  <c r="R230" i="1"/>
  <c r="C230" i="1"/>
  <c r="B230" i="1" a="1"/>
  <c r="D288" i="1" s="1"/>
  <c r="R229" i="1"/>
  <c r="Q229" i="1"/>
  <c r="S229" i="1" s="1"/>
  <c r="T229" i="1" s="1"/>
  <c r="C229" i="1"/>
  <c r="B229" i="1" a="1"/>
  <c r="B229" i="1" s="1"/>
  <c r="R228" i="1"/>
  <c r="C228" i="1"/>
  <c r="R227" i="1"/>
  <c r="C227" i="1"/>
  <c r="R226" i="1"/>
  <c r="C226" i="1"/>
  <c r="R225" i="1"/>
  <c r="C225" i="1"/>
  <c r="B225" i="1" a="1"/>
  <c r="R224" i="1"/>
  <c r="Q224" i="1"/>
  <c r="S224" i="1" s="1"/>
  <c r="T224" i="1" s="1"/>
  <c r="V224" i="1" s="1"/>
  <c r="D224" i="1"/>
  <c r="E224" i="1" s="1"/>
  <c r="C224" i="1"/>
  <c r="R223" i="1"/>
  <c r="Q223" i="1"/>
  <c r="D223" i="1"/>
  <c r="C223" i="1"/>
  <c r="R222" i="1"/>
  <c r="Q222" i="1"/>
  <c r="S222" i="1" s="1"/>
  <c r="T222" i="1" s="1"/>
  <c r="V222" i="1" s="1"/>
  <c r="C222" i="1"/>
  <c r="D222" i="1" s="1"/>
  <c r="E222" i="1" s="1"/>
  <c r="R221" i="1"/>
  <c r="Q221" i="1"/>
  <c r="D221" i="1"/>
  <c r="C221" i="1"/>
  <c r="R220" i="1"/>
  <c r="C220" i="1"/>
  <c r="B220" i="1"/>
  <c r="B220" i="1" a="1"/>
  <c r="R219" i="1"/>
  <c r="D219" i="1"/>
  <c r="E219" i="1" s="1"/>
  <c r="C219" i="1"/>
  <c r="R218" i="1"/>
  <c r="C218" i="1"/>
  <c r="R217" i="1"/>
  <c r="E217" i="1"/>
  <c r="C217" i="1"/>
  <c r="D217" i="1" s="1"/>
  <c r="R216" i="1"/>
  <c r="C216" i="1"/>
  <c r="D216" i="1" s="1"/>
  <c r="R215" i="1"/>
  <c r="D215" i="1"/>
  <c r="C215" i="1"/>
  <c r="R214" i="1"/>
  <c r="C214" i="1"/>
  <c r="D214" i="1" s="1"/>
  <c r="R213" i="1"/>
  <c r="C213" i="1"/>
  <c r="D213" i="1" s="1"/>
  <c r="R212" i="1"/>
  <c r="C212" i="1"/>
  <c r="R211" i="1"/>
  <c r="C211" i="1"/>
  <c r="D211" i="1" s="1"/>
  <c r="R210" i="1"/>
  <c r="C210" i="1"/>
  <c r="D210" i="1" s="1"/>
  <c r="E210" i="1" s="1"/>
  <c r="B210" i="1" a="1"/>
  <c r="B210" i="1" s="1"/>
  <c r="R209" i="1"/>
  <c r="Q209" i="1"/>
  <c r="S209" i="1" s="1"/>
  <c r="T209" i="1" s="1"/>
  <c r="C209" i="1"/>
  <c r="D209" i="1" s="1"/>
  <c r="B209" i="1"/>
  <c r="B209" i="1" a="1"/>
  <c r="R208" i="1"/>
  <c r="C208" i="1"/>
  <c r="B208" i="1" a="1"/>
  <c r="B208" i="1" s="1"/>
  <c r="D208" i="1" s="1"/>
  <c r="R207" i="1"/>
  <c r="S207" i="1" s="1"/>
  <c r="T207" i="1" s="1"/>
  <c r="V207" i="1" s="1"/>
  <c r="Q207" i="1"/>
  <c r="E207" i="1"/>
  <c r="D207" i="1"/>
  <c r="C207" i="1"/>
  <c r="B207" i="1"/>
  <c r="B207" i="1" a="1"/>
  <c r="R206" i="1"/>
  <c r="C206" i="1"/>
  <c r="D206" i="1" s="1"/>
  <c r="B206" i="1"/>
  <c r="B206" i="1" a="1"/>
  <c r="R205" i="1"/>
  <c r="C205" i="1"/>
  <c r="B205" i="1" a="1"/>
  <c r="B205" i="1" s="1"/>
  <c r="D204" i="1"/>
  <c r="H199" i="1"/>
  <c r="G199" i="1"/>
  <c r="F199" i="1"/>
  <c r="E199" i="1"/>
  <c r="D199" i="1"/>
  <c r="C199" i="1"/>
  <c r="I197" i="1"/>
  <c r="K97" i="1" s="1"/>
  <c r="I196" i="1"/>
  <c r="K96" i="1" s="1"/>
  <c r="I195" i="1"/>
  <c r="K95" i="1" s="1"/>
  <c r="I181" i="1"/>
  <c r="K81" i="1" s="1"/>
  <c r="I178" i="1"/>
  <c r="K78" i="1" s="1"/>
  <c r="I165" i="1"/>
  <c r="K65" i="1" s="1"/>
  <c r="I163" i="1"/>
  <c r="K63" i="1" s="1"/>
  <c r="I162" i="1"/>
  <c r="I161" i="1"/>
  <c r="K61" i="1" s="1"/>
  <c r="I149" i="1"/>
  <c r="K49" i="1" s="1"/>
  <c r="I148" i="1"/>
  <c r="K48" i="1" s="1"/>
  <c r="I147" i="1"/>
  <c r="K47" i="1" s="1"/>
  <c r="I146" i="1"/>
  <c r="K46" i="1" s="1"/>
  <c r="I133" i="1"/>
  <c r="K33" i="1" s="1"/>
  <c r="B132" i="1" a="1"/>
  <c r="I131" i="1"/>
  <c r="B131" i="1"/>
  <c r="B131" i="1" a="1"/>
  <c r="B127" i="1" a="1"/>
  <c r="I126" i="1"/>
  <c r="K26" i="1" s="1"/>
  <c r="I124" i="1"/>
  <c r="K24" i="1" s="1"/>
  <c r="I123" i="1"/>
  <c r="K23" i="1" s="1"/>
  <c r="B122" i="1" a="1"/>
  <c r="I125" i="1" s="1"/>
  <c r="B112" i="1" a="1"/>
  <c r="B112" i="1" s="1"/>
  <c r="B111" i="1"/>
  <c r="I111" i="1" s="1"/>
  <c r="K11" i="1" s="1"/>
  <c r="B111" i="1" a="1"/>
  <c r="B110" i="1" a="1"/>
  <c r="B110" i="1" s="1"/>
  <c r="B109" i="1" a="1"/>
  <c r="B109" i="1" s="1"/>
  <c r="I109" i="1" s="1"/>
  <c r="K9" i="1" s="1"/>
  <c r="B108" i="1" a="1"/>
  <c r="B108" i="1" s="1"/>
  <c r="B107" i="1" a="1"/>
  <c r="B107" i="1" s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K62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K31" i="1"/>
  <c r="J31" i="1"/>
  <c r="J30" i="1"/>
  <c r="J29" i="1"/>
  <c r="J28" i="1"/>
  <c r="J27" i="1"/>
  <c r="J26" i="1"/>
  <c r="K25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E211" i="1" l="1"/>
  <c r="Q206" i="1"/>
  <c r="S206" i="1" s="1"/>
  <c r="T206" i="1" s="1"/>
  <c r="V206" i="1" s="1"/>
  <c r="I108" i="1"/>
  <c r="K8" i="1" s="1"/>
  <c r="E206" i="1"/>
  <c r="Q210" i="1"/>
  <c r="S210" i="1" s="1"/>
  <c r="T210" i="1" s="1"/>
  <c r="V210" i="1" s="1"/>
  <c r="I112" i="1"/>
  <c r="K12" i="1" s="1"/>
  <c r="E265" i="1"/>
  <c r="V265" i="1"/>
  <c r="E214" i="1"/>
  <c r="S221" i="1"/>
  <c r="T221" i="1" s="1"/>
  <c r="V221" i="1" s="1"/>
  <c r="E243" i="1"/>
  <c r="S246" i="1"/>
  <c r="T246" i="1" s="1"/>
  <c r="V246" i="1" s="1"/>
  <c r="E250" i="1"/>
  <c r="E277" i="1"/>
  <c r="B225" i="1"/>
  <c r="D225" i="1" s="1"/>
  <c r="D228" i="1"/>
  <c r="D226" i="1"/>
  <c r="S243" i="1"/>
  <c r="T243" i="1" s="1"/>
  <c r="V243" i="1" s="1"/>
  <c r="E266" i="1"/>
  <c r="E251" i="1"/>
  <c r="E215" i="1"/>
  <c r="V263" i="1"/>
  <c r="S215" i="1"/>
  <c r="T215" i="1" s="1"/>
  <c r="V215" i="1" s="1"/>
  <c r="S240" i="1"/>
  <c r="T240" i="1" s="1"/>
  <c r="E263" i="1"/>
  <c r="E216" i="1"/>
  <c r="Q296" i="1"/>
  <c r="S296" i="1" s="1"/>
  <c r="T296" i="1" s="1"/>
  <c r="Q293" i="1"/>
  <c r="S293" i="1" s="1"/>
  <c r="T293" i="1" s="1"/>
  <c r="Q290" i="1"/>
  <c r="S290" i="1" s="1"/>
  <c r="T290" i="1" s="1"/>
  <c r="V290" i="1" s="1"/>
  <c r="Q287" i="1"/>
  <c r="S287" i="1" s="1"/>
  <c r="T287" i="1" s="1"/>
  <c r="V287" i="1" s="1"/>
  <c r="Q284" i="1"/>
  <c r="S284" i="1" s="1"/>
  <c r="T284" i="1" s="1"/>
  <c r="V284" i="1" s="1"/>
  <c r="Q281" i="1"/>
  <c r="S281" i="1" s="1"/>
  <c r="T281" i="1" s="1"/>
  <c r="Q278" i="1"/>
  <c r="S278" i="1" s="1"/>
  <c r="T278" i="1" s="1"/>
  <c r="Q275" i="1"/>
  <c r="S275" i="1" s="1"/>
  <c r="T275" i="1" s="1"/>
  <c r="V275" i="1" s="1"/>
  <c r="Q272" i="1"/>
  <c r="S272" i="1" s="1"/>
  <c r="T272" i="1" s="1"/>
  <c r="Q269" i="1"/>
  <c r="S269" i="1" s="1"/>
  <c r="T269" i="1" s="1"/>
  <c r="Q266" i="1"/>
  <c r="S266" i="1" s="1"/>
  <c r="T266" i="1" s="1"/>
  <c r="V266" i="1" s="1"/>
  <c r="Q263" i="1"/>
  <c r="S263" i="1" s="1"/>
  <c r="T263" i="1" s="1"/>
  <c r="Q260" i="1"/>
  <c r="S260" i="1" s="1"/>
  <c r="T260" i="1" s="1"/>
  <c r="V260" i="1" s="1"/>
  <c r="Q257" i="1"/>
  <c r="S257" i="1" s="1"/>
  <c r="T257" i="1" s="1"/>
  <c r="V257" i="1" s="1"/>
  <c r="Q254" i="1"/>
  <c r="S254" i="1" s="1"/>
  <c r="T254" i="1" s="1"/>
  <c r="Q251" i="1"/>
  <c r="S251" i="1" s="1"/>
  <c r="T251" i="1" s="1"/>
  <c r="V251" i="1" s="1"/>
  <c r="Q248" i="1"/>
  <c r="S248" i="1" s="1"/>
  <c r="T248" i="1" s="1"/>
  <c r="V248" i="1" s="1"/>
  <c r="Q245" i="1"/>
  <c r="S245" i="1" s="1"/>
  <c r="T245" i="1" s="1"/>
  <c r="Q242" i="1"/>
  <c r="S242" i="1" s="1"/>
  <c r="T242" i="1" s="1"/>
  <c r="V242" i="1" s="1"/>
  <c r="Q239" i="1"/>
  <c r="S239" i="1" s="1"/>
  <c r="T239" i="1" s="1"/>
  <c r="Q236" i="1"/>
  <c r="S236" i="1" s="1"/>
  <c r="T236" i="1" s="1"/>
  <c r="Q233" i="1"/>
  <c r="S233" i="1" s="1"/>
  <c r="T233" i="1" s="1"/>
  <c r="V233" i="1" s="1"/>
  <c r="I191" i="1"/>
  <c r="K91" i="1" s="1"/>
  <c r="I179" i="1"/>
  <c r="K79" i="1" s="1"/>
  <c r="I167" i="1"/>
  <c r="K67" i="1" s="1"/>
  <c r="I155" i="1"/>
  <c r="K55" i="1" s="1"/>
  <c r="I143" i="1"/>
  <c r="K43" i="1" s="1"/>
  <c r="B132" i="1"/>
  <c r="Q291" i="1"/>
  <c r="S291" i="1" s="1"/>
  <c r="T291" i="1" s="1"/>
  <c r="Q285" i="1"/>
  <c r="S285" i="1" s="1"/>
  <c r="T285" i="1" s="1"/>
  <c r="Q295" i="1"/>
  <c r="S295" i="1" s="1"/>
  <c r="T295" i="1" s="1"/>
  <c r="V295" i="1" s="1"/>
  <c r="Q289" i="1"/>
  <c r="S289" i="1" s="1"/>
  <c r="T289" i="1" s="1"/>
  <c r="Q283" i="1"/>
  <c r="S283" i="1" s="1"/>
  <c r="T283" i="1" s="1"/>
  <c r="Q274" i="1"/>
  <c r="S274" i="1" s="1"/>
  <c r="T274" i="1" s="1"/>
  <c r="Q265" i="1"/>
  <c r="S265" i="1" s="1"/>
  <c r="T265" i="1" s="1"/>
  <c r="Q256" i="1"/>
  <c r="S256" i="1" s="1"/>
  <c r="T256" i="1" s="1"/>
  <c r="Q247" i="1"/>
  <c r="S247" i="1" s="1"/>
  <c r="T247" i="1" s="1"/>
  <c r="Q238" i="1"/>
  <c r="S238" i="1" s="1"/>
  <c r="T238" i="1" s="1"/>
  <c r="I193" i="1"/>
  <c r="K93" i="1" s="1"/>
  <c r="I180" i="1"/>
  <c r="K80" i="1" s="1"/>
  <c r="I166" i="1"/>
  <c r="K66" i="1" s="1"/>
  <c r="I153" i="1"/>
  <c r="K53" i="1" s="1"/>
  <c r="I140" i="1"/>
  <c r="K40" i="1" s="1"/>
  <c r="Q279" i="1"/>
  <c r="Q270" i="1"/>
  <c r="Q261" i="1"/>
  <c r="Q252" i="1"/>
  <c r="Q243" i="1"/>
  <c r="Q234" i="1"/>
  <c r="I190" i="1"/>
  <c r="K90" i="1" s="1"/>
  <c r="I177" i="1"/>
  <c r="K77" i="1" s="1"/>
  <c r="I164" i="1"/>
  <c r="K64" i="1" s="1"/>
  <c r="I151" i="1"/>
  <c r="K51" i="1" s="1"/>
  <c r="I138" i="1"/>
  <c r="K38" i="1" s="1"/>
  <c r="Q267" i="1"/>
  <c r="S267" i="1" s="1"/>
  <c r="T267" i="1" s="1"/>
  <c r="I192" i="1"/>
  <c r="K92" i="1" s="1"/>
  <c r="I175" i="1"/>
  <c r="K75" i="1" s="1"/>
  <c r="I160" i="1"/>
  <c r="K60" i="1" s="1"/>
  <c r="I145" i="1"/>
  <c r="K45" i="1" s="1"/>
  <c r="I188" i="1"/>
  <c r="K88" i="1" s="1"/>
  <c r="I158" i="1"/>
  <c r="K58" i="1" s="1"/>
  <c r="I184" i="1"/>
  <c r="K84" i="1" s="1"/>
  <c r="I152" i="1"/>
  <c r="K52" i="1" s="1"/>
  <c r="I150" i="1"/>
  <c r="K50" i="1" s="1"/>
  <c r="Q288" i="1"/>
  <c r="S288" i="1" s="1"/>
  <c r="T288" i="1" s="1"/>
  <c r="V288" i="1" s="1"/>
  <c r="Q258" i="1"/>
  <c r="S258" i="1" s="1"/>
  <c r="T258" i="1" s="1"/>
  <c r="I189" i="1"/>
  <c r="K89" i="1" s="1"/>
  <c r="I174" i="1"/>
  <c r="K74" i="1" s="1"/>
  <c r="I159" i="1"/>
  <c r="K59" i="1" s="1"/>
  <c r="I144" i="1"/>
  <c r="K44" i="1" s="1"/>
  <c r="Q276" i="1"/>
  <c r="Q249" i="1"/>
  <c r="S249" i="1" s="1"/>
  <c r="T249" i="1" s="1"/>
  <c r="I173" i="1"/>
  <c r="K73" i="1" s="1"/>
  <c r="I142" i="1"/>
  <c r="K42" i="1" s="1"/>
  <c r="Q231" i="1"/>
  <c r="S231" i="1" s="1"/>
  <c r="T231" i="1" s="1"/>
  <c r="I185" i="1"/>
  <c r="K85" i="1" s="1"/>
  <c r="I170" i="1"/>
  <c r="K70" i="1" s="1"/>
  <c r="I154" i="1"/>
  <c r="K54" i="1" s="1"/>
  <c r="I137" i="1"/>
  <c r="K37" i="1" s="1"/>
  <c r="Q292" i="1"/>
  <c r="S292" i="1" s="1"/>
  <c r="T292" i="1" s="1"/>
  <c r="V292" i="1" s="1"/>
  <c r="Q264" i="1"/>
  <c r="Q240" i="1"/>
  <c r="I187" i="1"/>
  <c r="K87" i="1" s="1"/>
  <c r="I172" i="1"/>
  <c r="K72" i="1" s="1"/>
  <c r="I157" i="1"/>
  <c r="K57" i="1" s="1"/>
  <c r="I141" i="1"/>
  <c r="K41" i="1" s="1"/>
  <c r="Q273" i="1"/>
  <c r="S273" i="1" s="1"/>
  <c r="T273" i="1" s="1"/>
  <c r="V273" i="1" s="1"/>
  <c r="Q271" i="1"/>
  <c r="S271" i="1" s="1"/>
  <c r="T271" i="1" s="1"/>
  <c r="V271" i="1" s="1"/>
  <c r="Q262" i="1"/>
  <c r="S262" i="1" s="1"/>
  <c r="T262" i="1" s="1"/>
  <c r="V262" i="1" s="1"/>
  <c r="Q255" i="1"/>
  <c r="S255" i="1" s="1"/>
  <c r="T255" i="1" s="1"/>
  <c r="V255" i="1" s="1"/>
  <c r="I186" i="1"/>
  <c r="K86" i="1" s="1"/>
  <c r="I171" i="1"/>
  <c r="K71" i="1" s="1"/>
  <c r="I156" i="1"/>
  <c r="K56" i="1" s="1"/>
  <c r="I139" i="1"/>
  <c r="K39" i="1" s="1"/>
  <c r="Q253" i="1"/>
  <c r="S253" i="1" s="1"/>
  <c r="T253" i="1" s="1"/>
  <c r="V253" i="1" s="1"/>
  <c r="Q246" i="1"/>
  <c r="Q282" i="1"/>
  <c r="Q280" i="1"/>
  <c r="S280" i="1" s="1"/>
  <c r="T280" i="1" s="1"/>
  <c r="V280" i="1" s="1"/>
  <c r="Q268" i="1"/>
  <c r="S268" i="1" s="1"/>
  <c r="T268" i="1" s="1"/>
  <c r="V268" i="1" s="1"/>
  <c r="Q244" i="1"/>
  <c r="S244" i="1" s="1"/>
  <c r="T244" i="1" s="1"/>
  <c r="V244" i="1" s="1"/>
  <c r="Q237" i="1"/>
  <c r="I169" i="1"/>
  <c r="K69" i="1" s="1"/>
  <c r="I136" i="1"/>
  <c r="K36" i="1" s="1"/>
  <c r="Q259" i="1"/>
  <c r="S259" i="1" s="1"/>
  <c r="T259" i="1" s="1"/>
  <c r="V259" i="1" s="1"/>
  <c r="Q235" i="1"/>
  <c r="S235" i="1" s="1"/>
  <c r="T235" i="1" s="1"/>
  <c r="I198" i="1"/>
  <c r="K98" i="1" s="1"/>
  <c r="I183" i="1"/>
  <c r="K83" i="1" s="1"/>
  <c r="I168" i="1"/>
  <c r="K68" i="1" s="1"/>
  <c r="I135" i="1"/>
  <c r="K35" i="1" s="1"/>
  <c r="Q277" i="1"/>
  <c r="S277" i="1" s="1"/>
  <c r="T277" i="1" s="1"/>
  <c r="V277" i="1" s="1"/>
  <c r="Q250" i="1"/>
  <c r="S250" i="1" s="1"/>
  <c r="T250" i="1" s="1"/>
  <c r="V250" i="1" s="1"/>
  <c r="I182" i="1"/>
  <c r="K82" i="1" s="1"/>
  <c r="I176" i="1"/>
  <c r="K76" i="1" s="1"/>
  <c r="S212" i="1"/>
  <c r="T212" i="1" s="1"/>
  <c r="E223" i="1"/>
  <c r="E233" i="1"/>
  <c r="E241" i="1"/>
  <c r="E248" i="1"/>
  <c r="S252" i="1"/>
  <c r="T252" i="1" s="1"/>
  <c r="V252" i="1" s="1"/>
  <c r="E275" i="1"/>
  <c r="S279" i="1"/>
  <c r="T279" i="1" s="1"/>
  <c r="V279" i="1" s="1"/>
  <c r="E221" i="1"/>
  <c r="E261" i="1"/>
  <c r="E290" i="1"/>
  <c r="V239" i="1"/>
  <c r="E239" i="1"/>
  <c r="Q208" i="1"/>
  <c r="S208" i="1" s="1"/>
  <c r="T208" i="1" s="1"/>
  <c r="V208" i="1" s="1"/>
  <c r="I110" i="1"/>
  <c r="K10" i="1" s="1"/>
  <c r="S282" i="1"/>
  <c r="T282" i="1" s="1"/>
  <c r="V282" i="1" s="1"/>
  <c r="Q219" i="1"/>
  <c r="S219" i="1" s="1"/>
  <c r="T219" i="1" s="1"/>
  <c r="V219" i="1" s="1"/>
  <c r="Q216" i="1"/>
  <c r="S216" i="1" s="1"/>
  <c r="T216" i="1" s="1"/>
  <c r="V216" i="1" s="1"/>
  <c r="Q213" i="1"/>
  <c r="S213" i="1" s="1"/>
  <c r="T213" i="1" s="1"/>
  <c r="I115" i="1"/>
  <c r="K15" i="1" s="1"/>
  <c r="Q215" i="1"/>
  <c r="Q211" i="1"/>
  <c r="S211" i="1" s="1"/>
  <c r="T211" i="1" s="1"/>
  <c r="V211" i="1" s="1"/>
  <c r="I120" i="1"/>
  <c r="K20" i="1" s="1"/>
  <c r="I121" i="1"/>
  <c r="K21" i="1" s="1"/>
  <c r="I117" i="1"/>
  <c r="K17" i="1" s="1"/>
  <c r="Q214" i="1"/>
  <c r="S214" i="1" s="1"/>
  <c r="T214" i="1" s="1"/>
  <c r="V214" i="1" s="1"/>
  <c r="I116" i="1"/>
  <c r="K16" i="1" s="1"/>
  <c r="I114" i="1"/>
  <c r="K14" i="1" s="1"/>
  <c r="Q218" i="1"/>
  <c r="S218" i="1" s="1"/>
  <c r="T218" i="1" s="1"/>
  <c r="Q212" i="1"/>
  <c r="I119" i="1"/>
  <c r="K19" i="1" s="1"/>
  <c r="I118" i="1"/>
  <c r="K18" i="1" s="1"/>
  <c r="E252" i="1"/>
  <c r="E279" i="1"/>
  <c r="E209" i="1"/>
  <c r="V209" i="1"/>
  <c r="E288" i="1"/>
  <c r="Q241" i="1"/>
  <c r="S241" i="1" s="1"/>
  <c r="T241" i="1" s="1"/>
  <c r="V241" i="1" s="1"/>
  <c r="E294" i="1"/>
  <c r="E208" i="1"/>
  <c r="Q205" i="1"/>
  <c r="I113" i="1"/>
  <c r="K13" i="1" s="1"/>
  <c r="V213" i="1"/>
  <c r="S237" i="1"/>
  <c r="T237" i="1" s="1"/>
  <c r="V237" i="1" s="1"/>
  <c r="S264" i="1"/>
  <c r="T264" i="1" s="1"/>
  <c r="V264" i="1" s="1"/>
  <c r="V272" i="1"/>
  <c r="E284" i="1"/>
  <c r="I107" i="1"/>
  <c r="K7" i="1" s="1"/>
  <c r="I134" i="1"/>
  <c r="K34" i="1" s="1"/>
  <c r="I194" i="1"/>
  <c r="K94" i="1" s="1"/>
  <c r="E213" i="1"/>
  <c r="Q217" i="1"/>
  <c r="S217" i="1" s="1"/>
  <c r="T217" i="1" s="1"/>
  <c r="V217" i="1" s="1"/>
  <c r="D227" i="1"/>
  <c r="S234" i="1"/>
  <c r="T234" i="1" s="1"/>
  <c r="E242" i="1"/>
  <c r="E257" i="1"/>
  <c r="E272" i="1"/>
  <c r="S276" i="1"/>
  <c r="T276" i="1" s="1"/>
  <c r="E289" i="1"/>
  <c r="V289" i="1"/>
  <c r="S223" i="1"/>
  <c r="T223" i="1" s="1"/>
  <c r="V223" i="1" s="1"/>
  <c r="S261" i="1"/>
  <c r="T261" i="1" s="1"/>
  <c r="V261" i="1" s="1"/>
  <c r="Q226" i="1"/>
  <c r="S226" i="1" s="1"/>
  <c r="T226" i="1" s="1"/>
  <c r="I129" i="1"/>
  <c r="K29" i="1" s="1"/>
  <c r="Q227" i="1"/>
  <c r="S227" i="1" s="1"/>
  <c r="T227" i="1" s="1"/>
  <c r="E237" i="1"/>
  <c r="I128" i="1"/>
  <c r="K28" i="1" s="1"/>
  <c r="D212" i="1"/>
  <c r="D218" i="1"/>
  <c r="D220" i="1"/>
  <c r="E264" i="1"/>
  <c r="D278" i="1"/>
  <c r="D285" i="1"/>
  <c r="D293" i="1"/>
  <c r="I130" i="1"/>
  <c r="K30" i="1" s="1"/>
  <c r="R297" i="1"/>
  <c r="V235" i="1"/>
  <c r="E259" i="1"/>
  <c r="E270" i="1"/>
  <c r="S294" i="1"/>
  <c r="T294" i="1" s="1"/>
  <c r="V294" i="1" s="1"/>
  <c r="C298" i="1"/>
  <c r="E268" i="1"/>
  <c r="E246" i="1"/>
  <c r="D276" i="1"/>
  <c r="D267" i="1"/>
  <c r="D258" i="1"/>
  <c r="D249" i="1"/>
  <c r="D240" i="1"/>
  <c r="D231" i="1"/>
  <c r="D236" i="1"/>
  <c r="D238" i="1"/>
  <c r="D269" i="1"/>
  <c r="D283" i="1"/>
  <c r="B230" i="1"/>
  <c r="D230" i="1" s="1"/>
  <c r="D234" i="1"/>
  <c r="D245" i="1"/>
  <c r="D247" i="1"/>
  <c r="D281" i="1"/>
  <c r="E292" i="1"/>
  <c r="S270" i="1"/>
  <c r="T270" i="1" s="1"/>
  <c r="V270" i="1" s="1"/>
  <c r="B127" i="1"/>
  <c r="D205" i="1"/>
  <c r="Q228" i="1"/>
  <c r="S228" i="1" s="1"/>
  <c r="T228" i="1" s="1"/>
  <c r="B122" i="1"/>
  <c r="D232" i="1"/>
  <c r="D254" i="1"/>
  <c r="D256" i="1"/>
  <c r="D274" i="1"/>
  <c r="D286" i="1"/>
  <c r="D291" i="1"/>
  <c r="D229" i="1"/>
  <c r="E232" i="1" l="1"/>
  <c r="V232" i="1"/>
  <c r="E236" i="1"/>
  <c r="V236" i="1"/>
  <c r="V278" i="1"/>
  <c r="E278" i="1"/>
  <c r="Q220" i="1"/>
  <c r="S220" i="1" s="1"/>
  <c r="T220" i="1" s="1"/>
  <c r="V220" i="1" s="1"/>
  <c r="I122" i="1"/>
  <c r="K22" i="1" s="1"/>
  <c r="V231" i="1"/>
  <c r="E231" i="1"/>
  <c r="E245" i="1"/>
  <c r="V245" i="1"/>
  <c r="V240" i="1"/>
  <c r="E240" i="1"/>
  <c r="E220" i="1"/>
  <c r="V291" i="1"/>
  <c r="E291" i="1"/>
  <c r="E230" i="1"/>
  <c r="V258" i="1"/>
  <c r="E258" i="1"/>
  <c r="E212" i="1"/>
  <c r="V212" i="1"/>
  <c r="V205" i="1"/>
  <c r="E205" i="1"/>
  <c r="V267" i="1"/>
  <c r="E267" i="1"/>
  <c r="E286" i="1"/>
  <c r="V286" i="1"/>
  <c r="I127" i="1"/>
  <c r="K27" i="1" s="1"/>
  <c r="Q225" i="1"/>
  <c r="S225" i="1" s="1"/>
  <c r="T225" i="1" s="1"/>
  <c r="V225" i="1" s="1"/>
  <c r="V276" i="1"/>
  <c r="E276" i="1"/>
  <c r="B298" i="1"/>
  <c r="B310" i="1" s="1"/>
  <c r="B199" i="1"/>
  <c r="I199" i="1" s="1"/>
  <c r="K99" i="1" s="1"/>
  <c r="E274" i="1"/>
  <c r="V274" i="1"/>
  <c r="E283" i="1"/>
  <c r="V283" i="1"/>
  <c r="S205" i="1"/>
  <c r="T205" i="1" s="1"/>
  <c r="C311" i="1"/>
  <c r="E225" i="1"/>
  <c r="V234" i="1"/>
  <c r="E234" i="1"/>
  <c r="E218" i="1"/>
  <c r="V218" i="1"/>
  <c r="Q230" i="1"/>
  <c r="S230" i="1" s="1"/>
  <c r="T230" i="1" s="1"/>
  <c r="V230" i="1" s="1"/>
  <c r="I132" i="1"/>
  <c r="K32" i="1" s="1"/>
  <c r="E256" i="1"/>
  <c r="V256" i="1"/>
  <c r="E293" i="1"/>
  <c r="V293" i="1"/>
  <c r="E228" i="1"/>
  <c r="V228" i="1"/>
  <c r="E247" i="1"/>
  <c r="V247" i="1"/>
  <c r="E229" i="1"/>
  <c r="V229" i="1"/>
  <c r="V249" i="1"/>
  <c r="E249" i="1"/>
  <c r="V227" i="1"/>
  <c r="E227" i="1"/>
  <c r="E269" i="1"/>
  <c r="V269" i="1"/>
  <c r="V254" i="1"/>
  <c r="E254" i="1"/>
  <c r="E281" i="1"/>
  <c r="V281" i="1"/>
  <c r="E238" i="1"/>
  <c r="V238" i="1"/>
  <c r="C310" i="1"/>
  <c r="V285" i="1"/>
  <c r="E285" i="1"/>
  <c r="E226" i="1"/>
  <c r="V226" i="1"/>
  <c r="T297" i="1" l="1"/>
  <c r="A317" i="1" s="1"/>
  <c r="Q297" i="1"/>
  <c r="D298" i="1"/>
  <c r="E298" i="1" s="1"/>
  <c r="D310" i="1"/>
  <c r="V297" i="1"/>
  <c r="D317" i="1" s="1"/>
  <c r="B311" i="1" l="1"/>
  <c r="D311" i="1" s="1"/>
  <c r="S297" i="1"/>
  <c r="E3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Wilber Madriz</author>
    <author>Mickey Ampié</author>
  </authors>
  <commentList>
    <comment ref="U224" authorId="0" shapeId="0" xr:uid="{2D03B6B7-30A6-4CDB-9795-75CFD990AA7C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31" authorId="0" shapeId="0" xr:uid="{2718895D-5D45-4DA7-9E0E-7280196639F0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33" authorId="0" shapeId="0" xr:uid="{4DB822D1-C365-4A00-9C02-597D80F135C2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89" authorId="1" shapeId="0" xr:uid="{3CBBC7E9-F8A0-4C80-AF66-54148FFFBB96}">
      <text>
        <r>
          <rPr>
            <b/>
            <sz val="9"/>
            <color indexed="81"/>
            <rFont val="Tahoma"/>
            <family val="2"/>
          </rPr>
          <t>No hay Presupuesto</t>
        </r>
      </text>
    </comment>
    <comment ref="C317" authorId="0" shapeId="0" xr:uid="{C1C9FC38-13B7-476D-8975-49EA418B8626}">
      <text>
        <r>
          <rPr>
            <b/>
            <sz val="9"/>
            <color indexed="81"/>
            <rFont val="Tahoma"/>
            <family val="2"/>
          </rPr>
          <t>47k. Monitoreo + 68k. AMPM86</t>
        </r>
      </text>
    </comment>
    <comment ref="D317" authorId="0" shapeId="0" xr:uid="{CC6D9610-A4F6-465B-8719-34441A9FDAF9}">
      <text>
        <r>
          <rPr>
            <b/>
            <sz val="9"/>
            <color indexed="81"/>
            <rFont val="Tahoma"/>
            <family val="2"/>
          </rPr>
          <t>Este mes nos cobraron 33 dias en muchas tiendas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<sst xmlns="http://schemas.openxmlformats.org/spreadsheetml/2006/main" count="484" uniqueCount="145">
  <si>
    <t>NOMBRE</t>
  </si>
  <si>
    <t>Energia Electrica</t>
  </si>
  <si>
    <t>Suma de Saldo</t>
  </si>
  <si>
    <t>Etiquetas de columna</t>
  </si>
  <si>
    <t>2025</t>
  </si>
  <si>
    <t>2026</t>
  </si>
  <si>
    <t>Total general</t>
  </si>
  <si>
    <t>Comentario</t>
  </si>
  <si>
    <t>Etiquetas de fila</t>
  </si>
  <si>
    <t>dic</t>
  </si>
  <si>
    <t>ene</t>
  </si>
  <si>
    <t>feb</t>
  </si>
  <si>
    <t>mar</t>
  </si>
  <si>
    <t>abr</t>
  </si>
  <si>
    <t>may</t>
  </si>
  <si>
    <t>jun</t>
  </si>
  <si>
    <t>Delta LM- Montos</t>
  </si>
  <si>
    <t>Delta LM-KWH x dia</t>
  </si>
  <si>
    <t>ADMINISTRACION</t>
  </si>
  <si>
    <t>CEDI</t>
  </si>
  <si>
    <t xml:space="preserve">Aumento en el consumo de Energia 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</si>
  <si>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</si>
  <si>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</si>
  <si>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</si>
  <si>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</si>
  <si>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</si>
  <si>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</si>
  <si>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</si>
  <si>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</si>
  <si>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</si>
  <si>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</si>
  <si>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</si>
  <si>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</si>
  <si>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</si>
  <si>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</si>
  <si>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</si>
  <si>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</si>
  <si>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</si>
  <si>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</si>
  <si>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</si>
  <si>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</si>
  <si>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</si>
  <si>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</si>
  <si>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</si>
  <si>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</si>
  <si>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</si>
  <si>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</si>
  <si>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</si>
  <si>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</si>
  <si>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</si>
  <si>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</si>
  <si>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</si>
  <si>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</si>
  <si>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</si>
  <si>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</si>
  <si>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</si>
  <si>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</si>
  <si>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</si>
  <si>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</si>
  <si>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</si>
  <si>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</si>
  <si>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</si>
  <si>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</si>
  <si>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</si>
  <si>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</si>
  <si>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</si>
  <si>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</si>
  <si>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</si>
  <si>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</si>
  <si>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</si>
  <si>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</si>
  <si>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</si>
  <si>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</si>
  <si>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</si>
  <si>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</si>
  <si>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</si>
  <si>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</si>
  <si>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</si>
  <si>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</si>
  <si>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</si>
  <si>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</si>
  <si>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</si>
  <si>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</si>
  <si>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</si>
  <si>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</si>
  <si>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</si>
  <si>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</si>
  <si>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</si>
  <si>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</si>
  <si>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</si>
  <si>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</si>
  <si>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</si>
  <si>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</si>
  <si>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</si>
  <si>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</si>
  <si>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</si>
  <si>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</si>
  <si>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</si>
  <si>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</si>
  <si>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</si>
  <si>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</si>
  <si>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</si>
  <si>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</si>
  <si>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</si>
  <si>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</si>
  <si>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</si>
  <si>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</si>
  <si>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</si>
  <si>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</si>
  <si>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</si>
  <si>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</si>
  <si>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Tiendas</t>
  </si>
  <si>
    <t>Presupuesto</t>
  </si>
  <si>
    <t>Enero</t>
  </si>
  <si>
    <t>Febrero</t>
  </si>
  <si>
    <t>Marzo</t>
  </si>
  <si>
    <t>Abril</t>
  </si>
  <si>
    <t>Mayo</t>
  </si>
  <si>
    <t>Junio</t>
  </si>
  <si>
    <t>Delta KWH x Dias LM</t>
  </si>
  <si>
    <t>Total</t>
  </si>
  <si>
    <t xml:space="preserve">Presupuesto x Monto </t>
  </si>
  <si>
    <t xml:space="preserve">Presupuesto x KW Diarios </t>
  </si>
  <si>
    <t xml:space="preserve">Tiendas </t>
  </si>
  <si>
    <t>Diferencia</t>
  </si>
  <si>
    <t xml:space="preserve">Tarifas </t>
  </si>
  <si>
    <t xml:space="preserve">Aumento % Presupuesto </t>
  </si>
  <si>
    <t xml:space="preserve">Demanda + Areas Comunes + Tarifa </t>
  </si>
  <si>
    <t>Otras Variable</t>
  </si>
  <si>
    <t>6ONCE-01</t>
  </si>
  <si>
    <t xml:space="preserve">Total </t>
  </si>
  <si>
    <t>Tasas Energia T1AH</t>
  </si>
  <si>
    <t>Tasas Energia T1</t>
  </si>
  <si>
    <t>Diferencia T1AH vs T1</t>
  </si>
  <si>
    <t>Tasas Energia T1 A</t>
  </si>
  <si>
    <t>Diferencia T1AH vs T1A</t>
  </si>
  <si>
    <t xml:space="preserve">Cuentas </t>
  </si>
  <si>
    <t xml:space="preserve">Presupuesto </t>
  </si>
  <si>
    <t xml:space="preserve">Gastos </t>
  </si>
  <si>
    <t>Diferencias</t>
  </si>
  <si>
    <t>Montos</t>
  </si>
  <si>
    <t xml:space="preserve">KW </t>
  </si>
  <si>
    <t xml:space="preserve">Disminución % Presupuesto </t>
  </si>
  <si>
    <t>Energia de Monitoreo y AMPM89 No preupuestada</t>
  </si>
  <si>
    <t>Total detalle de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</si>
</sst>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theme="8" tint="-0.249977111117893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 style="thin">
        <color theme="8" tint="-0.249977111117893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164" fontId="2" fillId="0" borderId="0" xfId="0" applyNumberFormat="1" applyFont="1"/>
    <xf numFmtId="43" fontId="2" fillId="0" borderId="0" xfId="3" applyFont="1"/>
    <xf numFmtId="43" fontId="3" fillId="0" borderId="0" xfId="3" applyFont="1"/>
    <xf numFmtId="164" fontId="3" fillId="0" borderId="0" xfId="0" applyNumberFormat="1" applyFont="1"/>
    <xf numFmtId="164" fontId="2" fillId="2" borderId="0" xfId="0" applyNumberFormat="1" applyFont="1" applyFill="1"/>
    <xf numFmtId="164" fontId="4" fillId="2" borderId="1" xfId="0" applyNumberFormat="1" applyFont="1" applyFill="1" applyBorder="1"/>
    <xf numFmtId="0" fontId="2" fillId="0" borderId="0" xfId="0" applyFont="1"/>
    <xf numFmtId="164" fontId="4" fillId="2" borderId="1" xfId="0" applyNumberFormat="1" applyFont="1" applyFill="1" applyBorder="1" applyAlignment="1">
      <alignment horizontal="center"/>
    </xf>
    <xf numFmtId="43" fontId="4" fillId="3" borderId="2" xfId="3" applyFont="1" applyFill="1" applyBorder="1" applyAlignment="1">
      <alignment horizontal="center" wrapText="1"/>
    </xf>
    <xf numFmtId="0" fontId="3" fillId="0" borderId="0" xfId="0" applyFont="1"/>
    <xf numFmtId="43" fontId="2" fillId="0" borderId="0" xfId="3" applyFont="1" applyFill="1"/>
    <xf numFmtId="164" fontId="5" fillId="0" borderId="0" xfId="0" applyNumberFormat="1" applyFont="1" applyAlignment="1">
      <alignment horizontal="left"/>
    </xf>
    <xf numFmtId="165" fontId="5" fillId="0" borderId="0" xfId="0" applyNumberFormat="1" applyFont="1"/>
    <xf numFmtId="43" fontId="6" fillId="0" borderId="0" xfId="3" applyFont="1" applyFill="1"/>
    <xf numFmtId="164" fontId="6" fillId="0" borderId="0" xfId="0" applyNumberFormat="1" applyFont="1"/>
    <xf numFmtId="165" fontId="2" fillId="0" borderId="0" xfId="0" applyNumberFormat="1" applyFont="1"/>
    <xf numFmtId="43" fontId="2" fillId="0" borderId="0" xfId="1" applyFont="1"/>
    <xf numFmtId="0" fontId="7" fillId="0" borderId="0" xfId="0" applyFont="1"/>
    <xf numFmtId="43" fontId="5" fillId="0" borderId="0" xfId="3" applyFont="1" applyFill="1"/>
    <xf numFmtId="0" fontId="5" fillId="0" borderId="0" xfId="0" applyFont="1"/>
    <xf numFmtId="164" fontId="5" fillId="0" borderId="0" xfId="0" applyNumberFormat="1" applyFont="1"/>
    <xf numFmtId="43" fontId="3" fillId="0" borderId="0" xfId="3" applyFont="1" applyFill="1"/>
    <xf numFmtId="43" fontId="2" fillId="0" borderId="0" xfId="3" applyFont="1" applyBorder="1"/>
    <xf numFmtId="164" fontId="2" fillId="0" borderId="0" xfId="0" applyNumberFormat="1" applyFont="1" applyAlignment="1">
      <alignment horizontal="left"/>
    </xf>
    <xf numFmtId="43" fontId="2" fillId="0" borderId="0" xfId="3" applyFont="1" applyFill="1" applyBorder="1"/>
    <xf numFmtId="164" fontId="6" fillId="0" borderId="3" xfId="0" applyNumberFormat="1" applyFont="1" applyBorder="1"/>
    <xf numFmtId="43" fontId="3" fillId="0" borderId="0" xfId="3" applyFont="1" applyBorder="1"/>
    <xf numFmtId="43" fontId="7" fillId="3" borderId="1" xfId="3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 wrapText="1"/>
    </xf>
    <xf numFmtId="43" fontId="3" fillId="0" borderId="0" xfId="3" applyFont="1" applyFill="1" applyAlignment="1">
      <alignment horizontal="left"/>
    </xf>
    <xf numFmtId="165" fontId="8" fillId="4" borderId="0" xfId="3" applyNumberFormat="1" applyFont="1" applyFill="1"/>
    <xf numFmtId="165" fontId="8" fillId="0" borderId="0" xfId="3" applyNumberFormat="1" applyFont="1" applyFill="1"/>
    <xf numFmtId="2" fontId="2" fillId="0" borderId="0" xfId="3" applyNumberFormat="1" applyFont="1" applyFill="1"/>
    <xf numFmtId="165" fontId="8" fillId="5" borderId="0" xfId="3" applyNumberFormat="1" applyFont="1" applyFill="1"/>
    <xf numFmtId="43" fontId="3" fillId="5" borderId="0" xfId="3" applyFont="1" applyFill="1" applyAlignment="1">
      <alignment horizontal="left"/>
    </xf>
    <xf numFmtId="165" fontId="3" fillId="0" borderId="0" xfId="3" applyNumberFormat="1" applyFont="1" applyFill="1"/>
    <xf numFmtId="2" fontId="3" fillId="0" borderId="0" xfId="3" applyNumberFormat="1" applyFont="1" applyFill="1"/>
    <xf numFmtId="166" fontId="3" fillId="0" borderId="0" xfId="3" applyNumberFormat="1" applyFont="1"/>
    <xf numFmtId="14" fontId="7" fillId="0" borderId="0" xfId="0" applyNumberFormat="1" applyFont="1"/>
    <xf numFmtId="14" fontId="4" fillId="0" borderId="0" xfId="0" applyNumberFormat="1" applyFont="1"/>
    <xf numFmtId="14" fontId="9" fillId="2" borderId="1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4" fontId="10" fillId="2" borderId="1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165" fontId="3" fillId="0" borderId="0" xfId="3" applyNumberFormat="1" applyFont="1" applyFill="1" applyBorder="1"/>
    <xf numFmtId="165" fontId="2" fillId="0" borderId="0" xfId="3" applyNumberFormat="1" applyFont="1" applyFill="1" applyBorder="1"/>
    <xf numFmtId="14" fontId="7" fillId="2" borderId="5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left"/>
    </xf>
    <xf numFmtId="165" fontId="3" fillId="0" borderId="0" xfId="3" applyNumberFormat="1" applyFont="1"/>
    <xf numFmtId="9" fontId="3" fillId="0" borderId="0" xfId="2" applyFont="1"/>
    <xf numFmtId="165" fontId="2" fillId="0" borderId="0" xfId="3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5" fontId="2" fillId="0" borderId="0" xfId="3" applyNumberFormat="1" applyFont="1" applyFill="1"/>
    <xf numFmtId="165" fontId="2" fillId="0" borderId="0" xfId="3" applyNumberFormat="1" applyFont="1"/>
    <xf numFmtId="165" fontId="11" fillId="0" borderId="0" xfId="3" applyNumberFormat="1" applyFont="1" applyFill="1"/>
    <xf numFmtId="165" fontId="12" fillId="0" borderId="0" xfId="3" applyNumberFormat="1" applyFont="1"/>
    <xf numFmtId="166" fontId="11" fillId="0" borderId="0" xfId="3" applyNumberFormat="1" applyFont="1" applyFill="1"/>
    <xf numFmtId="165" fontId="2" fillId="5" borderId="0" xfId="3" applyNumberFormat="1" applyFont="1" applyFill="1"/>
    <xf numFmtId="165" fontId="11" fillId="0" borderId="0" xfId="1" applyNumberFormat="1" applyFont="1" applyFill="1"/>
    <xf numFmtId="43" fontId="3" fillId="0" borderId="0" xfId="3" applyFont="1" applyFill="1" applyBorder="1"/>
    <xf numFmtId="167" fontId="3" fillId="0" borderId="0" xfId="2" applyNumberFormat="1" applyFont="1" applyFill="1" applyBorder="1"/>
    <xf numFmtId="167" fontId="3" fillId="0" borderId="0" xfId="2" applyNumberFormat="1" applyFont="1" applyFill="1"/>
    <xf numFmtId="43" fontId="3" fillId="0" borderId="6" xfId="1" applyFont="1" applyBorder="1" applyAlignment="1">
      <alignment horizontal="left"/>
    </xf>
    <xf numFmtId="167" fontId="3" fillId="0" borderId="0" xfId="2" applyNumberFormat="1" applyFont="1"/>
    <xf numFmtId="168" fontId="3" fillId="0" borderId="0" xfId="3" applyNumberFormat="1" applyFont="1"/>
    <xf numFmtId="43" fontId="3" fillId="0" borderId="0" xfId="3" applyFont="1" applyBorder="1" applyAlignment="1">
      <alignment horizontal="center"/>
    </xf>
    <xf numFmtId="165" fontId="3" fillId="0" borderId="0" xfId="3" applyNumberFormat="1" applyFont="1" applyBorder="1"/>
    <xf numFmtId="43" fontId="3" fillId="0" borderId="7" xfId="3" applyFont="1" applyBorder="1" applyAlignment="1">
      <alignment horizontal="left"/>
    </xf>
    <xf numFmtId="43" fontId="3" fillId="0" borderId="7" xfId="3" applyFont="1" applyBorder="1" applyAlignment="1">
      <alignment horizontal="center"/>
    </xf>
    <xf numFmtId="43" fontId="3" fillId="0" borderId="7" xfId="3" applyFont="1" applyBorder="1" applyAlignment="1"/>
    <xf numFmtId="165" fontId="12" fillId="0" borderId="7" xfId="3" applyNumberFormat="1" applyFont="1" applyBorder="1" applyAlignment="1">
      <alignment horizontal="center"/>
    </xf>
    <xf numFmtId="165" fontId="3" fillId="0" borderId="7" xfId="3" applyNumberFormat="1" applyFont="1" applyBorder="1"/>
    <xf numFmtId="165" fontId="12" fillId="0" borderId="7" xfId="3" applyNumberFormat="1" applyFont="1" applyBorder="1"/>
    <xf numFmtId="43" fontId="3" fillId="0" borderId="7" xfId="3" applyFont="1" applyBorder="1"/>
    <xf numFmtId="43" fontId="3" fillId="0" borderId="7" xfId="3" applyFont="1" applyBorder="1" applyAlignment="1">
      <alignment horizontal="center" wrapText="1"/>
    </xf>
    <xf numFmtId="165" fontId="2" fillId="0" borderId="7" xfId="3" applyNumberFormat="1" applyFont="1" applyBorder="1"/>
    <xf numFmtId="166" fontId="2" fillId="0" borderId="7" xfId="3" applyNumberFormat="1" applyFont="1" applyBorder="1"/>
    <xf numFmtId="166" fontId="3" fillId="0" borderId="0" xfId="3" applyNumberFormat="1" applyFont="1" applyAlignment="1">
      <alignment horizontal="left"/>
    </xf>
    <xf numFmtId="166" fontId="3" fillId="0" borderId="0" xfId="3" applyNumberFormat="1" applyFont="1" applyAlignment="1">
      <alignment wrapText="1"/>
    </xf>
    <xf numFmtId="166" fontId="3" fillId="0" borderId="0" xfId="3" applyNumberFormat="1" applyFont="1" applyAlignment="1">
      <alignment vertical="center" wrapText="1"/>
    </xf>
    <xf numFmtId="43" fontId="3" fillId="0" borderId="0" xfId="3" applyFont="1" applyAlignment="1">
      <alignment horizontal="center"/>
    </xf>
    <xf numFmtId="164" fontId="2" fillId="0" borderId="0" xfId="0" pivotButton="1" applyNumberFormat="1" applyFont="1"/>
    <xf numFmtId="164" fontId="2" fillId="2" borderId="0" xfId="0" pivotButton="1" applyNumberFormat="1" applyFont="1" applyFill="1"/>
  </cellXfs>
  <cellStyles count="4">
    <cellStyle name="Millares" xfId="1" builtinId="3"/>
    <cellStyle name="Millares 10 10" xfId="3" xr:uid="{3BA461AE-1B69-4A7A-9795-6AE06FA7D815}"/>
    <cellStyle name="Normal" xfId="0" builtinId="0"/>
    <cellStyle name="Porcentaje" xfId="2" builtinId="5"/>
  </cellStyles>
  <dxfs count="187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</dxf>
    <dxf>
      <font>
        <color auto="1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99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fgColor rgb="FF009900"/>
        </patternFill>
      </fill>
    </dxf>
    <dxf>
      <fill>
        <patternFill>
          <fgColor rgb="FF0099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stado de Resultado Financier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2916381</xdr:colOff>
      <xdr:row>8</xdr:row>
      <xdr:rowOff>62115</xdr:rowOff>
    </xdr:from>
    <xdr:to>
      <xdr:col>13</xdr:col>
      <xdr:colOff>45720</xdr:colOff>
      <xdr:row>13</xdr:row>
      <xdr:rowOff>7620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5525A-CCA4-41FD-A2A6-88FECEB70A47}"/>
            </a:ext>
          </a:extLst>
        </xdr:cNvPr>
        <xdr:cNvSpPr/>
      </xdr:nvSpPr>
      <xdr:spPr>
        <a:xfrm>
          <a:off x="9461961" y="1098435"/>
          <a:ext cx="687879" cy="593205"/>
        </a:xfrm>
        <a:prstGeom prst="roundRect">
          <a:avLst/>
        </a:prstGeom>
        <a:solidFill>
          <a:srgbClr val="FF66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NI" sz="1000"/>
            <a:t>Estado</a:t>
          </a:r>
          <a:r>
            <a:rPr lang="es-NI" sz="1000" baseline="0"/>
            <a:t> de Resultado</a:t>
          </a:r>
          <a:r>
            <a:rPr lang="es-NI" sz="1100" baseline="0"/>
            <a:t>	|</a:t>
          </a:r>
          <a:endParaRPr lang="es-NI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EEFF%20Nic/Presupuesto/Presupuesto%202026/6.%20Presupuesto%20Jun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Presupuesto%20Oficiales/2025/3.%20Presupuesto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Planilla"/>
      <sheetName val="Viáticos"/>
      <sheetName val="Energía Eléctrica"/>
      <sheetName val="Alquiler de locales"/>
      <sheetName val="Mercadeo y publicidad"/>
      <sheetName val="Suministros"/>
      <sheetName val="Fletes y transportes"/>
      <sheetName val="Servicios generales"/>
      <sheetName val="Seguridad"/>
      <sheetName val="Mantenimiento"/>
      <sheetName val="Otros gastos"/>
    </sheetNames>
    <sheetDataSet>
      <sheetData sheetId="0"/>
      <sheetData sheetId="1">
        <row r="28">
          <cell r="CW28">
            <v>22132142.741515979</v>
          </cell>
        </row>
      </sheetData>
      <sheetData sheetId="2"/>
      <sheetData sheetId="3"/>
      <sheetData sheetId="4">
        <row r="10">
          <cell r="B10">
            <v>66296.347115093144</v>
          </cell>
          <cell r="C10">
            <v>60613.561670745265</v>
          </cell>
          <cell r="D10">
            <v>75825.00682488372</v>
          </cell>
          <cell r="E10">
            <v>64567.595360330924</v>
          </cell>
          <cell r="F10">
            <v>73297.780622844832</v>
          </cell>
          <cell r="G10">
            <v>82726.847145821754</v>
          </cell>
          <cell r="H10">
            <v>79564.319999999992</v>
          </cell>
          <cell r="I10">
            <v>56488.744157258057</v>
          </cell>
          <cell r="J10">
            <v>73869.241624026676</v>
          </cell>
          <cell r="K10">
            <v>67075.129431382084</v>
          </cell>
          <cell r="M10">
            <v>77571.454714408028</v>
          </cell>
          <cell r="N10">
            <v>73923.388251494718</v>
          </cell>
          <cell r="O10">
            <v>53402.22973852892</v>
          </cell>
          <cell r="P10">
            <v>50188.789017588992</v>
          </cell>
          <cell r="Q10">
            <v>66898.700764738576</v>
          </cell>
          <cell r="S10">
            <v>73437.312520416614</v>
          </cell>
          <cell r="T10">
            <v>58316.974599694106</v>
          </cell>
          <cell r="U10">
            <v>66292.97740795328</v>
          </cell>
          <cell r="V10">
            <v>62884.877604769179</v>
          </cell>
          <cell r="X10">
            <v>57583.648332835095</v>
          </cell>
          <cell r="Z10">
            <v>61670.031186665728</v>
          </cell>
          <cell r="AA10">
            <v>57697.273706176682</v>
          </cell>
          <cell r="AB10">
            <v>74911.500374999989</v>
          </cell>
          <cell r="AC10">
            <v>58963.932372810057</v>
          </cell>
          <cell r="AD10">
            <v>77505.860899993044</v>
          </cell>
          <cell r="AE10">
            <v>68327.536585094553</v>
          </cell>
          <cell r="AF10">
            <v>45045.72</v>
          </cell>
          <cell r="AG10">
            <v>62526.272770995551</v>
          </cell>
          <cell r="AH10">
            <v>81679.540166921564</v>
          </cell>
          <cell r="AI10">
            <v>87925.593324527232</v>
          </cell>
          <cell r="AJ10">
            <v>52374.920354977752</v>
          </cell>
          <cell r="AK10">
            <v>44067.198159889507</v>
          </cell>
          <cell r="AL10">
            <v>54121.221251216637</v>
          </cell>
          <cell r="AM10">
            <v>69166.293688994716</v>
          </cell>
          <cell r="AN10">
            <v>60454.253916129041</v>
          </cell>
          <cell r="AO10">
            <v>65756.88</v>
          </cell>
          <cell r="AP10">
            <v>68217.522146412666</v>
          </cell>
          <cell r="AQ10">
            <v>59780.898842388466</v>
          </cell>
          <cell r="AR10">
            <v>67019.420273046431</v>
          </cell>
          <cell r="AS10">
            <v>64517.897679539768</v>
          </cell>
          <cell r="AT10">
            <v>72768.379239002912</v>
          </cell>
          <cell r="AU10">
            <v>59908.174309058668</v>
          </cell>
          <cell r="AV10">
            <v>63936.762185831481</v>
          </cell>
          <cell r="AW10">
            <v>56205.442545140337</v>
          </cell>
          <cell r="AX10">
            <v>82485.070158578965</v>
          </cell>
          <cell r="AY10">
            <v>55296.211133238321</v>
          </cell>
          <cell r="AZ10">
            <v>73811.219999999987</v>
          </cell>
          <cell r="BA10">
            <v>58811.037660838425</v>
          </cell>
          <cell r="BB10">
            <v>55944.488525000008</v>
          </cell>
          <cell r="BC10">
            <v>74805.393596704656</v>
          </cell>
          <cell r="BD10">
            <v>72859.708695529756</v>
          </cell>
          <cell r="BE10">
            <v>56341.121376715026</v>
          </cell>
          <cell r="BF10">
            <v>61133.057854838713</v>
          </cell>
          <cell r="BG10">
            <v>63493.962669389592</v>
          </cell>
          <cell r="BH10">
            <v>48037.331999999995</v>
          </cell>
          <cell r="BI10">
            <v>69910.023051724143</v>
          </cell>
          <cell r="BJ10">
            <v>58806.936017310902</v>
          </cell>
          <cell r="BK10">
            <v>57242.291999999994</v>
          </cell>
          <cell r="BL10">
            <v>65033.662854560629</v>
          </cell>
          <cell r="BM10">
            <v>47346.96</v>
          </cell>
          <cell r="BN10">
            <v>86010.463767797541</v>
          </cell>
          <cell r="BO10">
            <v>68423.25224916212</v>
          </cell>
          <cell r="BP10">
            <v>69716.298954887374</v>
          </cell>
          <cell r="BQ10">
            <v>68208.246887096786</v>
          </cell>
          <cell r="BR10">
            <v>59276.403216073413</v>
          </cell>
          <cell r="BS10">
            <v>56569.587875746227</v>
          </cell>
          <cell r="BT10">
            <v>65128.814584955508</v>
          </cell>
          <cell r="BU10">
            <v>58162.788</v>
          </cell>
          <cell r="BV10">
            <v>65924.545428253623</v>
          </cell>
          <cell r="BW10">
            <v>56318.100321190206</v>
          </cell>
          <cell r="BX10">
            <v>56668.02990892659</v>
          </cell>
          <cell r="BY10">
            <v>51303.535803225808</v>
          </cell>
          <cell r="BZ10">
            <v>56860.262379555934</v>
          </cell>
          <cell r="CA10">
            <v>73849.376683815324</v>
          </cell>
          <cell r="CB10">
            <v>70928.098571120674</v>
          </cell>
          <cell r="CC10">
            <v>42744.480000000003</v>
          </cell>
          <cell r="CD10">
            <v>71587.341276557272</v>
          </cell>
          <cell r="CE10">
            <v>82588.172515016675</v>
          </cell>
          <cell r="CF10">
            <v>60803.358508898775</v>
          </cell>
          <cell r="CG10">
            <v>61357.502348442722</v>
          </cell>
          <cell r="CH10">
            <v>74731.715999999986</v>
          </cell>
          <cell r="CI10">
            <v>74731.715999999986</v>
          </cell>
          <cell r="CJ10">
            <v>66677.375999999989</v>
          </cell>
          <cell r="CK10">
            <v>66677.375999999989</v>
          </cell>
          <cell r="CL10">
            <v>74731.715999999986</v>
          </cell>
          <cell r="CM10">
            <v>65128.814584955508</v>
          </cell>
          <cell r="CN10">
            <v>77571.454714408028</v>
          </cell>
          <cell r="CP10">
            <v>616.88</v>
          </cell>
          <cell r="CQ10">
            <v>63600.139441601779</v>
          </cell>
          <cell r="CS10">
            <v>26736.900816532256</v>
          </cell>
          <cell r="CT10">
            <v>36502.244135483867</v>
          </cell>
          <cell r="CU10">
            <v>47895.091690767527</v>
          </cell>
        </row>
        <row r="25">
          <cell r="B25">
            <v>287.34424534204669</v>
          </cell>
          <cell r="C25">
            <v>262.64979606970707</v>
          </cell>
          <cell r="D25">
            <v>328.75087702666264</v>
          </cell>
          <cell r="E25">
            <v>279.83198345383761</v>
          </cell>
          <cell r="F25">
            <v>317.7688577586207</v>
          </cell>
          <cell r="G25">
            <v>358.74270891268077</v>
          </cell>
          <cell r="H25">
            <v>345</v>
          </cell>
          <cell r="I25">
            <v>244.72547043010752</v>
          </cell>
          <cell r="J25">
            <v>320.25213199851686</v>
          </cell>
          <cell r="K25">
            <v>290.72843089543937</v>
          </cell>
          <cell r="M25">
            <v>336.34003717303733</v>
          </cell>
          <cell r="N25">
            <v>320.48742526418243</v>
          </cell>
          <cell r="O25">
            <v>231.31307355394884</v>
          </cell>
          <cell r="P25">
            <v>217.34912055061179</v>
          </cell>
          <cell r="Q25">
            <v>289.96176307007784</v>
          </cell>
          <cell r="S25">
            <v>318.37519128998548</v>
          </cell>
          <cell r="T25">
            <v>252.67001529477199</v>
          </cell>
          <cell r="U25">
            <v>287.32960233592883</v>
          </cell>
          <cell r="V25">
            <v>272.51976154060065</v>
          </cell>
          <cell r="X25">
            <v>249.48335824527251</v>
          </cell>
          <cell r="Z25">
            <v>267.24066671301443</v>
          </cell>
          <cell r="AA25">
            <v>249.97711540811338</v>
          </cell>
          <cell r="AB25">
            <v>324.78125</v>
          </cell>
          <cell r="AC25">
            <v>255.48135949666295</v>
          </cell>
          <cell r="AD25">
            <v>336.05500034760843</v>
          </cell>
          <cell r="AE25">
            <v>296.17074527252504</v>
          </cell>
          <cell r="AF25">
            <v>195</v>
          </cell>
          <cell r="AG25">
            <v>270.96145022246941</v>
          </cell>
          <cell r="AH25">
            <v>354.19165392102332</v>
          </cell>
          <cell r="AI25">
            <v>381.33377363737486</v>
          </cell>
          <cell r="AJ25">
            <v>226.84891777901373</v>
          </cell>
          <cell r="AK25">
            <v>190.74784968056139</v>
          </cell>
          <cell r="AL25">
            <v>234.4374391685206</v>
          </cell>
          <cell r="AM25">
            <v>299.81555026418243</v>
          </cell>
          <cell r="AN25">
            <v>261.95752688172047</v>
          </cell>
          <cell r="AO25">
            <v>285</v>
          </cell>
          <cell r="AP25">
            <v>295.69267936596214</v>
          </cell>
          <cell r="AQ25">
            <v>259.0314736506773</v>
          </cell>
          <cell r="AR25">
            <v>290.48634767797552</v>
          </cell>
          <cell r="AS25">
            <v>279.61602301167966</v>
          </cell>
          <cell r="AT25">
            <v>315.46835288367549</v>
          </cell>
          <cell r="AU25">
            <v>259.58454706618465</v>
          </cell>
          <cell r="AV25">
            <v>277.09070842602893</v>
          </cell>
          <cell r="AW25">
            <v>243.49438800446862</v>
          </cell>
          <cell r="AX25">
            <v>357.69207105116794</v>
          </cell>
          <cell r="AY25">
            <v>239.54333808398221</v>
          </cell>
          <cell r="AZ25">
            <v>320</v>
          </cell>
          <cell r="BA25">
            <v>254.81695807842047</v>
          </cell>
          <cell r="BB25">
            <v>242.36041666666668</v>
          </cell>
          <cell r="BC25">
            <v>324.32016476640712</v>
          </cell>
          <cell r="BD25">
            <v>315.86522351223584</v>
          </cell>
          <cell r="BE25">
            <v>244.08397810187125</v>
          </cell>
          <cell r="BF25">
            <v>264.90725806451616</v>
          </cell>
          <cell r="BG25">
            <v>275.16653052002221</v>
          </cell>
          <cell r="BH25">
            <v>208</v>
          </cell>
          <cell r="BI25">
            <v>303.04741379310349</v>
          </cell>
          <cell r="BJ25">
            <v>254.79913445494995</v>
          </cell>
          <cell r="BK25">
            <v>248</v>
          </cell>
          <cell r="BL25">
            <v>281.85727196885432</v>
          </cell>
          <cell r="BM25">
            <v>205</v>
          </cell>
          <cell r="BN25">
            <v>373.01161012235821</v>
          </cell>
          <cell r="BO25">
            <v>296.58667609272447</v>
          </cell>
          <cell r="BP25">
            <v>302.20558896459033</v>
          </cell>
          <cell r="BQ25">
            <v>295.12231182795699</v>
          </cell>
          <cell r="BR25">
            <v>256.83919632925472</v>
          </cell>
          <cell r="BS25">
            <v>245.0767754590839</v>
          </cell>
          <cell r="BT25">
            <v>282.27075222469409</v>
          </cell>
          <cell r="BU25">
            <v>252</v>
          </cell>
          <cell r="BV25">
            <v>285.72858731924362</v>
          </cell>
          <cell r="BW25">
            <v>243.98394048943271</v>
          </cell>
          <cell r="BX25">
            <v>245.50455367074528</v>
          </cell>
          <cell r="BY25">
            <v>221.66317204301077</v>
          </cell>
          <cell r="BZ25">
            <v>246.33989666247732</v>
          </cell>
          <cell r="CA25">
            <v>320.16580923248051</v>
          </cell>
          <cell r="CB25">
            <v>307.47144396551721</v>
          </cell>
          <cell r="CC25">
            <v>185</v>
          </cell>
          <cell r="CD25">
            <v>310.33617213570631</v>
          </cell>
          <cell r="CE25">
            <v>320.02855024100853</v>
          </cell>
          <cell r="CF25">
            <v>263.4745550611791</v>
          </cell>
          <cell r="CG25">
            <v>265.88257786429369</v>
          </cell>
          <cell r="CH25">
            <v>324</v>
          </cell>
          <cell r="CI25">
            <v>324</v>
          </cell>
          <cell r="CJ25">
            <v>289</v>
          </cell>
          <cell r="CK25">
            <v>289</v>
          </cell>
          <cell r="CL25">
            <v>324</v>
          </cell>
          <cell r="CM25">
            <v>282.27075222469409</v>
          </cell>
          <cell r="CN25">
            <v>336.34003717303733</v>
          </cell>
          <cell r="CP25">
            <v>2</v>
          </cell>
          <cell r="CQ25">
            <v>276</v>
          </cell>
          <cell r="CS25">
            <v>91</v>
          </cell>
          <cell r="CT25">
            <v>159</v>
          </cell>
          <cell r="CU25">
            <v>185</v>
          </cell>
        </row>
      </sheetData>
      <sheetData sheetId="5">
        <row r="15">
          <cell r="B15">
            <v>98702.488499999992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Mercadeo y Publicidad"/>
      <sheetName val="Back Office Variable"/>
      <sheetName val="Planilla Tiendas"/>
      <sheetName val="Resumen (2)"/>
      <sheetName val="Planilla"/>
      <sheetName val="Serv. Generales"/>
      <sheetName val="Planilla AMPM"/>
      <sheetName val="Planilla AMPM (2)"/>
      <sheetName val="Resumen"/>
      <sheetName val="SASA"/>
      <sheetName val="Planilla CA"/>
      <sheetName val="Alquiler de local"/>
      <sheetName val="Venta "/>
      <sheetName val="Estructura Salarial"/>
      <sheetName val="Estructura Salarial Variable"/>
      <sheetName val="Viatico de Alimentación y Trans"/>
      <sheetName val="Energia"/>
      <sheetName val="Suministros "/>
      <sheetName val="Fletes y Transporte "/>
      <sheetName val="Seguridad"/>
      <sheetName val="Mantenimiento"/>
      <sheetName val="Seguros"/>
      <sheetName val="Otros 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1">
          <cell r="B21">
            <v>6.7171250000000002</v>
          </cell>
          <cell r="C21">
            <v>7.6184000000000003</v>
          </cell>
          <cell r="D21">
            <v>8.6999999999999993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pmsa-my.sharepoint.com/personal/wilber_madriz_ampmcentroamerica_com/Documents/Documentos/Contabilidad%20Nic/EEFF%20Nic/EEFF%202026/0626%20JUNIO/NIC%20-%20202606%20EEFF%20ER%20AMP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207.562379166666" createdVersion="8" refreshedVersion="7" minRefreshableVersion="3" recordCount="1166" xr:uid="{68AFFC95-EC80-4F82-99EF-4D77718357C5}">
  <cacheSource type="worksheet">
    <worksheetSource name="Tabla7" r:id="rId2"/>
  </cacheSource>
  <cacheFields count="22">
    <cacheField name="PDA" numFmtId="0">
      <sharedItems containsSemiMixedTypes="0" containsString="0" containsNumber="1" containsInteger="1" minValue="2763198" maxValue="3394168"/>
    </cacheField>
    <cacheField name="FECHA" numFmtId="14">
      <sharedItems containsSemiMixedTypes="0" containsNonDate="0" containsDate="1" containsString="0" minDate="2025-12-01T00:00:00" maxDate="2026-07-01T00:00:00" count="56">
        <d v="2025-12-03T00:00:00"/>
        <d v="2025-12-01T00:00:00"/>
        <d v="2025-12-10T00:00:00"/>
        <d v="2025-12-06T00:00:00"/>
        <d v="2025-12-16T00:00:00"/>
        <d v="2025-12-15T00:00:00"/>
        <d v="2025-12-29T00:00:00"/>
        <d v="2025-12-31T00:00:00"/>
        <d v="2026-01-02T00:00:00"/>
        <d v="2026-01-01T00:00:00"/>
        <d v="2026-01-07T00:00:00"/>
        <d v="2026-01-12T00:00:00"/>
        <d v="2026-01-26T00:00:00"/>
        <d v="2026-01-16T00:00:00"/>
        <d v="2026-01-29T00:00:00"/>
        <d v="2026-01-31T00:00:00"/>
        <d v="2026-01-14T00:00:00"/>
        <d v="2026-02-03T00:00:00"/>
        <d v="2026-02-01T00:00:00"/>
        <d v="2026-02-09T00:00:00"/>
        <d v="2026-02-10T00:00:00"/>
        <d v="2026-02-23T00:00:00"/>
        <d v="2026-02-05T00:00:00"/>
        <d v="2026-02-28T00:00:00"/>
        <d v="2026-02-26T00:00:00"/>
        <d v="2026-02-25T00:00:00"/>
        <d v="2026-03-01T00:00:00"/>
        <d v="2026-03-09T00:00:00"/>
        <d v="2026-03-10T00:00:00"/>
        <d v="2026-03-31T00:00:00"/>
        <d v="2026-03-25T00:00:00"/>
        <d v="2026-03-24T00:00:00"/>
        <d v="2026-04-01T00:00:00"/>
        <d v="2026-04-09T00:00:00"/>
        <d v="2026-04-06T00:00:00"/>
        <d v="2026-04-13T00:00:00"/>
        <d v="2026-04-14T00:00:00"/>
        <d v="2026-04-28T00:00:00"/>
        <d v="2026-04-29T00:00:00"/>
        <d v="2026-04-30T00:00:00"/>
        <d v="2026-05-04T00:00:00"/>
        <d v="2026-05-01T00:00:00"/>
        <d v="2026-05-13T00:00:00"/>
        <d v="2026-05-12T00:00:00"/>
        <d v="2026-05-05T00:00:00"/>
        <d v="2026-05-06T00:00:00"/>
        <d v="2026-05-29T00:00:00"/>
        <d v="2026-05-31T00:00:00"/>
        <d v="2026-06-01T00:00:00"/>
        <d v="2026-06-04T00:00:00"/>
        <d v="2026-06-05T00:00:00"/>
        <d v="2026-06-08T00:00:00"/>
        <d v="2026-06-10T00:00:00"/>
        <d v="2026-06-16T00:00:00"/>
        <d v="2026-06-25T00:00:00"/>
        <d v="2026-06-30T00:00:00"/>
      </sharedItems>
      <fieldGroup par="21" base="1">
        <rangePr groupBy="months" startDate="2025-12-01T00:00:00" endDate="2026-07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7/2026"/>
        </groupItems>
      </fieldGroup>
    </cacheField>
    <cacheField name="CUENTA" numFmtId="0">
      <sharedItems/>
    </cacheField>
    <cacheField name="NOMBRE" numFmtId="0">
      <sharedItems count="1">
        <s v="Energia Electrica"/>
      </sharedItems>
    </cacheField>
    <cacheField name="DEBITO" numFmtId="164">
      <sharedItems containsSemiMixedTypes="0" containsString="0" containsNumber="1" minValue="0" maxValue="105976.69"/>
    </cacheField>
    <cacheField name="CREDITO" numFmtId="164">
      <sharedItems containsSemiMixedTypes="0" containsString="0" containsNumber="1" minValue="0" maxValue="96271.4"/>
    </cacheField>
    <cacheField name="SALDO" numFmtId="164">
      <sharedItems containsSemiMixedTypes="0" containsString="0" containsNumber="1" minValue="-96271.4" maxValue="105976.69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Blank="1" containsMixedTypes="1" containsNumber="1" containsInteger="1" minValue="100" maxValue="100"/>
    </cacheField>
    <cacheField name="C-COSTO" numFmtId="0">
      <sharedItems/>
    </cacheField>
    <cacheField name="COST-DESCRIPCION" numFmtId="0">
      <sharedItems count="92">
        <s v="PANADERIA"/>
        <s v="TIENDA-15"/>
        <s v="TIENDA-28"/>
        <s v="TIENDA-80"/>
        <s v="TIENDA-57"/>
        <s v="TIENDA-68"/>
        <s v="TIENDA-76"/>
        <s v="TIENDA-26"/>
        <s v="TIENDA-27"/>
        <s v="TIENDA-88"/>
        <s v="OPERACIONES"/>
        <s v="TIENDA-33"/>
        <s v="TIENDA-05"/>
        <s v="TIENDA-06"/>
        <s v="TIENDA-35"/>
        <s v="TIENDA-83"/>
        <s v="TIENDA-52"/>
        <s v="TIENDA-73"/>
        <s v="TIENDA-54"/>
        <s v="TIENDA-64"/>
        <s v="TIENDA-53"/>
        <s v="TIENDA-42"/>
        <s v="TIENDA-70"/>
        <s v="TIENDA-56"/>
        <s v="TIENDA-41"/>
        <s v="TIENDA-01"/>
        <s v="TIENDA-04"/>
        <s v="TIENDA-72"/>
        <s v="TIENDA-02"/>
        <s v="TIENDA-84"/>
        <s v="TIENDA-69"/>
        <s v="TIENDA-39"/>
        <s v="TIENDA-63"/>
        <s v="TIENDA-77"/>
        <s v="TIENDA-46"/>
        <s v="TIENDA-43"/>
        <s v="TIENDA-75"/>
        <s v="TIENDA-55"/>
        <s v="TIENDA-44"/>
        <s v="TIENDA-30"/>
        <s v="TIENDA-74"/>
        <s v="TIENDA-38"/>
        <s v="TIENDA-09"/>
        <s v="TIENDA-16"/>
        <s v="TIENDA-07"/>
        <s v="TIENDA-10"/>
        <s v="TIENDA-58"/>
        <s v="TIENDA-08"/>
        <s v="ADMINISTRACION"/>
        <s v="TIENDA-37"/>
        <s v="TIENDA-21"/>
        <s v="TIENDA-12"/>
        <s v="TIENDA-71"/>
        <s v="TIENDA-14"/>
        <s v="TIENDA-13"/>
        <s v="TIENDA-18"/>
        <s v="TIENDA-19"/>
        <s v="TIENDA-20"/>
        <s v="TIENDA-29"/>
        <s v="TIENDA-23"/>
        <s v="TIENDA-47"/>
        <s v="TIENDA-03"/>
        <s v="TIENDA-25"/>
        <s v="MONITOREO"/>
        <s v="TIENDA-31"/>
        <s v="TIENDA-32"/>
        <s v="TIENDA-36"/>
        <s v="TIENDA-40"/>
        <s v="TIENDA-45"/>
        <s v="TIENDA-48"/>
        <s v="TIENDA-50"/>
        <s v="TIENDA-51"/>
        <s v="TIENDA-49"/>
        <s v="CEDI"/>
        <s v="TIENDA-59"/>
        <s v="TIENDA-61"/>
        <s v="TIENDA-60"/>
        <s v="TIENDA-62"/>
        <s v="TIENDA-65"/>
        <s v="TIENDA-66"/>
        <s v="TIENDA-67"/>
        <s v="TIENDA-78"/>
        <s v="TIENDA-79"/>
        <s v="TIENDA-81"/>
        <s v="TIENDA-82"/>
        <s v="TIENDA-34"/>
        <s v="TIENDA-85"/>
        <s v="TIENDA-89"/>
        <s v="TIENDA-86"/>
        <s v="TIENDA-87"/>
        <s v="TIENDA-91"/>
        <s v="TIENDA-90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202163" maxValue="5232724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7"/>
    </cacheField>
    <cacheField name="REF AA" numFmtId="0">
      <sharedItems/>
    </cacheField>
    <cacheField name="Columna1" numFmtId="0">
      <sharedItems containsNonDate="0" containsString="0" containsBlank="1"/>
    </cacheField>
    <cacheField name="Trimestres" numFmtId="0" databaseField="0">
      <fieldGroup base="1">
        <rangePr groupBy="quarters" startDate="2025-12-01T00:00:00" endDate="2026-07-01T00:00:00"/>
        <groupItems count="6">
          <s v="&lt;1/12/2025"/>
          <s v="Trim.1"/>
          <s v="Trim.2"/>
          <s v="Trim.3"/>
          <s v="Trim.4"/>
          <s v="&gt;1/7/2026"/>
        </groupItems>
      </fieldGroup>
    </cacheField>
    <cacheField name="Años" numFmtId="0" databaseField="0">
      <fieldGroup base="1">
        <rangePr groupBy="years" startDate="2025-12-01T00:00:00" endDate="2026-07-01T00:00:00"/>
        <groupItems count="4">
          <s v="&lt;1/12/2025"/>
          <s v="2025"/>
          <s v="2026"/>
          <s v="&gt;1/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6">
  <r>
    <n v="2763198"/>
    <x v="0"/>
    <s v="06-10-002-000"/>
    <x v="0"/>
    <n v="30420.46"/>
    <n v="0"/>
    <n v="30420.46"/>
    <n v="10000"/>
    <n v="100"/>
    <s v="PANADE"/>
    <x v="0"/>
    <s v="ENERGIA PANADERIA DIC"/>
    <s v="ENERGIA PANADERIA DIC"/>
    <s v="xmaltez"/>
    <s v="PMTRX00078013"/>
    <n v="4202163"/>
    <n v="1"/>
    <n v="32"/>
    <s v=""/>
    <m/>
  </r>
  <r>
    <n v="2763200"/>
    <x v="1"/>
    <s v="06-10-002-000"/>
    <x v="0"/>
    <n v="2746.82"/>
    <n v="0"/>
    <n v="2746.82"/>
    <n v="10000"/>
    <n v="100"/>
    <s v="AMPM15"/>
    <x v="1"/>
    <s v="ALQUILER A15 DIC"/>
    <s v="ENERGIA A15 DIC"/>
    <s v="xmaltez"/>
    <s v="PMTRX00078013"/>
    <n v="4202164"/>
    <n v="1"/>
    <n v="15"/>
    <s v=""/>
    <m/>
  </r>
  <r>
    <n v="2763221"/>
    <x v="1"/>
    <s v="06-10-002-000"/>
    <x v="0"/>
    <n v="966.52"/>
    <n v="0"/>
    <n v="966.52"/>
    <n v="10000"/>
    <n v="100"/>
    <s v="AMPM28"/>
    <x v="2"/>
    <s v="ALQUILER A28 DIC"/>
    <s v="PLANTA ELECTRICA A28"/>
    <s v="xmaltez"/>
    <s v="PMTRX00078016"/>
    <n v="4202180"/>
    <n v="1"/>
    <n v="35"/>
    <s v=""/>
    <m/>
  </r>
  <r>
    <n v="2767433"/>
    <x v="2"/>
    <s v="06-10-002-000"/>
    <x v="0"/>
    <n v="30118.09"/>
    <n v="0"/>
    <n v="30118.09"/>
    <n v="10000"/>
    <n v="100"/>
    <s v="AMPM80"/>
    <x v="3"/>
    <s v="ENERGIA A80 DICIEMBRE"/>
    <s v="2438323 A80"/>
    <s v="xmaltez"/>
    <s v="PMTRX00078137"/>
    <n v="4205761"/>
    <n v="1"/>
    <n v="98"/>
    <s v=""/>
    <m/>
  </r>
  <r>
    <n v="2767437"/>
    <x v="2"/>
    <s v="06-10-002-000"/>
    <x v="0"/>
    <n v="33392.82"/>
    <n v="0"/>
    <n v="33392.82"/>
    <n v="10000"/>
    <n v="100"/>
    <s v="AMPM57"/>
    <x v="4"/>
    <s v="ENERGIA A57 DIC"/>
    <s v="2929393 A57"/>
    <s v="xmaltez"/>
    <s v="PMTRX00078137"/>
    <n v="4205762"/>
    <n v="1"/>
    <n v="73"/>
    <s v=""/>
    <m/>
  </r>
  <r>
    <n v="2767444"/>
    <x v="2"/>
    <s v="06-10-002-000"/>
    <x v="0"/>
    <n v="3361.72"/>
    <n v="0"/>
    <n v="3361.72"/>
    <n v="10000"/>
    <n v="100"/>
    <s v="AMPM57"/>
    <x v="4"/>
    <s v="ENERGIA A57 BODEGA"/>
    <s v="2929518 A57 BODEG"/>
    <s v="xmaltez"/>
    <s v="PMTRX00078137"/>
    <n v="4205763"/>
    <n v="1"/>
    <n v="73"/>
    <s v=""/>
    <m/>
  </r>
  <r>
    <n v="2767448"/>
    <x v="2"/>
    <s v="06-10-002-000"/>
    <x v="0"/>
    <n v="59591.29"/>
    <n v="0"/>
    <n v="59591.29"/>
    <n v="10000"/>
    <n v="100"/>
    <s v="AMPM68"/>
    <x v="5"/>
    <s v="ENERGIA A68 DIC"/>
    <s v="1376165 A68"/>
    <s v="xmaltez"/>
    <s v="PMTRX00078137"/>
    <n v="4205764"/>
    <n v="1"/>
    <n v="84"/>
    <s v=""/>
    <m/>
  </r>
  <r>
    <n v="2767453"/>
    <x v="2"/>
    <s v="06-10-002-000"/>
    <x v="0"/>
    <n v="53194.93"/>
    <n v="0"/>
    <n v="53194.93"/>
    <n v="10000"/>
    <n v="100"/>
    <s v="AMPM76"/>
    <x v="6"/>
    <s v="ENERGIA A76 DIC"/>
    <s v="1554270 A76"/>
    <s v="xmaltez"/>
    <s v="PMTRX00078137"/>
    <n v="4205765"/>
    <n v="1"/>
    <n v="93"/>
    <s v=""/>
    <m/>
  </r>
  <r>
    <n v="2768934"/>
    <x v="3"/>
    <s v="06-10-002-000"/>
    <x v="0"/>
    <n v="11701.46"/>
    <n v="0"/>
    <n v="11701.46"/>
    <n v="10000"/>
    <n v="100"/>
    <s v="AMPM26"/>
    <x v="7"/>
    <s v="AREAS COMUNES A26 DIC"/>
    <s v="ENERGIA A26 DIC"/>
    <s v="xmaltez"/>
    <s v="PMTRX00078152"/>
    <n v="4206587"/>
    <n v="1"/>
    <n v="26"/>
    <s v=""/>
    <m/>
  </r>
  <r>
    <n v="2780841"/>
    <x v="1"/>
    <s v="06-10-002-000"/>
    <x v="0"/>
    <n v="549.37"/>
    <n v="0"/>
    <n v="549.37"/>
    <n v="10000"/>
    <n v="100"/>
    <s v="AMPM27"/>
    <x v="8"/>
    <s v="ALQUILER A27 DIC"/>
    <s v="CONSUMO ENERGIA A27"/>
    <s v="xmaltez"/>
    <s v="PMTRX00078406"/>
    <n v="4217129"/>
    <n v="1"/>
    <n v="34"/>
    <s v=""/>
    <m/>
  </r>
  <r>
    <n v="2802157"/>
    <x v="4"/>
    <s v="06-10-002-000"/>
    <x v="0"/>
    <n v="292.99"/>
    <n v="0"/>
    <n v="292.99"/>
    <n v="10000"/>
    <n v="100"/>
    <s v="AMPM15"/>
    <x v="1"/>
    <s v="SERV PLANTA ELECTRICA A15"/>
    <s v="SERV PLANTA ELECTRICA A15"/>
    <s v="xmaltez"/>
    <s v="PMTRX00078788"/>
    <n v="4234688"/>
    <n v="1"/>
    <n v="15"/>
    <s v=""/>
    <m/>
  </r>
  <r>
    <n v="2809783"/>
    <x v="5"/>
    <s v="06-10-002-000"/>
    <x v="0"/>
    <n v="48501.24"/>
    <n v="0"/>
    <n v="48501.24"/>
    <n v="10000"/>
    <n v="100"/>
    <s v="AMPM88"/>
    <x v="9"/>
    <s v="ENERGIA A88 DICIE,BRE"/>
    <s v="5121000329 A88"/>
    <s v="xmaltez"/>
    <s v="PMTRX00078950"/>
    <n v="4240668"/>
    <n v="1"/>
    <n v="102"/>
    <s v=""/>
    <m/>
  </r>
  <r>
    <n v="2837842"/>
    <x v="1"/>
    <s v="06-10-002-000"/>
    <x v="0"/>
    <n v="0"/>
    <n v="21204.74"/>
    <n v="-21204.74"/>
    <n v="10000"/>
    <n v="100"/>
    <s v="OPERACIONES"/>
    <x v="10"/>
    <s v="PG DIF DISSUR 01-12."/>
    <s v="PG DIF DISSUR 01-12."/>
    <s v="jlopez"/>
    <s v="PMTRX00079382"/>
    <n v="4264301"/>
    <n v="1"/>
    <n v="31"/>
    <s v=""/>
    <m/>
  </r>
  <r>
    <n v="2837848"/>
    <x v="1"/>
    <s v="06-10-002-000"/>
    <x v="0"/>
    <n v="21204.74"/>
    <n v="0"/>
    <n v="21204.74"/>
    <n v="10000"/>
    <n v="100"/>
    <s v="OPERACIONES"/>
    <x v="10"/>
    <s v="Anul. trans. abierta"/>
    <s v="Compras"/>
    <s v="jlopez"/>
    <s v="PMVVR00003444"/>
    <n v="4264303"/>
    <n v="1"/>
    <n v="31"/>
    <s v=""/>
    <m/>
  </r>
  <r>
    <n v="2847985"/>
    <x v="6"/>
    <s v="06-10-002-000"/>
    <x v="0"/>
    <n v="80718.61"/>
    <n v="0"/>
    <n v="80718.61"/>
    <n v="10000"/>
    <n v="100"/>
    <s v="AMPM33"/>
    <x v="11"/>
    <s v="2166101-A33"/>
    <s v="Compras"/>
    <s v="sa"/>
    <s v="PMTRX00079727"/>
    <n v="4273130"/>
    <n v="1"/>
    <n v="39"/>
    <s v=""/>
    <m/>
  </r>
  <r>
    <n v="2848047"/>
    <x v="6"/>
    <s v="06-10-002-000"/>
    <x v="0"/>
    <n v="60679.09"/>
    <n v="0"/>
    <n v="60679.09"/>
    <n v="10000"/>
    <n v="100"/>
    <s v="AMPM05"/>
    <x v="12"/>
    <s v="Energia -A05-Dic"/>
    <s v="Compras"/>
    <s v="sa"/>
    <s v="PMTRX00079743"/>
    <n v="4273193"/>
    <n v="1"/>
    <n v="5"/>
    <s v=""/>
    <m/>
  </r>
  <r>
    <n v="2848048"/>
    <x v="6"/>
    <s v="06-10-002-000"/>
    <x v="0"/>
    <n v="78534.149999999994"/>
    <n v="0"/>
    <n v="78534.149999999994"/>
    <n v="10000"/>
    <n v="100"/>
    <s v="AMPM06"/>
    <x v="13"/>
    <s v="Energia -A06-Dic"/>
    <s v="Compras"/>
    <s v="sa"/>
    <s v="PMTRX00079743"/>
    <n v="4273194"/>
    <n v="1"/>
    <n v="6"/>
    <s v=""/>
    <m/>
  </r>
  <r>
    <n v="2848049"/>
    <x v="6"/>
    <s v="06-10-002-000"/>
    <x v="0"/>
    <n v="43474.28"/>
    <n v="0"/>
    <n v="43474.28"/>
    <n v="10000"/>
    <n v="100"/>
    <s v="AMPM35"/>
    <x v="14"/>
    <s v="Energia -A35-Dic"/>
    <s v="Compras"/>
    <s v="sa"/>
    <s v="PMTRX00079743"/>
    <n v="4273195"/>
    <n v="1"/>
    <n v="43"/>
    <s v=""/>
    <m/>
  </r>
  <r>
    <n v="2848050"/>
    <x v="6"/>
    <s v="06-10-002-000"/>
    <x v="0"/>
    <n v="61149.18"/>
    <n v="0"/>
    <n v="61149.18"/>
    <n v="10000"/>
    <n v="100"/>
    <s v="AMPM83"/>
    <x v="15"/>
    <s v="Energia -A83-Dic"/>
    <s v="Compras"/>
    <s v="sa"/>
    <s v="PMTRX00079743"/>
    <n v="4273196"/>
    <n v="1"/>
    <n v="97"/>
    <s v=""/>
    <m/>
  </r>
  <r>
    <n v="2848051"/>
    <x v="6"/>
    <s v="06-10-002-000"/>
    <x v="0"/>
    <n v="54721.17"/>
    <n v="0"/>
    <n v="54721.17"/>
    <n v="10000"/>
    <n v="100"/>
    <s v="AMPM52"/>
    <x v="16"/>
    <s v="Energia -A52-Dic"/>
    <s v="Compras"/>
    <s v="sa"/>
    <s v="PMTRX00079743"/>
    <n v="4273197"/>
    <n v="1"/>
    <n v="66"/>
    <s v=""/>
    <m/>
  </r>
  <r>
    <n v="2848052"/>
    <x v="6"/>
    <s v="06-10-002-000"/>
    <x v="0"/>
    <n v="68842.7"/>
    <n v="0"/>
    <n v="68842.7"/>
    <n v="10000"/>
    <n v="100"/>
    <s v="AMPM73"/>
    <x v="17"/>
    <s v="Energia -A73-Dic"/>
    <s v="Compras"/>
    <s v="sa"/>
    <s v="PMTRX00079743"/>
    <n v="4273198"/>
    <n v="1"/>
    <n v="89"/>
    <s v=""/>
    <m/>
  </r>
  <r>
    <n v="2848053"/>
    <x v="6"/>
    <s v="06-10-002-000"/>
    <x v="0"/>
    <n v="79060.02"/>
    <n v="0"/>
    <n v="79060.02"/>
    <n v="10000"/>
    <n v="100"/>
    <s v="AMPM54"/>
    <x v="18"/>
    <s v="Energia -A54-Dic"/>
    <s v="Compras"/>
    <s v="sa"/>
    <s v="PMTRX00079743"/>
    <n v="4273199"/>
    <n v="1"/>
    <n v="70"/>
    <s v=""/>
    <m/>
  </r>
  <r>
    <n v="2848054"/>
    <x v="6"/>
    <s v="06-10-002-000"/>
    <x v="0"/>
    <n v="46031.05"/>
    <n v="0"/>
    <n v="46031.05"/>
    <n v="10000"/>
    <n v="100"/>
    <s v="AMPM64"/>
    <x v="19"/>
    <s v="Energia -A64-Dic"/>
    <s v="Compras"/>
    <s v="sa"/>
    <s v="PMTRX00079743"/>
    <n v="4273200"/>
    <n v="1"/>
    <n v="80"/>
    <s v=""/>
    <m/>
  </r>
  <r>
    <n v="2848055"/>
    <x v="6"/>
    <s v="06-10-002-000"/>
    <x v="0"/>
    <n v="58079.53"/>
    <n v="0"/>
    <n v="58079.53"/>
    <n v="10000"/>
    <n v="100"/>
    <s v="AMPM53"/>
    <x v="20"/>
    <s v="Energia -A53-Dic"/>
    <s v="Compras"/>
    <s v="sa"/>
    <s v="PMTRX00079743"/>
    <n v="4273201"/>
    <n v="1"/>
    <n v="64"/>
    <s v=""/>
    <m/>
  </r>
  <r>
    <n v="2848056"/>
    <x v="6"/>
    <s v="06-10-002-000"/>
    <x v="0"/>
    <n v="48816.79"/>
    <n v="0"/>
    <n v="48816.79"/>
    <n v="10000"/>
    <n v="100"/>
    <s v="AMPM42"/>
    <x v="21"/>
    <s v="Energia -A42-Dic"/>
    <s v="Compras"/>
    <s v="sa"/>
    <s v="PMTRX00079743"/>
    <n v="4273202"/>
    <n v="1"/>
    <n v="51"/>
    <s v=""/>
    <m/>
  </r>
  <r>
    <n v="2848057"/>
    <x v="6"/>
    <s v="06-10-002-000"/>
    <x v="0"/>
    <n v="57456.82"/>
    <n v="0"/>
    <n v="57456.82"/>
    <n v="10000"/>
    <n v="100"/>
    <s v="AMPM70"/>
    <x v="22"/>
    <s v="Energia -A70-Dic"/>
    <s v="Compras"/>
    <s v="sa"/>
    <s v="PMTRX00079743"/>
    <n v="4273203"/>
    <n v="1"/>
    <n v="87"/>
    <s v=""/>
    <m/>
  </r>
  <r>
    <n v="2848058"/>
    <x v="6"/>
    <s v="06-10-002-000"/>
    <x v="0"/>
    <n v="56902.97"/>
    <n v="0"/>
    <n v="56902.97"/>
    <n v="10000"/>
    <n v="100"/>
    <s v="AMPM56"/>
    <x v="23"/>
    <s v="Energia -A56-Dic"/>
    <s v="Compras"/>
    <s v="sa"/>
    <s v="PMTRX00079743"/>
    <n v="4273204"/>
    <n v="1"/>
    <n v="72"/>
    <s v=""/>
    <m/>
  </r>
  <r>
    <n v="2848059"/>
    <x v="6"/>
    <s v="06-10-002-000"/>
    <x v="0"/>
    <n v="63630.44"/>
    <n v="0"/>
    <n v="63630.44"/>
    <n v="10000"/>
    <n v="100"/>
    <s v="AMPM41"/>
    <x v="24"/>
    <s v="Energia -A41-Dic"/>
    <s v="Compras"/>
    <s v="sa"/>
    <s v="PMTRX00079743"/>
    <n v="4273205"/>
    <n v="1"/>
    <n v="50"/>
    <s v=""/>
    <m/>
  </r>
  <r>
    <n v="2848060"/>
    <x v="6"/>
    <s v="06-10-002-000"/>
    <x v="0"/>
    <n v="56545.65"/>
    <n v="0"/>
    <n v="56545.65"/>
    <n v="10000"/>
    <n v="100"/>
    <s v="AMPM01"/>
    <x v="25"/>
    <s v="Energia -A01-Dic"/>
    <s v="Compras"/>
    <s v="sa"/>
    <s v="PMTRX00079743"/>
    <n v="4273206"/>
    <n v="1"/>
    <n v="1"/>
    <s v=""/>
    <m/>
  </r>
  <r>
    <n v="2848061"/>
    <x v="6"/>
    <s v="06-10-002-000"/>
    <x v="0"/>
    <n v="57725.52"/>
    <n v="0"/>
    <n v="57725.52"/>
    <n v="10000"/>
    <n v="100"/>
    <s v="AMPM04"/>
    <x v="26"/>
    <s v="Energia -A04-Dic"/>
    <s v="Compras"/>
    <s v="sa"/>
    <s v="PMTRX00079743"/>
    <n v="4273207"/>
    <n v="1"/>
    <n v="4"/>
    <s v=""/>
    <m/>
  </r>
  <r>
    <n v="2848062"/>
    <x v="6"/>
    <s v="06-10-002-000"/>
    <x v="0"/>
    <n v="31331.85"/>
    <n v="0"/>
    <n v="31331.85"/>
    <n v="10000"/>
    <n v="100"/>
    <s v="AMPM72"/>
    <x v="27"/>
    <s v="Energia -A72-Dic"/>
    <s v="Compras"/>
    <s v="sa"/>
    <s v="PMTRX00079743"/>
    <n v="4273208"/>
    <n v="1"/>
    <n v="88"/>
    <s v=""/>
    <m/>
  </r>
  <r>
    <n v="2848063"/>
    <x v="6"/>
    <s v="06-10-002-000"/>
    <x v="0"/>
    <n v="56204.78"/>
    <n v="0"/>
    <n v="56204.78"/>
    <n v="10000"/>
    <n v="100"/>
    <s v="AMPM02"/>
    <x v="28"/>
    <s v="Energia -A02-Dic"/>
    <s v="Compras"/>
    <s v="sa"/>
    <s v="PMTRX00079743"/>
    <n v="4273209"/>
    <n v="1"/>
    <n v="2"/>
    <s v=""/>
    <m/>
  </r>
  <r>
    <n v="2848064"/>
    <x v="6"/>
    <s v="06-10-002-000"/>
    <x v="0"/>
    <n v="59575.97"/>
    <n v="0"/>
    <n v="59575.97"/>
    <n v="10000"/>
    <n v="100"/>
    <s v="AMPM84"/>
    <x v="29"/>
    <s v="Energia -A84-Dic"/>
    <s v="Compras"/>
    <s v="sa"/>
    <s v="PMTRX00079743"/>
    <n v="4273210"/>
    <n v="1"/>
    <n v="100"/>
    <s v=""/>
    <m/>
  </r>
  <r>
    <n v="2848065"/>
    <x v="6"/>
    <s v="06-10-002-000"/>
    <x v="0"/>
    <n v="56578.21"/>
    <n v="0"/>
    <n v="56578.21"/>
    <n v="10000"/>
    <n v="100"/>
    <s v="AMPM69"/>
    <x v="30"/>
    <s v="Energia -A69-Dic"/>
    <s v="Compras"/>
    <s v="sa"/>
    <s v="PMTRX00079743"/>
    <n v="4273211"/>
    <n v="1"/>
    <n v="85"/>
    <s v=""/>
    <m/>
  </r>
  <r>
    <n v="2848066"/>
    <x v="6"/>
    <s v="06-10-002-000"/>
    <x v="0"/>
    <n v="53036.33"/>
    <n v="0"/>
    <n v="53036.33"/>
    <n v="10000"/>
    <n v="100"/>
    <s v="AMPM39"/>
    <x v="31"/>
    <s v="Energia -A39-Dic"/>
    <s v="Compras"/>
    <s v="sa"/>
    <s v="PMTRX00079743"/>
    <n v="4273212"/>
    <n v="1"/>
    <n v="48"/>
    <s v=""/>
    <m/>
  </r>
  <r>
    <n v="2848067"/>
    <x v="6"/>
    <s v="06-10-002-000"/>
    <x v="0"/>
    <n v="42481.04"/>
    <n v="0"/>
    <n v="42481.04"/>
    <n v="10000"/>
    <n v="100"/>
    <s v="AMPM15"/>
    <x v="1"/>
    <s v="Energia -A15-Dic"/>
    <s v="Compras"/>
    <s v="sa"/>
    <s v="PMTRX00079743"/>
    <n v="4273213"/>
    <n v="1"/>
    <n v="15"/>
    <s v=""/>
    <m/>
  </r>
  <r>
    <n v="2848068"/>
    <x v="6"/>
    <s v="06-10-002-000"/>
    <x v="0"/>
    <n v="65336.37"/>
    <n v="0"/>
    <n v="65336.37"/>
    <n v="10000"/>
    <n v="100"/>
    <s v="AMPM63"/>
    <x v="32"/>
    <s v="Energia -A63-Dic"/>
    <s v="Compras"/>
    <s v="sa"/>
    <s v="PMTRX00079743"/>
    <n v="4273214"/>
    <n v="1"/>
    <n v="79"/>
    <s v=""/>
    <m/>
  </r>
  <r>
    <n v="2848069"/>
    <x v="6"/>
    <s v="06-10-002-000"/>
    <x v="0"/>
    <n v="56849.46"/>
    <n v="0"/>
    <n v="56849.46"/>
    <n v="10000"/>
    <n v="100"/>
    <s v="AMPM77"/>
    <x v="33"/>
    <s v="Energia -A77-Dic"/>
    <s v="Compras"/>
    <s v="sa"/>
    <s v="PMTRX00079743"/>
    <n v="4273215"/>
    <n v="1"/>
    <n v="92"/>
    <s v=""/>
    <m/>
  </r>
  <r>
    <n v="2848070"/>
    <x v="6"/>
    <s v="06-10-002-000"/>
    <x v="0"/>
    <n v="57283.78"/>
    <n v="0"/>
    <n v="57283.78"/>
    <n v="10000"/>
    <n v="100"/>
    <s v="AMPM28"/>
    <x v="2"/>
    <s v="Energia -A28-Dic"/>
    <s v="Compras"/>
    <s v="sa"/>
    <s v="PMTRX00079743"/>
    <n v="4273216"/>
    <n v="1"/>
    <n v="35"/>
    <s v=""/>
    <m/>
  </r>
  <r>
    <n v="2848071"/>
    <x v="6"/>
    <s v="06-10-002-000"/>
    <x v="0"/>
    <n v="61411.09"/>
    <n v="0"/>
    <n v="61411.09"/>
    <n v="10000"/>
    <n v="100"/>
    <s v="AMPM46"/>
    <x v="34"/>
    <s v="Energia -A46-Dic"/>
    <s v="Compras"/>
    <s v="sa"/>
    <s v="PMTRX00079743"/>
    <n v="4273217"/>
    <n v="1"/>
    <n v="60"/>
    <s v=""/>
    <m/>
  </r>
  <r>
    <n v="2848072"/>
    <x v="6"/>
    <s v="06-10-002-000"/>
    <x v="0"/>
    <n v="66464.75"/>
    <n v="0"/>
    <n v="66464.75"/>
    <n v="10000"/>
    <n v="100"/>
    <s v="AMPM43"/>
    <x v="35"/>
    <s v="Energia -A43-Dic"/>
    <s v="Compras"/>
    <s v="sa"/>
    <s v="PMTRX00079743"/>
    <n v="4273218"/>
    <n v="1"/>
    <n v="58"/>
    <s v=""/>
    <m/>
  </r>
  <r>
    <n v="2848073"/>
    <x v="6"/>
    <s v="06-10-002-000"/>
    <x v="0"/>
    <n v="2876.77"/>
    <n v="0"/>
    <n v="2876.77"/>
    <n v="10000"/>
    <n v="100"/>
    <s v="AMPM39"/>
    <x v="31"/>
    <s v="Energia -A39-Dic"/>
    <s v="Compras"/>
    <s v="sa"/>
    <s v="PMTRX00079743"/>
    <n v="4273219"/>
    <n v="1"/>
    <n v="48"/>
    <s v=""/>
    <m/>
  </r>
  <r>
    <n v="2848074"/>
    <x v="6"/>
    <s v="06-10-002-000"/>
    <x v="0"/>
    <n v="60577.79"/>
    <n v="0"/>
    <n v="60577.79"/>
    <n v="10000"/>
    <n v="100"/>
    <s v="AMPM75"/>
    <x v="36"/>
    <s v="Energia -A75-Dic"/>
    <s v="Compras"/>
    <s v="sa"/>
    <s v="PMTRX00079743"/>
    <n v="4273220"/>
    <n v="1"/>
    <n v="91"/>
    <s v=""/>
    <m/>
  </r>
  <r>
    <n v="2848075"/>
    <x v="6"/>
    <s v="06-10-002-000"/>
    <x v="0"/>
    <n v="69434.12"/>
    <n v="0"/>
    <n v="69434.12"/>
    <n v="10000"/>
    <n v="100"/>
    <s v="AMPM55"/>
    <x v="37"/>
    <s v="Energia -A55-Dic"/>
    <s v="Compras"/>
    <s v="sa"/>
    <s v="PMTRX00079743"/>
    <n v="4273221"/>
    <n v="1"/>
    <n v="71"/>
    <s v=""/>
    <m/>
  </r>
  <r>
    <n v="2848076"/>
    <x v="6"/>
    <s v="06-10-002-000"/>
    <x v="0"/>
    <n v="59945.95"/>
    <n v="0"/>
    <n v="59945.95"/>
    <n v="10000"/>
    <n v="100"/>
    <s v="AMPM44"/>
    <x v="38"/>
    <s v="Energia -A44-Dic"/>
    <s v="Compras"/>
    <s v="sa"/>
    <s v="PMTRX00079743"/>
    <n v="4273222"/>
    <n v="1"/>
    <n v="57"/>
    <s v=""/>
    <m/>
  </r>
  <r>
    <n v="2848077"/>
    <x v="6"/>
    <s v="06-10-002-000"/>
    <x v="0"/>
    <n v="384.55"/>
    <n v="0"/>
    <n v="384.55"/>
    <n v="10000"/>
    <n v="100"/>
    <s v="OPERACIONES"/>
    <x v="10"/>
    <s v="Energia -OPER-Dic"/>
    <s v="Compras"/>
    <s v="sa"/>
    <s v="PMTRX00079743"/>
    <n v="4273223"/>
    <n v="1"/>
    <n v="31"/>
    <s v=""/>
    <m/>
  </r>
  <r>
    <n v="2848078"/>
    <x v="6"/>
    <s v="06-10-002-000"/>
    <x v="0"/>
    <n v="68091.34"/>
    <n v="0"/>
    <n v="68091.34"/>
    <n v="10000"/>
    <n v="100"/>
    <s v="AMPM30"/>
    <x v="39"/>
    <s v="Energia -A30-Dic"/>
    <s v="Compras"/>
    <s v="sa"/>
    <s v="PMTRX00079743"/>
    <n v="4273224"/>
    <n v="1"/>
    <n v="37"/>
    <s v=""/>
    <m/>
  </r>
  <r>
    <n v="2848079"/>
    <x v="6"/>
    <s v="06-10-002-000"/>
    <x v="0"/>
    <n v="61357.59"/>
    <n v="0"/>
    <n v="61357.59"/>
    <n v="10000"/>
    <n v="100"/>
    <s v="AMPM74"/>
    <x v="40"/>
    <s v="Energia -A74-Dic"/>
    <s v="Compras"/>
    <s v="sa"/>
    <s v="PMTRX00079743"/>
    <n v="4273225"/>
    <n v="1"/>
    <n v="90"/>
    <s v=""/>
    <m/>
  </r>
  <r>
    <n v="2848080"/>
    <x v="6"/>
    <s v="06-10-002-000"/>
    <x v="0"/>
    <n v="2584.23"/>
    <n v="0"/>
    <n v="2584.23"/>
    <n v="10000"/>
    <n v="100"/>
    <s v="AMPM38"/>
    <x v="41"/>
    <s v="Energia -A38-Dic"/>
    <s v="Compras"/>
    <s v="sa"/>
    <s v="PMTRX00079743"/>
    <n v="4273226"/>
    <n v="1"/>
    <n v="47"/>
    <s v=""/>
    <m/>
  </r>
  <r>
    <n v="2848081"/>
    <x v="6"/>
    <s v="06-10-002-000"/>
    <x v="0"/>
    <n v="67834.63"/>
    <n v="0"/>
    <n v="67834.63"/>
    <n v="10000"/>
    <n v="100"/>
    <s v="AMPM38"/>
    <x v="41"/>
    <s v="Energia -A38-Dic"/>
    <s v="Compras"/>
    <s v="sa"/>
    <s v="PMTRX00079743"/>
    <n v="4273227"/>
    <n v="1"/>
    <n v="47"/>
    <s v=""/>
    <m/>
  </r>
  <r>
    <n v="2848082"/>
    <x v="6"/>
    <s v="06-10-002-000"/>
    <x v="0"/>
    <n v="40162.33"/>
    <n v="0"/>
    <n v="40162.33"/>
    <n v="10000"/>
    <n v="100"/>
    <s v="AMPM09"/>
    <x v="42"/>
    <s v="Energia -A09-Dic"/>
    <s v="Compras"/>
    <s v="sa"/>
    <s v="PMTRX00079743"/>
    <n v="4273228"/>
    <n v="1"/>
    <n v="9"/>
    <s v=""/>
    <m/>
  </r>
  <r>
    <n v="2848083"/>
    <x v="6"/>
    <s v="06-10-002-000"/>
    <x v="0"/>
    <n v="60725.83"/>
    <n v="0"/>
    <n v="60725.83"/>
    <n v="10000"/>
    <n v="100"/>
    <s v="AMPM16"/>
    <x v="43"/>
    <s v="Energia -A16-Dic"/>
    <s v="Compras"/>
    <s v="sa"/>
    <s v="PMTRX00079743"/>
    <n v="4273229"/>
    <n v="1"/>
    <n v="16"/>
    <s v=""/>
    <m/>
  </r>
  <r>
    <n v="2848084"/>
    <x v="6"/>
    <s v="06-10-002-000"/>
    <x v="0"/>
    <n v="75494.77"/>
    <n v="0"/>
    <n v="75494.77"/>
    <n v="10000"/>
    <n v="100"/>
    <s v="AMPM07"/>
    <x v="44"/>
    <s v="Energia -A07-Dic"/>
    <s v="Compras"/>
    <s v="sa"/>
    <s v="PMTRX00079743"/>
    <n v="4273230"/>
    <n v="1"/>
    <n v="7"/>
    <s v=""/>
    <m/>
  </r>
  <r>
    <n v="2848085"/>
    <x v="6"/>
    <s v="06-10-002-000"/>
    <x v="0"/>
    <n v="80205.289999999994"/>
    <n v="0"/>
    <n v="80205.289999999994"/>
    <n v="10000"/>
    <n v="100"/>
    <s v="AMPM27"/>
    <x v="8"/>
    <s v="Energia -A27-Dic"/>
    <s v="Compras"/>
    <s v="sa"/>
    <s v="PMTRX00079743"/>
    <n v="4273231"/>
    <n v="1"/>
    <n v="34"/>
    <s v=""/>
    <m/>
  </r>
  <r>
    <n v="2848086"/>
    <x v="6"/>
    <s v="06-10-002-000"/>
    <x v="0"/>
    <n v="57486.720000000001"/>
    <n v="0"/>
    <n v="57486.720000000001"/>
    <n v="10000"/>
    <n v="100"/>
    <s v="AMPM10"/>
    <x v="45"/>
    <s v="Energia -A10-Dic"/>
    <s v="Compras"/>
    <s v="sa"/>
    <s v="PMTRX00079743"/>
    <n v="4273232"/>
    <n v="1"/>
    <n v="10"/>
    <s v=""/>
    <m/>
  </r>
  <r>
    <n v="2848087"/>
    <x v="6"/>
    <s v="06-10-002-000"/>
    <x v="0"/>
    <n v="63520.05"/>
    <n v="0"/>
    <n v="63520.05"/>
    <n v="10000"/>
    <n v="100"/>
    <s v="AMPM58"/>
    <x v="46"/>
    <s v="Energia -A58-Dic"/>
    <s v="Compras"/>
    <s v="sa"/>
    <s v="PMTRX00079743"/>
    <n v="4273233"/>
    <n v="1"/>
    <n v="74"/>
    <s v=""/>
    <m/>
  </r>
  <r>
    <n v="2848088"/>
    <x v="6"/>
    <s v="06-10-002-000"/>
    <x v="0"/>
    <n v="21968.82"/>
    <n v="0"/>
    <n v="21968.82"/>
    <n v="10000"/>
    <n v="100"/>
    <s v="AMPM08"/>
    <x v="47"/>
    <s v="Energia -A08-Dic"/>
    <s v="Compras"/>
    <s v="sa"/>
    <s v="PMTRX00079743"/>
    <n v="4273234"/>
    <n v="1"/>
    <n v="8"/>
    <s v=""/>
    <m/>
  </r>
  <r>
    <n v="2848089"/>
    <x v="6"/>
    <s v="06-10-002-000"/>
    <x v="0"/>
    <n v="35911.75"/>
    <n v="0"/>
    <n v="35911.75"/>
    <n v="10000"/>
    <n v="100"/>
    <s v="AMPM08"/>
    <x v="47"/>
    <s v="Energia -A08-Dic"/>
    <s v="Compras"/>
    <s v="sa"/>
    <s v="PMTRX00079743"/>
    <n v="4273235"/>
    <n v="1"/>
    <n v="8"/>
    <s v=""/>
    <m/>
  </r>
  <r>
    <n v="2848090"/>
    <x v="6"/>
    <s v="06-10-002-000"/>
    <x v="0"/>
    <n v="9131.8700000000008"/>
    <n v="0"/>
    <n v="9131.8700000000008"/>
    <n v="10000"/>
    <n v="100"/>
    <s v="ADMON"/>
    <x v="48"/>
    <s v="Energia -ADMON-Dic"/>
    <s v="Compras"/>
    <s v="sa"/>
    <s v="PMTRX00079743"/>
    <n v="4273236"/>
    <n v="1"/>
    <n v="27"/>
    <s v=""/>
    <m/>
  </r>
  <r>
    <n v="2848091"/>
    <x v="6"/>
    <s v="06-10-002-000"/>
    <x v="0"/>
    <n v="55485.06"/>
    <n v="0"/>
    <n v="55485.06"/>
    <n v="10000"/>
    <n v="100"/>
    <s v="AMPM37"/>
    <x v="49"/>
    <s v="Energia -A37-Dic"/>
    <s v="Compras"/>
    <s v="sa"/>
    <s v="PMTRX00079743"/>
    <n v="4273237"/>
    <n v="1"/>
    <n v="42"/>
    <s v=""/>
    <m/>
  </r>
  <r>
    <n v="2848092"/>
    <x v="6"/>
    <s v="06-10-002-000"/>
    <x v="0"/>
    <n v="54091.24"/>
    <n v="0"/>
    <n v="54091.24"/>
    <n v="10000"/>
    <n v="100"/>
    <s v="AMPM21"/>
    <x v="50"/>
    <s v="Energia -A21-Dic"/>
    <s v="Compras"/>
    <s v="sa"/>
    <s v="PMTRX00079743"/>
    <n v="4273238"/>
    <n v="1"/>
    <n v="21"/>
    <s v=""/>
    <m/>
  </r>
  <r>
    <n v="2848093"/>
    <x v="6"/>
    <s v="06-10-002-000"/>
    <x v="0"/>
    <n v="74417.56"/>
    <n v="0"/>
    <n v="74417.56"/>
    <n v="10000"/>
    <n v="100"/>
    <s v="AMPM12"/>
    <x v="51"/>
    <s v="Energia -A12-Dic"/>
    <s v="Compras"/>
    <s v="sa"/>
    <s v="PMTRX00079743"/>
    <n v="4273239"/>
    <n v="1"/>
    <n v="12"/>
    <s v=""/>
    <m/>
  </r>
  <r>
    <n v="2848094"/>
    <x v="6"/>
    <s v="06-10-002-000"/>
    <x v="0"/>
    <n v="72260.81"/>
    <n v="0"/>
    <n v="72260.81"/>
    <n v="10000"/>
    <n v="100"/>
    <s v="AMPM71"/>
    <x v="52"/>
    <s v="Energia -A71-Dic"/>
    <s v="Compras"/>
    <s v="sa"/>
    <s v="PMTRX00079743"/>
    <n v="4273240"/>
    <n v="1"/>
    <n v="86"/>
    <s v=""/>
    <m/>
  </r>
  <r>
    <n v="2848095"/>
    <x v="6"/>
    <s v="06-10-002-000"/>
    <x v="0"/>
    <n v="10566.17"/>
    <n v="0"/>
    <n v="10566.17"/>
    <n v="10000"/>
    <n v="100"/>
    <s v="AMPM14"/>
    <x v="53"/>
    <s v="Energia -A14-Dic"/>
    <s v="Compras"/>
    <s v="sa"/>
    <s v="PMTRX00079743"/>
    <n v="4273241"/>
    <n v="1"/>
    <n v="14"/>
    <s v=""/>
    <m/>
  </r>
  <r>
    <n v="2848096"/>
    <x v="6"/>
    <s v="06-10-002-000"/>
    <x v="0"/>
    <n v="70476.679999999993"/>
    <n v="0"/>
    <n v="70476.679999999993"/>
    <n v="10000"/>
    <n v="100"/>
    <s v="AMPM13"/>
    <x v="54"/>
    <s v="Energia -A13-Dic"/>
    <s v="Compras"/>
    <s v="sa"/>
    <s v="PMTRX00079743"/>
    <n v="4273242"/>
    <n v="1"/>
    <n v="13"/>
    <s v=""/>
    <m/>
  </r>
  <r>
    <n v="2848097"/>
    <x v="6"/>
    <s v="06-10-002-000"/>
    <x v="0"/>
    <n v="40368.74"/>
    <n v="0"/>
    <n v="40368.74"/>
    <n v="10000"/>
    <n v="100"/>
    <s v="AMPM14"/>
    <x v="53"/>
    <s v="Energia -A14-Dic"/>
    <s v="Compras"/>
    <s v="sa"/>
    <s v="PMTRX00079743"/>
    <n v="4273243"/>
    <n v="1"/>
    <n v="14"/>
    <s v=""/>
    <m/>
  </r>
  <r>
    <n v="2848098"/>
    <x v="6"/>
    <s v="06-10-002-000"/>
    <x v="0"/>
    <n v="1525.04"/>
    <n v="0"/>
    <n v="1525.04"/>
    <n v="10000"/>
    <n v="100"/>
    <s v="AMPM14"/>
    <x v="53"/>
    <s v="Energia -A14-Dic"/>
    <s v="Compras"/>
    <s v="sa"/>
    <s v="PMTRX00079743"/>
    <n v="4273244"/>
    <n v="1"/>
    <n v="14"/>
    <s v=""/>
    <m/>
  </r>
  <r>
    <n v="2848099"/>
    <x v="6"/>
    <s v="06-10-002-000"/>
    <x v="0"/>
    <n v="2586.88"/>
    <n v="0"/>
    <n v="2586.88"/>
    <n v="10000"/>
    <n v="100"/>
    <s v="AMPM13"/>
    <x v="54"/>
    <s v="Energia -A13-Dic"/>
    <s v="Compras"/>
    <s v="sa"/>
    <s v="PMTRX00079743"/>
    <n v="4273245"/>
    <n v="1"/>
    <n v="13"/>
    <s v=""/>
    <m/>
  </r>
  <r>
    <n v="2848100"/>
    <x v="6"/>
    <s v="06-10-002-000"/>
    <x v="0"/>
    <n v="1173.71"/>
    <n v="0"/>
    <n v="1173.71"/>
    <n v="10000"/>
    <n v="100"/>
    <s v="AMPM15"/>
    <x v="1"/>
    <s v="Energia -A15-Dic"/>
    <s v="Compras"/>
    <s v="sa"/>
    <s v="PMTRX00079743"/>
    <n v="4273246"/>
    <n v="1"/>
    <n v="15"/>
    <s v=""/>
    <m/>
  </r>
  <r>
    <n v="2848101"/>
    <x v="6"/>
    <s v="06-10-002-000"/>
    <x v="0"/>
    <n v="10666.2"/>
    <n v="0"/>
    <n v="10666.2"/>
    <n v="10000"/>
    <n v="100"/>
    <s v="ADMON"/>
    <x v="48"/>
    <s v="Energia -ADMON-Dic"/>
    <s v="Compras"/>
    <s v="sa"/>
    <s v="PMTRX00079743"/>
    <n v="4273247"/>
    <n v="1"/>
    <n v="27"/>
    <s v=""/>
    <m/>
  </r>
  <r>
    <n v="2848102"/>
    <x v="6"/>
    <s v="06-10-002-000"/>
    <x v="0"/>
    <n v="63769.41"/>
    <n v="0"/>
    <n v="63769.41"/>
    <n v="10000"/>
    <n v="100"/>
    <s v="AMPM18"/>
    <x v="55"/>
    <s v="Energia -A18-Dic"/>
    <s v="Compras"/>
    <s v="sa"/>
    <s v="PMTRX00079743"/>
    <n v="4273248"/>
    <n v="1"/>
    <n v="18"/>
    <s v=""/>
    <m/>
  </r>
  <r>
    <n v="2848103"/>
    <x v="6"/>
    <s v="06-10-002-000"/>
    <x v="0"/>
    <n v="66161.86"/>
    <n v="0"/>
    <n v="66161.86"/>
    <n v="10000"/>
    <n v="100"/>
    <s v="AMPM19"/>
    <x v="56"/>
    <s v="Energia -A19-Dic"/>
    <s v="Compras"/>
    <s v="sa"/>
    <s v="PMTRX00079743"/>
    <n v="4273249"/>
    <n v="1"/>
    <n v="19"/>
    <s v=""/>
    <m/>
  </r>
  <r>
    <n v="2848104"/>
    <x v="6"/>
    <s v="06-10-002-000"/>
    <x v="0"/>
    <n v="64262.29"/>
    <n v="0"/>
    <n v="64262.29"/>
    <n v="10000"/>
    <n v="100"/>
    <s v="AMPM20"/>
    <x v="57"/>
    <s v="Energia -A20-Dic"/>
    <s v="Compras"/>
    <s v="sa"/>
    <s v="PMTRX00079743"/>
    <n v="4273250"/>
    <n v="1"/>
    <n v="20"/>
    <s v=""/>
    <m/>
  </r>
  <r>
    <n v="2848105"/>
    <x v="6"/>
    <s v="06-10-002-000"/>
    <x v="0"/>
    <n v="24361.78"/>
    <n v="0"/>
    <n v="24361.78"/>
    <n v="10000"/>
    <n v="100"/>
    <s v="ADMON"/>
    <x v="48"/>
    <s v="Energia -ADMON-Dic"/>
    <s v="Compras"/>
    <s v="sa"/>
    <s v="PMTRX00079743"/>
    <n v="4273251"/>
    <n v="1"/>
    <n v="27"/>
    <s v=""/>
    <m/>
  </r>
  <r>
    <n v="2848106"/>
    <x v="6"/>
    <s v="06-10-002-000"/>
    <x v="0"/>
    <n v="4395.12"/>
    <n v="0"/>
    <n v="4395.12"/>
    <n v="10000"/>
    <n v="100"/>
    <s v="AMPM18"/>
    <x v="55"/>
    <s v="Energia -A18-Dic"/>
    <s v="Compras"/>
    <s v="sa"/>
    <s v="PMTRX00079743"/>
    <n v="4273252"/>
    <n v="1"/>
    <n v="18"/>
    <s v=""/>
    <m/>
  </r>
  <r>
    <n v="2848107"/>
    <x v="6"/>
    <s v="06-10-002-000"/>
    <x v="0"/>
    <n v="67929.11"/>
    <n v="0"/>
    <n v="67929.11"/>
    <n v="10000"/>
    <n v="100"/>
    <s v="AMPM29"/>
    <x v="58"/>
    <s v="Energia -A29-Dic"/>
    <s v="Compras"/>
    <s v="sa"/>
    <s v="PMTRX00079743"/>
    <n v="4273253"/>
    <n v="1"/>
    <n v="36"/>
    <s v=""/>
    <m/>
  </r>
  <r>
    <n v="2848108"/>
    <x v="6"/>
    <s v="06-10-002-000"/>
    <x v="0"/>
    <n v="50846.84"/>
    <n v="0"/>
    <n v="50846.84"/>
    <n v="10000"/>
    <n v="100"/>
    <s v="AMPM23"/>
    <x v="59"/>
    <s v="Energia -A23-Dic"/>
    <s v="Compras"/>
    <s v="sa"/>
    <s v="PMTRX00079743"/>
    <n v="4273254"/>
    <n v="1"/>
    <n v="23"/>
    <s v=""/>
    <m/>
  </r>
  <r>
    <n v="2848109"/>
    <x v="6"/>
    <s v="06-10-002-000"/>
    <x v="0"/>
    <n v="62893.91"/>
    <n v="0"/>
    <n v="62893.91"/>
    <n v="10000"/>
    <n v="100"/>
    <s v="AMPM47"/>
    <x v="60"/>
    <s v="Energia -A47-Dic"/>
    <s v="Compras"/>
    <s v="sa"/>
    <s v="PMTRX00079743"/>
    <n v="4273255"/>
    <n v="1"/>
    <n v="61"/>
    <s v=""/>
    <m/>
  </r>
  <r>
    <n v="2848110"/>
    <x v="6"/>
    <s v="06-10-002-000"/>
    <x v="0"/>
    <n v="65160.05"/>
    <n v="0"/>
    <n v="65160.05"/>
    <n v="10000"/>
    <n v="100"/>
    <s v="AMPM03"/>
    <x v="61"/>
    <s v="Energia -A03-Dic"/>
    <s v="Compras"/>
    <s v="sa"/>
    <s v="PMTRX00079743"/>
    <n v="4273256"/>
    <n v="1"/>
    <n v="3"/>
    <s v=""/>
    <m/>
  </r>
  <r>
    <n v="2848111"/>
    <x v="6"/>
    <s v="06-10-002-000"/>
    <x v="0"/>
    <n v="65077.85"/>
    <n v="0"/>
    <n v="65077.85"/>
    <n v="10000"/>
    <n v="100"/>
    <s v="AMPM25"/>
    <x v="62"/>
    <s v="Energia -A25-Dic"/>
    <s v="Compras"/>
    <s v="sa"/>
    <s v="PMTRX00079743"/>
    <n v="4273257"/>
    <n v="1"/>
    <n v="25"/>
    <s v=""/>
    <m/>
  </r>
  <r>
    <n v="2848112"/>
    <x v="6"/>
    <s v="06-10-002-000"/>
    <x v="0"/>
    <n v="390.65"/>
    <n v="0"/>
    <n v="390.65"/>
    <n v="10000"/>
    <n v="100"/>
    <s v="AMPM07"/>
    <x v="44"/>
    <s v="Energia -A07-Dic"/>
    <s v="Compras"/>
    <s v="sa"/>
    <s v="PMTRX00079743"/>
    <n v="4273258"/>
    <n v="1"/>
    <n v="7"/>
    <s v=""/>
    <m/>
  </r>
  <r>
    <n v="2848113"/>
    <x v="6"/>
    <s v="06-10-002-000"/>
    <x v="0"/>
    <n v="2159.9"/>
    <n v="0"/>
    <n v="2159.9"/>
    <n v="10000"/>
    <n v="100"/>
    <s v="AMPM26"/>
    <x v="7"/>
    <s v="Energia -A26-Dic"/>
    <s v="Compras"/>
    <s v="sa"/>
    <s v="PMTRX00079743"/>
    <n v="4273259"/>
    <n v="1"/>
    <n v="26"/>
    <s v=""/>
    <m/>
  </r>
  <r>
    <n v="2848114"/>
    <x v="6"/>
    <s v="06-10-002-000"/>
    <x v="0"/>
    <n v="47414.58"/>
    <n v="0"/>
    <n v="47414.58"/>
    <n v="10000"/>
    <n v="100"/>
    <s v="MONITOREO"/>
    <x v="63"/>
    <s v="Energia -MONI-Dic"/>
    <s v="Compras"/>
    <s v="sa"/>
    <s v="PMTRX00079743"/>
    <n v="4273260"/>
    <n v="1"/>
    <n v="30"/>
    <s v=""/>
    <m/>
  </r>
  <r>
    <n v="2848115"/>
    <x v="6"/>
    <s v="06-10-002-000"/>
    <x v="0"/>
    <n v="44590.95"/>
    <n v="0"/>
    <n v="44590.95"/>
    <n v="10000"/>
    <n v="100"/>
    <s v="AMPM31"/>
    <x v="64"/>
    <s v="Energia -A31-Dic"/>
    <s v="Compras"/>
    <s v="sa"/>
    <s v="PMTRX00079743"/>
    <n v="4273261"/>
    <n v="1"/>
    <n v="38"/>
    <s v=""/>
    <m/>
  </r>
  <r>
    <n v="2848116"/>
    <x v="6"/>
    <s v="06-10-002-000"/>
    <x v="0"/>
    <n v="66000.070000000007"/>
    <n v="0"/>
    <n v="66000.070000000007"/>
    <n v="10000"/>
    <n v="100"/>
    <s v="AMPM32"/>
    <x v="65"/>
    <s v="Energia -A32-Dic"/>
    <s v="Compras"/>
    <s v="sa"/>
    <s v="PMTRX00079743"/>
    <n v="4273262"/>
    <n v="1"/>
    <n v="40"/>
    <s v=""/>
    <m/>
  </r>
  <r>
    <n v="2848117"/>
    <x v="6"/>
    <s v="06-10-002-000"/>
    <x v="0"/>
    <n v="3124.1"/>
    <n v="0"/>
    <n v="3124.1"/>
    <n v="10000"/>
    <n v="100"/>
    <s v="AMPM27"/>
    <x v="8"/>
    <s v="Energia -A27-Dic"/>
    <s v="Compras"/>
    <s v="sa"/>
    <s v="PMTRX00079743"/>
    <n v="4273263"/>
    <n v="1"/>
    <n v="34"/>
    <s v=""/>
    <m/>
  </r>
  <r>
    <n v="2848118"/>
    <x v="6"/>
    <s v="06-10-002-000"/>
    <x v="0"/>
    <n v="3879.57"/>
    <n v="0"/>
    <n v="3879.57"/>
    <n v="10000"/>
    <n v="100"/>
    <s v="AMPM01"/>
    <x v="25"/>
    <s v="Energia -A01-Dic"/>
    <s v="Compras"/>
    <s v="sa"/>
    <s v="PMTRX00079743"/>
    <n v="4273264"/>
    <n v="1"/>
    <n v="1"/>
    <s v=""/>
    <m/>
  </r>
  <r>
    <n v="2848119"/>
    <x v="6"/>
    <s v="06-10-002-000"/>
    <x v="0"/>
    <n v="46838.2"/>
    <n v="0"/>
    <n v="46838.2"/>
    <n v="10000"/>
    <n v="100"/>
    <s v="AMPM36"/>
    <x v="66"/>
    <s v="Energia -A36-Dic"/>
    <s v="Compras"/>
    <s v="sa"/>
    <s v="PMTRX00079743"/>
    <n v="4273265"/>
    <n v="1"/>
    <n v="44"/>
    <s v=""/>
    <m/>
  </r>
  <r>
    <n v="2848120"/>
    <x v="6"/>
    <s v="06-10-002-000"/>
    <x v="0"/>
    <n v="103.75"/>
    <n v="0"/>
    <n v="103.75"/>
    <n v="10000"/>
    <n v="100"/>
    <s v="AMPM36"/>
    <x v="66"/>
    <s v="Energia -A36-Dic"/>
    <s v="Compras"/>
    <s v="sa"/>
    <s v="PMTRX00079743"/>
    <n v="4273266"/>
    <n v="1"/>
    <n v="44"/>
    <s v=""/>
    <m/>
  </r>
  <r>
    <n v="2848121"/>
    <x v="6"/>
    <s v="06-10-002-000"/>
    <x v="0"/>
    <n v="2079.04"/>
    <n v="0"/>
    <n v="2079.04"/>
    <n v="10000"/>
    <n v="100"/>
    <s v="AMPM35"/>
    <x v="14"/>
    <s v="Energia -A35-Dic"/>
    <s v="Compras"/>
    <s v="sa"/>
    <s v="PMTRX00079743"/>
    <n v="4273267"/>
    <n v="1"/>
    <n v="43"/>
    <s v=""/>
    <m/>
  </r>
  <r>
    <n v="2848122"/>
    <x v="6"/>
    <s v="06-10-002-000"/>
    <x v="0"/>
    <n v="66409.91"/>
    <n v="0"/>
    <n v="66409.91"/>
    <n v="10000"/>
    <n v="100"/>
    <s v="AMPM40"/>
    <x v="67"/>
    <s v="Energia -A40-Dic"/>
    <s v="Compras"/>
    <s v="sa"/>
    <s v="PMTRX00079743"/>
    <n v="4273268"/>
    <n v="1"/>
    <n v="49"/>
    <s v=""/>
    <m/>
  </r>
  <r>
    <n v="2848123"/>
    <x v="6"/>
    <s v="06-10-002-000"/>
    <x v="0"/>
    <n v="75595.8"/>
    <n v="0"/>
    <n v="75595.8"/>
    <n v="10000"/>
    <n v="100"/>
    <s v="AMPM45"/>
    <x v="68"/>
    <s v="Energia -A45-Dic"/>
    <s v="Compras"/>
    <s v="sa"/>
    <s v="PMTRX00079743"/>
    <n v="4273269"/>
    <n v="1"/>
    <n v="59"/>
    <s v=""/>
    <m/>
  </r>
  <r>
    <n v="2848124"/>
    <x v="6"/>
    <s v="06-10-002-000"/>
    <x v="0"/>
    <n v="2063.4499999999998"/>
    <n v="0"/>
    <n v="2063.4499999999998"/>
    <n v="10000"/>
    <n v="100"/>
    <s v="AMPM12"/>
    <x v="51"/>
    <s v="Energia -A12-Dic"/>
    <s v="Compras"/>
    <s v="sa"/>
    <s v="PMTRX00079743"/>
    <n v="4273270"/>
    <n v="1"/>
    <n v="12"/>
    <s v=""/>
    <m/>
  </r>
  <r>
    <n v="2848125"/>
    <x v="6"/>
    <s v="06-10-002-000"/>
    <x v="0"/>
    <n v="2208.11"/>
    <n v="0"/>
    <n v="2208.11"/>
    <n v="10000"/>
    <n v="100"/>
    <s v="AMPM40"/>
    <x v="67"/>
    <s v="Energia -A40-Dic"/>
    <s v="Compras"/>
    <s v="sa"/>
    <s v="PMTRX00079743"/>
    <n v="4273271"/>
    <n v="1"/>
    <n v="49"/>
    <s v=""/>
    <m/>
  </r>
  <r>
    <n v="2848126"/>
    <x v="6"/>
    <s v="06-10-002-000"/>
    <x v="0"/>
    <n v="347.89"/>
    <n v="0"/>
    <n v="347.89"/>
    <n v="10000"/>
    <n v="100"/>
    <s v="AMPM01"/>
    <x v="25"/>
    <s v="Energia -A01-Dic"/>
    <s v="Compras"/>
    <s v="sa"/>
    <s v="PMTRX00079743"/>
    <n v="4273272"/>
    <n v="1"/>
    <n v="1"/>
    <s v=""/>
    <m/>
  </r>
  <r>
    <n v="2848127"/>
    <x v="6"/>
    <s v="06-10-002-000"/>
    <x v="0"/>
    <n v="2661.38"/>
    <n v="0"/>
    <n v="2661.38"/>
    <n v="10000"/>
    <n v="100"/>
    <s v="AMPM41"/>
    <x v="24"/>
    <s v="Energia -A41-Dic"/>
    <s v="Compras"/>
    <s v="sa"/>
    <s v="PMTRX00079743"/>
    <n v="4273273"/>
    <n v="1"/>
    <n v="50"/>
    <s v=""/>
    <m/>
  </r>
  <r>
    <n v="2848128"/>
    <x v="6"/>
    <s v="06-10-002-000"/>
    <x v="0"/>
    <n v="219.63"/>
    <n v="0"/>
    <n v="219.63"/>
    <n v="10000"/>
    <n v="100"/>
    <s v="AMPM28"/>
    <x v="2"/>
    <s v="Energia -A28-Dic"/>
    <s v="Compras"/>
    <s v="sa"/>
    <s v="PMTRX00079743"/>
    <n v="4273274"/>
    <n v="1"/>
    <n v="35"/>
    <s v=""/>
    <m/>
  </r>
  <r>
    <n v="2848129"/>
    <x v="6"/>
    <s v="06-10-002-000"/>
    <x v="0"/>
    <n v="225.75"/>
    <n v="0"/>
    <n v="225.75"/>
    <n v="10000"/>
    <n v="100"/>
    <s v="AMPM29"/>
    <x v="58"/>
    <s v="Energia -A29-Dic"/>
    <s v="Compras"/>
    <s v="sa"/>
    <s v="PMTRX00079743"/>
    <n v="4273275"/>
    <n v="1"/>
    <n v="36"/>
    <s v=""/>
    <m/>
  </r>
  <r>
    <n v="2848130"/>
    <x v="6"/>
    <s v="06-10-002-000"/>
    <x v="0"/>
    <n v="1822.36"/>
    <n v="0"/>
    <n v="1822.36"/>
    <n v="10000"/>
    <n v="100"/>
    <s v="AMPM42"/>
    <x v="21"/>
    <s v="Energia -A42-Dic"/>
    <s v="Compras"/>
    <s v="sa"/>
    <s v="PMTRX00079743"/>
    <n v="4273276"/>
    <n v="1"/>
    <n v="51"/>
    <s v=""/>
    <m/>
  </r>
  <r>
    <n v="2848131"/>
    <x v="6"/>
    <s v="06-10-002-000"/>
    <x v="0"/>
    <n v="2586.88"/>
    <n v="0"/>
    <n v="2586.88"/>
    <n v="10000"/>
    <n v="100"/>
    <s v="AMPM45"/>
    <x v="68"/>
    <s v="Energia -A45-Dic"/>
    <s v="Compras"/>
    <s v="sa"/>
    <s v="PMTRX00079743"/>
    <n v="4273277"/>
    <n v="1"/>
    <n v="59"/>
    <s v=""/>
    <m/>
  </r>
  <r>
    <n v="2848132"/>
    <x v="6"/>
    <s v="06-10-002-000"/>
    <x v="0"/>
    <n v="55150.35"/>
    <n v="0"/>
    <n v="55150.35"/>
    <n v="10000"/>
    <n v="100"/>
    <s v="AMPM48"/>
    <x v="69"/>
    <s v="Energia -A48-Dic"/>
    <s v="Compras"/>
    <s v="sa"/>
    <s v="PMTRX00079743"/>
    <n v="4273278"/>
    <n v="1"/>
    <n v="62"/>
    <s v=""/>
    <m/>
  </r>
  <r>
    <n v="2848133"/>
    <x v="6"/>
    <s v="06-10-002-000"/>
    <x v="0"/>
    <n v="56552.33"/>
    <n v="0"/>
    <n v="56552.33"/>
    <n v="10000"/>
    <n v="100"/>
    <s v="AMPM50"/>
    <x v="70"/>
    <s v="Energia -A50-Dic"/>
    <s v="Compras"/>
    <s v="sa"/>
    <s v="PMTRX00079743"/>
    <n v="4273279"/>
    <n v="1"/>
    <n v="28"/>
    <s v=""/>
    <m/>
  </r>
  <r>
    <n v="2848134"/>
    <x v="6"/>
    <s v="06-10-002-000"/>
    <x v="0"/>
    <n v="66168.72"/>
    <n v="0"/>
    <n v="66168.72"/>
    <n v="10000"/>
    <n v="100"/>
    <s v="AMPM51"/>
    <x v="71"/>
    <s v="Energia -A51-Dic"/>
    <s v="Compras"/>
    <s v="sa"/>
    <s v="PMTRX00079743"/>
    <n v="4273280"/>
    <n v="1"/>
    <n v="65"/>
    <s v=""/>
    <m/>
  </r>
  <r>
    <n v="2848135"/>
    <x v="6"/>
    <s v="06-10-002-000"/>
    <x v="0"/>
    <n v="62453.87"/>
    <n v="0"/>
    <n v="62453.87"/>
    <n v="10000"/>
    <n v="100"/>
    <s v="AMPM49"/>
    <x v="72"/>
    <s v="Energia -A49-Dic"/>
    <s v="Compras"/>
    <s v="sa"/>
    <s v="PMTRX00079743"/>
    <n v="4273281"/>
    <n v="1"/>
    <n v="63"/>
    <s v=""/>
    <m/>
  </r>
  <r>
    <n v="2848136"/>
    <x v="6"/>
    <s v="06-10-002-000"/>
    <x v="0"/>
    <n v="3153.21"/>
    <n v="0"/>
    <n v="3153.21"/>
    <n v="10000"/>
    <n v="100"/>
    <s v="AMPM47"/>
    <x v="60"/>
    <s v="Energia -A47-Dic"/>
    <s v="Compras"/>
    <s v="sa"/>
    <s v="PMTRX00079743"/>
    <n v="4273282"/>
    <n v="1"/>
    <n v="61"/>
    <s v=""/>
    <m/>
  </r>
  <r>
    <n v="2848137"/>
    <x v="6"/>
    <s v="06-10-002-000"/>
    <x v="0"/>
    <n v="57124.959999999999"/>
    <n v="0"/>
    <n v="57124.959999999999"/>
    <n v="10000"/>
    <n v="100"/>
    <s v="AMPM26"/>
    <x v="7"/>
    <s v="Energia -A26-Dic"/>
    <s v="Compras"/>
    <s v="sa"/>
    <s v="PMTRX00079743"/>
    <n v="4273283"/>
    <n v="1"/>
    <n v="26"/>
    <s v=""/>
    <m/>
  </r>
  <r>
    <n v="2848138"/>
    <x v="6"/>
    <s v="06-10-002-000"/>
    <x v="0"/>
    <n v="25753.77"/>
    <n v="0"/>
    <n v="25753.77"/>
    <n v="10000"/>
    <n v="100"/>
    <s v="AMPM49"/>
    <x v="72"/>
    <s v="Energia -A49-Dic"/>
    <s v="Compras"/>
    <s v="sa"/>
    <s v="PMTRX00079743"/>
    <n v="4273284"/>
    <n v="1"/>
    <n v="63"/>
    <s v=""/>
    <m/>
  </r>
  <r>
    <n v="2848139"/>
    <x v="6"/>
    <s v="06-10-002-000"/>
    <x v="0"/>
    <n v="3769.91"/>
    <n v="0"/>
    <n v="3769.91"/>
    <n v="10000"/>
    <n v="100"/>
    <s v="AMPM51"/>
    <x v="71"/>
    <s v="Energia -A51-Dic"/>
    <s v="Compras"/>
    <s v="sa"/>
    <s v="PMTRX00079743"/>
    <n v="4273285"/>
    <n v="1"/>
    <n v="65"/>
    <s v=""/>
    <m/>
  </r>
  <r>
    <n v="2848140"/>
    <x v="6"/>
    <s v="06-10-002-000"/>
    <x v="0"/>
    <n v="12459.43"/>
    <n v="0"/>
    <n v="12459.43"/>
    <n v="10000"/>
    <n v="100"/>
    <s v="ADMON"/>
    <x v="48"/>
    <s v="Energia -ADMON-Dic"/>
    <s v="Compras"/>
    <s v="sa"/>
    <s v="PMTRX00079743"/>
    <n v="4273286"/>
    <n v="1"/>
    <n v="27"/>
    <s v=""/>
    <m/>
  </r>
  <r>
    <n v="2848141"/>
    <x v="6"/>
    <s v="06-10-002-000"/>
    <x v="0"/>
    <n v="11499.14"/>
    <n v="0"/>
    <n v="11499.14"/>
    <n v="10000"/>
    <n v="100"/>
    <s v="ADMON"/>
    <x v="48"/>
    <s v="Energia -ADMON-Dic"/>
    <s v="Compras"/>
    <s v="sa"/>
    <s v="PMTRX00079743"/>
    <n v="4273287"/>
    <n v="1"/>
    <n v="27"/>
    <s v=""/>
    <m/>
  </r>
  <r>
    <n v="2848142"/>
    <x v="6"/>
    <s v="06-10-002-000"/>
    <x v="0"/>
    <n v="27812.62"/>
    <n v="0"/>
    <n v="27812.62"/>
    <n v="10000"/>
    <n v="100"/>
    <s v="AMPM99"/>
    <x v="73"/>
    <s v="Energia -A99-Dic"/>
    <s v="Compras"/>
    <s v="sa"/>
    <s v="PMTRX00079743"/>
    <n v="4273288"/>
    <n v="1"/>
    <n v="33"/>
    <s v=""/>
    <m/>
  </r>
  <r>
    <n v="2848143"/>
    <x v="6"/>
    <s v="06-10-002-000"/>
    <x v="0"/>
    <n v="48870.28"/>
    <n v="0"/>
    <n v="48870.28"/>
    <n v="10000"/>
    <n v="100"/>
    <s v="AMPM59"/>
    <x v="74"/>
    <s v="Energia -A59-Dic"/>
    <s v="Compras"/>
    <s v="sa"/>
    <s v="PMTRX00079743"/>
    <n v="4273289"/>
    <n v="1"/>
    <n v="75"/>
    <s v=""/>
    <m/>
  </r>
  <r>
    <n v="2848144"/>
    <x v="6"/>
    <s v="06-10-002-000"/>
    <x v="0"/>
    <n v="62597.33"/>
    <n v="0"/>
    <n v="62597.33"/>
    <n v="10000"/>
    <n v="100"/>
    <s v="AMPM61"/>
    <x v="75"/>
    <s v="Energia -A61-Dic"/>
    <s v="Compras"/>
    <s v="sa"/>
    <s v="PMTRX00079743"/>
    <n v="4273290"/>
    <n v="1"/>
    <n v="77"/>
    <s v=""/>
    <m/>
  </r>
  <r>
    <n v="2848145"/>
    <x v="6"/>
    <s v="06-10-002-000"/>
    <x v="0"/>
    <n v="72642.75"/>
    <n v="0"/>
    <n v="72642.75"/>
    <n v="10000"/>
    <n v="100"/>
    <s v="AMPM60"/>
    <x v="76"/>
    <s v="Energia -A60-Dic"/>
    <s v="Compras"/>
    <s v="sa"/>
    <s v="PMTRX00079743"/>
    <n v="4273291"/>
    <n v="1"/>
    <n v="76"/>
    <s v=""/>
    <m/>
  </r>
  <r>
    <n v="2848146"/>
    <x v="6"/>
    <s v="06-10-002-000"/>
    <x v="0"/>
    <n v="60891.41"/>
    <n v="0"/>
    <n v="60891.41"/>
    <n v="10000"/>
    <n v="100"/>
    <s v="AMPM62"/>
    <x v="77"/>
    <s v="Energia -A62-Dic"/>
    <s v="Compras"/>
    <s v="sa"/>
    <s v="PMTRX00079743"/>
    <n v="4273292"/>
    <n v="1"/>
    <n v="78"/>
    <s v=""/>
    <m/>
  </r>
  <r>
    <n v="2848147"/>
    <x v="6"/>
    <s v="06-10-002-000"/>
    <x v="0"/>
    <n v="87024.39"/>
    <n v="0"/>
    <n v="87024.39"/>
    <n v="10000"/>
    <n v="100"/>
    <s v="AMPM65"/>
    <x v="78"/>
    <s v="Energia -A65-Dic"/>
    <s v="Compras"/>
    <s v="sa"/>
    <s v="PMTRX00079743"/>
    <n v="4273293"/>
    <n v="1"/>
    <n v="81"/>
    <s v=""/>
    <m/>
  </r>
  <r>
    <n v="2848148"/>
    <x v="6"/>
    <s v="06-10-002-000"/>
    <x v="0"/>
    <n v="69565.61"/>
    <n v="0"/>
    <n v="69565.61"/>
    <n v="10000"/>
    <n v="100"/>
    <s v="AMPM66"/>
    <x v="79"/>
    <s v="Energia -A66-Dic"/>
    <s v="Compras"/>
    <s v="sa"/>
    <s v="PMTRX00079743"/>
    <n v="4273294"/>
    <n v="1"/>
    <n v="82"/>
    <s v=""/>
    <m/>
  </r>
  <r>
    <n v="2848149"/>
    <x v="6"/>
    <s v="06-10-002-000"/>
    <x v="0"/>
    <n v="68745.38"/>
    <n v="0"/>
    <n v="68745.38"/>
    <n v="10000"/>
    <n v="100"/>
    <s v="AMPM67"/>
    <x v="80"/>
    <s v="Energia -A67-Dic"/>
    <s v="Compras"/>
    <s v="sa"/>
    <s v="PMTRX00079743"/>
    <n v="4273295"/>
    <n v="1"/>
    <n v="83"/>
    <s v=""/>
    <m/>
  </r>
  <r>
    <n v="2848150"/>
    <x v="6"/>
    <s v="06-10-002-000"/>
    <x v="0"/>
    <n v="2198.4699999999998"/>
    <n v="0"/>
    <n v="2198.4699999999998"/>
    <n v="10000"/>
    <n v="100"/>
    <s v="AMPM67"/>
    <x v="80"/>
    <s v="Energia -A67-Dic"/>
    <s v="Compras"/>
    <s v="sa"/>
    <s v="PMTRX00079743"/>
    <n v="4273296"/>
    <n v="1"/>
    <n v="83"/>
    <s v=""/>
    <m/>
  </r>
  <r>
    <n v="2848151"/>
    <x v="6"/>
    <s v="06-10-002-000"/>
    <x v="0"/>
    <n v="72542.559999999998"/>
    <n v="0"/>
    <n v="72542.559999999998"/>
    <n v="10000"/>
    <n v="100"/>
    <s v="AMPM78"/>
    <x v="81"/>
    <s v="Energia -A78-Dic"/>
    <s v="Compras"/>
    <s v="sa"/>
    <s v="PMTRX00079743"/>
    <n v="4273297"/>
    <n v="1"/>
    <n v="94"/>
    <s v=""/>
    <m/>
  </r>
  <r>
    <n v="2848152"/>
    <x v="6"/>
    <s v="06-10-002-000"/>
    <x v="0"/>
    <n v="81285.64"/>
    <n v="0"/>
    <n v="81285.64"/>
    <n v="10000"/>
    <n v="100"/>
    <s v="AMPM79"/>
    <x v="82"/>
    <s v="Energia -A79-Dic"/>
    <s v="Compras"/>
    <s v="sa"/>
    <s v="PMTRX00079743"/>
    <n v="4273298"/>
    <n v="1"/>
    <n v="95"/>
    <s v=""/>
    <m/>
  </r>
  <r>
    <n v="2848153"/>
    <x v="6"/>
    <s v="06-10-002-000"/>
    <x v="0"/>
    <n v="74946.34"/>
    <n v="0"/>
    <n v="74946.34"/>
    <n v="10000"/>
    <n v="100"/>
    <s v="AMPM81"/>
    <x v="83"/>
    <s v="Energia -A81-Dic"/>
    <s v="Compras"/>
    <s v="sa"/>
    <s v="PMTRX00079743"/>
    <n v="4273299"/>
    <n v="1"/>
    <n v="99"/>
    <s v=""/>
    <m/>
  </r>
  <r>
    <n v="2848154"/>
    <x v="6"/>
    <s v="06-10-002-000"/>
    <x v="0"/>
    <n v="68760.75"/>
    <n v="0"/>
    <n v="68760.75"/>
    <n v="10000"/>
    <n v="100"/>
    <s v="AMPM82"/>
    <x v="84"/>
    <s v="Energia -A82-Dic"/>
    <s v="Compras"/>
    <s v="sa"/>
    <s v="PMTRX00079743"/>
    <n v="4273300"/>
    <n v="1"/>
    <n v="96"/>
    <s v=""/>
    <m/>
  </r>
  <r>
    <n v="2848155"/>
    <x v="6"/>
    <s v="06-10-002-000"/>
    <x v="0"/>
    <n v="89265.919999999998"/>
    <n v="0"/>
    <n v="89265.919999999998"/>
    <n v="10000"/>
    <n v="100"/>
    <s v="AMPM34"/>
    <x v="85"/>
    <s v="Energia -A34-Dic"/>
    <s v="Compras"/>
    <s v="sa"/>
    <s v="PMTRX00079743"/>
    <n v="4273301"/>
    <n v="1"/>
    <n v="41"/>
    <s v=""/>
    <m/>
  </r>
  <r>
    <n v="2848156"/>
    <x v="6"/>
    <s v="06-10-002-000"/>
    <x v="0"/>
    <n v="97310.34"/>
    <n v="0"/>
    <n v="97310.34"/>
    <n v="10000"/>
    <n v="100"/>
    <s v="AMPM85"/>
    <x v="86"/>
    <s v="Energia -A85-Dic"/>
    <s v="Compras"/>
    <s v="sa"/>
    <s v="PMTRX00079743"/>
    <n v="4273302"/>
    <n v="1"/>
    <n v="101"/>
    <s v=""/>
    <m/>
  </r>
  <r>
    <n v="2848157"/>
    <x v="6"/>
    <s v="06-10-002-000"/>
    <x v="0"/>
    <n v="1000"/>
    <n v="0"/>
    <n v="1000"/>
    <n v="10000"/>
    <n v="100"/>
    <s v="AMPM73"/>
    <x v="17"/>
    <s v="DESCRIPCION"/>
    <s v="Compras"/>
    <s v="sa"/>
    <s v="PMTRX00079743"/>
    <n v="4273303"/>
    <n v="1"/>
    <n v="89"/>
    <s v=""/>
    <m/>
  </r>
  <r>
    <n v="2848231"/>
    <x v="7"/>
    <s v="06-10-002-000"/>
    <x v="0"/>
    <n v="4094.85"/>
    <n v="0"/>
    <n v="4094.85"/>
    <n v="10000"/>
    <m/>
    <s v="AMPM37"/>
    <x v="49"/>
    <s v="Entrada: Transacción Externa."/>
    <s v="Pago de energia bodega"/>
    <s v="mvasquez"/>
    <s v="GLTRX00890585"/>
    <n v="4273378"/>
    <n v="1"/>
    <n v="42"/>
    <s v=""/>
    <m/>
  </r>
  <r>
    <n v="2855252"/>
    <x v="7"/>
    <s v="06-10-002-000"/>
    <x v="0"/>
    <n v="612.01"/>
    <n v="0"/>
    <n v="612.01"/>
    <n v="10000"/>
    <e v="#REF!"/>
    <s v="AMPM03"/>
    <x v="61"/>
    <s v="ENERGIA A03 RT"/>
    <s v="25121130275 A03RT"/>
    <s v="xmaltez"/>
    <s v="PMTRX00080018"/>
    <n v="4278982"/>
    <n v="1"/>
    <n v="3"/>
    <s v=""/>
    <m/>
  </r>
  <r>
    <n v="2855324"/>
    <x v="7"/>
    <s v="06-10-002-000"/>
    <x v="0"/>
    <n v="39918.35"/>
    <n v="0"/>
    <n v="39918.35"/>
    <n v="10000"/>
    <e v="#REF!"/>
    <s v="AMPM89"/>
    <x v="87"/>
    <s v="ENERGIA A89 DICIEMBRE"/>
    <s v="25121220237 A89"/>
    <s v="xmaltez"/>
    <s v="PMTRX00080018"/>
    <n v="4278983"/>
    <n v="1"/>
    <n v="105"/>
    <s v=""/>
    <m/>
  </r>
  <r>
    <n v="2855395"/>
    <x v="7"/>
    <s v="06-10-002-000"/>
    <x v="0"/>
    <n v="80101.84"/>
    <n v="0"/>
    <n v="80101.84"/>
    <n v="10000"/>
    <e v="#REF!"/>
    <s v="AMPM86"/>
    <x v="88"/>
    <s v="ENERGIA A86 DICIEMBRE"/>
    <s v="25121220324 A86"/>
    <s v="xmaltez"/>
    <s v="PMTRX00080018"/>
    <n v="4278984"/>
    <n v="1"/>
    <n v="104"/>
    <s v=""/>
    <m/>
  </r>
  <r>
    <n v="2855827"/>
    <x v="7"/>
    <s v="06-10-002-000"/>
    <x v="0"/>
    <n v="346.42"/>
    <n v="0"/>
    <n v="346.42"/>
    <n v="10000"/>
    <e v="#REF!"/>
    <s v="ADMON"/>
    <x v="48"/>
    <s v="ENERGIA ADMON"/>
    <s v="ENERGIA ADMON"/>
    <s v="xmaltez"/>
    <s v="PMTRX00080019"/>
    <n v="4278986"/>
    <n v="1"/>
    <n v="27"/>
    <s v=""/>
    <m/>
  </r>
  <r>
    <n v="2855841"/>
    <x v="7"/>
    <s v="06-10-002-000"/>
    <x v="0"/>
    <n v="141.35"/>
    <n v="0"/>
    <n v="141.35"/>
    <n v="10000"/>
    <e v="#REF!"/>
    <s v="AMPM99"/>
    <x v="73"/>
    <s v="ENERGIA CEDI"/>
    <s v="ENERGIA CEDI"/>
    <s v="xmaltez"/>
    <s v="PMTRX00080019"/>
    <n v="4278987"/>
    <n v="1"/>
    <n v="33"/>
    <s v=""/>
    <m/>
  </r>
  <r>
    <n v="2855857"/>
    <x v="7"/>
    <s v="06-10-002-000"/>
    <x v="0"/>
    <n v="230.94"/>
    <n v="0"/>
    <n v="230.94"/>
    <n v="10000"/>
    <e v="#REF!"/>
    <s v="MONITOREO"/>
    <x v="63"/>
    <s v="ENERGIA MONITOREO"/>
    <s v="ENERGIA MONITOREO"/>
    <s v="xmaltez"/>
    <s v="PMTRX00080019"/>
    <n v="4278988"/>
    <n v="1"/>
    <n v="30"/>
    <s v=""/>
    <m/>
  </r>
  <r>
    <n v="2855879"/>
    <x v="7"/>
    <s v="06-10-002-000"/>
    <x v="0"/>
    <n v="1.89"/>
    <n v="0"/>
    <n v="1.89"/>
    <n v="10000"/>
    <e v="#REF!"/>
    <s v="OPERACIONES"/>
    <x v="10"/>
    <s v="ENERGIA OPERACIONES"/>
    <s v="ENERGIA OPERACIONES"/>
    <s v="xmaltez"/>
    <s v="PMTRX00080019"/>
    <n v="4278989"/>
    <n v="1"/>
    <n v="31"/>
    <s v=""/>
    <m/>
  </r>
  <r>
    <n v="2858142"/>
    <x v="8"/>
    <s v="06-10-002-000"/>
    <x v="0"/>
    <n v="2746.82"/>
    <n v="0"/>
    <n v="2746.82"/>
    <n v="10000"/>
    <n v="100"/>
    <s v="AMPM15"/>
    <x v="1"/>
    <s v="ALQUILER AMPM15 ENERO 26"/>
    <s v="Compras"/>
    <s v="rgonzalez"/>
    <s v="PMTRX00080116"/>
    <n v="4282690"/>
    <n v="1"/>
    <n v="15"/>
    <s v=""/>
    <m/>
  </r>
  <r>
    <n v="2858264"/>
    <x v="9"/>
    <s v="06-10-002-000"/>
    <x v="0"/>
    <n v="815.26"/>
    <n v="0"/>
    <n v="815.26"/>
    <n v="10000"/>
    <n v="100"/>
    <s v="AMPM28"/>
    <x v="2"/>
    <s v="ALQUILER A28 ENERO"/>
    <s v="ENERGIA A28"/>
    <s v="xmaltez"/>
    <s v="PMTRX00080119"/>
    <n v="4282797"/>
    <n v="1"/>
    <n v="35"/>
    <s v=""/>
    <m/>
  </r>
  <r>
    <n v="2858283"/>
    <x v="10"/>
    <s v="06-10-002-000"/>
    <x v="0"/>
    <n v="45529.1"/>
    <n v="0"/>
    <n v="45529.1"/>
    <n v="10000"/>
    <n v="100"/>
    <s v="PANADE"/>
    <x v="0"/>
    <s v="ENERGIA PANADERIA   ENERO"/>
    <s v="ENERGIA PANADERIA   ENERO"/>
    <s v="xmaltez"/>
    <s v="PMTRX00080125"/>
    <n v="4282804"/>
    <n v="1"/>
    <n v="32"/>
    <s v=""/>
    <m/>
  </r>
  <r>
    <n v="2863557"/>
    <x v="11"/>
    <s v="06-10-002-000"/>
    <x v="0"/>
    <n v="12280.49"/>
    <n v="0"/>
    <n v="12280.49"/>
    <n v="10000"/>
    <n v="100"/>
    <s v="AMPM26"/>
    <x v="7"/>
    <s v="AREAS COMUNES ENERO A26"/>
    <s v="ENERGUIA A26"/>
    <s v="xmaltez"/>
    <s v="PMTRX00080351"/>
    <n v="4285605"/>
    <n v="1"/>
    <n v="26"/>
    <s v=""/>
    <m/>
  </r>
  <r>
    <n v="2865514"/>
    <x v="11"/>
    <s v="06-10-002-000"/>
    <x v="0"/>
    <n v="2363.9499999999998"/>
    <n v="0"/>
    <n v="2363.9499999999998"/>
    <n v="10000"/>
    <n v="100"/>
    <s v="AMPM15"/>
    <x v="1"/>
    <s v="AREAS COMUNES A15 DIC"/>
    <s v="ENERGIA A15"/>
    <s v="xmaltez"/>
    <s v="PMTRX00080494"/>
    <n v="4286883"/>
    <n v="1"/>
    <n v="15"/>
    <s v=""/>
    <m/>
  </r>
  <r>
    <n v="2865523"/>
    <x v="11"/>
    <s v="06-10-002-000"/>
    <x v="0"/>
    <n v="2396.86"/>
    <n v="0"/>
    <n v="2396.86"/>
    <n v="10000"/>
    <n v="100"/>
    <s v="AMPM15"/>
    <x v="1"/>
    <s v="AREAS COMUNES A15 NOV"/>
    <s v="ENERGIA A15"/>
    <s v="xmaltez"/>
    <s v="PMTRX00080494"/>
    <n v="4286884"/>
    <n v="1"/>
    <n v="15"/>
    <s v=""/>
    <m/>
  </r>
  <r>
    <n v="2865529"/>
    <x v="11"/>
    <s v="06-10-002-000"/>
    <x v="0"/>
    <n v="2330.19"/>
    <n v="0"/>
    <n v="2330.19"/>
    <n v="10000"/>
    <n v="100"/>
    <s v="AMPM15"/>
    <x v="1"/>
    <s v="AREAS COMUNES A15 OCTU"/>
    <s v="ENERGIA A15"/>
    <s v="xmaltez"/>
    <s v="PMTRX00080494"/>
    <n v="4286885"/>
    <n v="1"/>
    <n v="15"/>
    <s v=""/>
    <m/>
  </r>
  <r>
    <n v="2869692"/>
    <x v="9"/>
    <s v="06-10-002-000"/>
    <x v="0"/>
    <n v="549.36"/>
    <n v="0"/>
    <n v="549.36"/>
    <n v="10000"/>
    <n v="100"/>
    <s v="AMPM27"/>
    <x v="8"/>
    <s v="ALQUILER A27 ENERO"/>
    <s v="ENERGIA A27"/>
    <s v="xmaltez"/>
    <s v="PMTRX00080677"/>
    <n v="4289740"/>
    <n v="1"/>
    <n v="34"/>
    <s v=""/>
    <m/>
  </r>
  <r>
    <n v="2882559"/>
    <x v="8"/>
    <s v="06-10-002-000"/>
    <x v="0"/>
    <n v="58727.8"/>
    <n v="0"/>
    <n v="58727.8"/>
    <n v="10000"/>
    <n v="100"/>
    <s v="AMPM76"/>
    <x v="6"/>
    <s v="ENERGIA A76 ENERO"/>
    <s v="1566080 A76"/>
    <s v="xmaltez"/>
    <s v="PMTRX00080779"/>
    <n v="4302114"/>
    <n v="1"/>
    <n v="93"/>
    <s v=""/>
    <m/>
  </r>
  <r>
    <n v="2882562"/>
    <x v="8"/>
    <s v="06-10-002-000"/>
    <x v="0"/>
    <n v="67378.149999999994"/>
    <n v="0"/>
    <n v="67378.149999999994"/>
    <n v="10000"/>
    <n v="100"/>
    <s v="AMPM68"/>
    <x v="5"/>
    <s v="ENERGIA A68 ENERO"/>
    <s v="1388143 A68"/>
    <s v="xmaltez"/>
    <s v="PMTRX00080779"/>
    <n v="4302115"/>
    <n v="1"/>
    <n v="84"/>
    <s v=""/>
    <m/>
  </r>
  <r>
    <n v="2882563"/>
    <x v="8"/>
    <s v="06-10-002-000"/>
    <x v="0"/>
    <n v="39049.49"/>
    <n v="0"/>
    <n v="39049.49"/>
    <n v="10000"/>
    <n v="100"/>
    <s v="AMPM57"/>
    <x v="4"/>
    <s v="ENERGIA A57 ENERO"/>
    <s v="2942614 A57"/>
    <s v="xmaltez"/>
    <s v="PMTRX00080779"/>
    <n v="4302116"/>
    <n v="1"/>
    <n v="73"/>
    <s v=""/>
    <m/>
  </r>
  <r>
    <n v="2882564"/>
    <x v="8"/>
    <s v="06-10-002-000"/>
    <x v="0"/>
    <n v="2861.21"/>
    <n v="0"/>
    <n v="2861.21"/>
    <n v="10000"/>
    <n v="100"/>
    <s v="AMPM57"/>
    <x v="4"/>
    <s v="ENERGIA A57 BODEGA"/>
    <s v="2942739 A57 BODEGA"/>
    <s v="xmaltez"/>
    <s v="PMTRX00080779"/>
    <n v="4302117"/>
    <n v="1"/>
    <n v="73"/>
    <s v=""/>
    <m/>
  </r>
  <r>
    <n v="2882565"/>
    <x v="8"/>
    <s v="06-10-002-000"/>
    <x v="0"/>
    <n v="37934.14"/>
    <n v="0"/>
    <n v="37934.14"/>
    <n v="10000"/>
    <n v="100"/>
    <s v="AMPM80"/>
    <x v="3"/>
    <s v="ENERGIA A80 ENERO"/>
    <s v="2451144 A80"/>
    <s v="xmaltez"/>
    <s v="PMTRX00080779"/>
    <n v="4302118"/>
    <n v="1"/>
    <n v="98"/>
    <s v=""/>
    <m/>
  </r>
  <r>
    <n v="2901610"/>
    <x v="12"/>
    <s v="06-10-002-000"/>
    <x v="0"/>
    <n v="1245.23"/>
    <n v="0"/>
    <n v="1245.23"/>
    <n v="10000"/>
    <n v="100"/>
    <s v="AMPM15"/>
    <x v="1"/>
    <s v="PLANTA ELECTRICACA"/>
    <s v="PLANTA ELECTRICA A15"/>
    <s v="xmaltez"/>
    <s v="PMTRX00081613"/>
    <n v="4324320"/>
    <n v="1"/>
    <n v="15"/>
    <s v=""/>
    <m/>
  </r>
  <r>
    <n v="2914713"/>
    <x v="13"/>
    <s v="06-10-002-000"/>
    <x v="0"/>
    <n v="4418.2299999999996"/>
    <n v="0"/>
    <n v="4418.2299999999996"/>
    <n v="10000"/>
    <n v="100"/>
    <s v="AMPM89"/>
    <x v="87"/>
    <s v="DISSUR 1800 1530 BANPRO"/>
    <s v="Energia-DIRIAMBA"/>
    <s v="jlopez"/>
    <s v="GLTRX00915521"/>
    <n v="4333255"/>
    <n v="1"/>
    <n v="105"/>
    <s v=""/>
    <m/>
  </r>
  <r>
    <n v="2921151"/>
    <x v="14"/>
    <s v="06-10-002-000"/>
    <x v="0"/>
    <n v="3018.2"/>
    <n v="0"/>
    <n v="3018.2"/>
    <n v="10000"/>
    <n v="100"/>
    <s v="AMPM47"/>
    <x v="60"/>
    <s v="Energia -A47-Ener"/>
    <s v="Compras"/>
    <s v="mbonilla"/>
    <s v="PMTRX00081993"/>
    <n v="4339740"/>
    <n v="1"/>
    <n v="61"/>
    <s v=""/>
    <m/>
  </r>
  <r>
    <n v="2921152"/>
    <x v="14"/>
    <s v="06-10-002-000"/>
    <x v="0"/>
    <n v="531.12"/>
    <n v="0"/>
    <n v="531.12"/>
    <n v="10000"/>
    <n v="100"/>
    <s v="OPERACIONES"/>
    <x v="10"/>
    <s v="Energia -OPERA-Ener"/>
    <s v="Compras"/>
    <s v="mbonilla"/>
    <s v="PMTRX00081993"/>
    <n v="4339741"/>
    <n v="1"/>
    <n v="31"/>
    <s v=""/>
    <m/>
  </r>
  <r>
    <n v="2921153"/>
    <x v="14"/>
    <s v="06-10-002-000"/>
    <x v="0"/>
    <n v="712.04"/>
    <n v="0"/>
    <n v="712.04"/>
    <n v="10000"/>
    <n v="100"/>
    <s v="AMPM03"/>
    <x v="61"/>
    <s v="Energia -A03-Ener"/>
    <s v="Compras"/>
    <s v="mbonilla"/>
    <s v="PMTRX00081993"/>
    <n v="4339742"/>
    <n v="1"/>
    <n v="3"/>
    <s v=""/>
    <m/>
  </r>
  <r>
    <n v="2921154"/>
    <x v="14"/>
    <s v="06-10-002-000"/>
    <x v="0"/>
    <n v="2633.05"/>
    <n v="0"/>
    <n v="2633.05"/>
    <n v="10000"/>
    <n v="100"/>
    <s v="AMPM35"/>
    <x v="14"/>
    <s v="Energia -A35-Ener"/>
    <s v="Compras"/>
    <s v="mbonilla"/>
    <s v="PMTRX00081993"/>
    <n v="4339743"/>
    <n v="1"/>
    <n v="43"/>
    <s v=""/>
    <m/>
  </r>
  <r>
    <n v="2921155"/>
    <x v="14"/>
    <s v="06-10-002-000"/>
    <x v="0"/>
    <n v="59160.43"/>
    <n v="0"/>
    <n v="59160.43"/>
    <n v="10000"/>
    <n v="100"/>
    <s v="AMPM44"/>
    <x v="38"/>
    <s v="Energia -A44-Ener"/>
    <s v="Compras"/>
    <s v="mbonilla"/>
    <s v="PMTRX00081993"/>
    <n v="4339744"/>
    <n v="1"/>
    <n v="57"/>
    <s v=""/>
    <m/>
  </r>
  <r>
    <n v="2921156"/>
    <x v="14"/>
    <s v="06-10-002-000"/>
    <x v="0"/>
    <n v="57281.49"/>
    <n v="0"/>
    <n v="57281.49"/>
    <n v="10000"/>
    <n v="100"/>
    <s v="AMPM47"/>
    <x v="60"/>
    <s v="Energia -A47-Ener"/>
    <s v="Compras"/>
    <s v="mbonilla"/>
    <s v="PMTRX00081993"/>
    <n v="4339745"/>
    <n v="1"/>
    <n v="61"/>
    <s v=""/>
    <m/>
  </r>
  <r>
    <n v="2921157"/>
    <x v="14"/>
    <s v="06-10-002-000"/>
    <x v="0"/>
    <n v="65771.259999999995"/>
    <n v="0"/>
    <n v="65771.259999999995"/>
    <n v="10000"/>
    <n v="100"/>
    <s v="AMPM55"/>
    <x v="37"/>
    <s v="Energia -A55-Ener"/>
    <s v="Compras"/>
    <s v="mbonilla"/>
    <s v="PMTRX00081993"/>
    <n v="4339746"/>
    <n v="1"/>
    <n v="71"/>
    <s v=""/>
    <m/>
  </r>
  <r>
    <n v="2921158"/>
    <x v="14"/>
    <s v="06-10-002-000"/>
    <x v="0"/>
    <n v="60261.86"/>
    <n v="0"/>
    <n v="60261.86"/>
    <n v="10000"/>
    <n v="100"/>
    <s v="AMPM46"/>
    <x v="34"/>
    <s v="Energia -A46-Ener"/>
    <s v="Compras"/>
    <s v="mbonilla"/>
    <s v="PMTRX00081993"/>
    <n v="4339747"/>
    <n v="1"/>
    <n v="60"/>
    <s v=""/>
    <m/>
  </r>
  <r>
    <n v="2921159"/>
    <x v="14"/>
    <s v="06-10-002-000"/>
    <x v="0"/>
    <n v="46397.07"/>
    <n v="0"/>
    <n v="46397.07"/>
    <n v="10000"/>
    <n v="100"/>
    <s v="AMPM64"/>
    <x v="19"/>
    <s v="Energia -A64-Ener"/>
    <s v="Compras"/>
    <s v="mbonilla"/>
    <s v="PMTRX00081993"/>
    <n v="4339748"/>
    <n v="1"/>
    <n v="80"/>
    <s v=""/>
    <m/>
  </r>
  <r>
    <n v="2921160"/>
    <x v="14"/>
    <s v="06-10-002-000"/>
    <x v="0"/>
    <n v="77664.539999999994"/>
    <n v="0"/>
    <n v="77664.539999999994"/>
    <n v="10000"/>
    <n v="100"/>
    <s v="AMPM87"/>
    <x v="89"/>
    <s v="Energia -A87-Ener"/>
    <s v="Compras"/>
    <s v="mbonilla"/>
    <s v="PMTRX00081993"/>
    <n v="4339749"/>
    <n v="1"/>
    <n v="103"/>
    <s v=""/>
    <m/>
  </r>
  <r>
    <n v="2921161"/>
    <x v="14"/>
    <s v="06-10-002-000"/>
    <x v="0"/>
    <n v="54545.86"/>
    <n v="0"/>
    <n v="54545.86"/>
    <n v="10000"/>
    <n v="100"/>
    <s v="AMPM50"/>
    <x v="70"/>
    <s v="Energia -A50-Ener"/>
    <s v="Compras"/>
    <s v="mbonilla"/>
    <s v="PMTRX00081993"/>
    <n v="4339750"/>
    <n v="1"/>
    <n v="28"/>
    <s v=""/>
    <m/>
  </r>
  <r>
    <n v="2921162"/>
    <x v="14"/>
    <s v="06-10-002-000"/>
    <x v="0"/>
    <n v="62127.19"/>
    <n v="0"/>
    <n v="62127.19"/>
    <n v="10000"/>
    <n v="100"/>
    <s v="AMPM58"/>
    <x v="46"/>
    <s v="Energia -A58-Ener"/>
    <s v="Compras"/>
    <s v="mbonilla"/>
    <s v="PMTRX00081993"/>
    <n v="4339751"/>
    <n v="1"/>
    <n v="74"/>
    <s v=""/>
    <m/>
  </r>
  <r>
    <n v="2921163"/>
    <x v="14"/>
    <s v="06-10-002-000"/>
    <x v="0"/>
    <n v="2410.64"/>
    <n v="0"/>
    <n v="2410.64"/>
    <n v="10000"/>
    <n v="100"/>
    <s v="AMPM67"/>
    <x v="80"/>
    <s v="Energia -A67-Ener"/>
    <s v="Compras"/>
    <s v="mbonilla"/>
    <s v="PMTRX00081993"/>
    <n v="4339752"/>
    <n v="1"/>
    <n v="83"/>
    <s v=""/>
    <m/>
  </r>
  <r>
    <n v="2921164"/>
    <x v="14"/>
    <s v="06-10-002-000"/>
    <x v="0"/>
    <n v="2487.7800000000002"/>
    <n v="0"/>
    <n v="2487.7800000000002"/>
    <n v="10000"/>
    <n v="100"/>
    <s v="AMPM41"/>
    <x v="24"/>
    <s v="Energia -A41-Ener"/>
    <s v="Compras"/>
    <s v="mbonilla"/>
    <s v="PMTRX00081993"/>
    <n v="4339753"/>
    <n v="1"/>
    <n v="50"/>
    <s v=""/>
    <m/>
  </r>
  <r>
    <n v="2921165"/>
    <x v="14"/>
    <s v="06-10-002-000"/>
    <x v="0"/>
    <n v="48848.08"/>
    <n v="0"/>
    <n v="48848.08"/>
    <n v="10000"/>
    <n v="100"/>
    <s v="AMPM39"/>
    <x v="31"/>
    <s v="Energia -A39-Ener"/>
    <s v="Compras"/>
    <s v="mbonilla"/>
    <s v="PMTRX00081993"/>
    <n v="4339754"/>
    <n v="1"/>
    <n v="48"/>
    <s v=""/>
    <m/>
  </r>
  <r>
    <n v="2921166"/>
    <x v="14"/>
    <s v="06-10-002-000"/>
    <x v="0"/>
    <n v="2740.32"/>
    <n v="0"/>
    <n v="2740.32"/>
    <n v="10000"/>
    <n v="100"/>
    <s v="AMPM39"/>
    <x v="31"/>
    <s v="Energia -A39-Ener"/>
    <s v="Compras"/>
    <s v="mbonilla"/>
    <s v="PMTRX00081993"/>
    <n v="4339755"/>
    <n v="1"/>
    <n v="48"/>
    <s v=""/>
    <m/>
  </r>
  <r>
    <n v="2921167"/>
    <x v="14"/>
    <s v="06-10-002-000"/>
    <x v="0"/>
    <n v="1928.44"/>
    <n v="0"/>
    <n v="1928.44"/>
    <n v="10000"/>
    <n v="100"/>
    <s v="AMPM12"/>
    <x v="51"/>
    <s v="Energia -A12-Ener"/>
    <s v="Compras"/>
    <s v="mbonilla"/>
    <s v="PMTRX00081993"/>
    <n v="4339756"/>
    <n v="1"/>
    <n v="12"/>
    <s v=""/>
    <m/>
  </r>
  <r>
    <n v="2921168"/>
    <x v="14"/>
    <s v="06-10-002-000"/>
    <x v="0"/>
    <n v="2409.91"/>
    <n v="0"/>
    <n v="2409.91"/>
    <n v="10000"/>
    <n v="100"/>
    <s v="AMPM13"/>
    <x v="54"/>
    <s v="Energia -A13-Ener"/>
    <s v="Compras"/>
    <s v="mbonilla"/>
    <s v="PMTRX00081993"/>
    <n v="4339757"/>
    <n v="1"/>
    <n v="13"/>
    <s v=""/>
    <m/>
  </r>
  <r>
    <n v="2921169"/>
    <x v="14"/>
    <s v="06-10-002-000"/>
    <x v="0"/>
    <n v="70054.39"/>
    <n v="0"/>
    <n v="70054.39"/>
    <n v="10000"/>
    <n v="100"/>
    <s v="AMPM13"/>
    <x v="54"/>
    <s v="Energia -A13-Ener"/>
    <s v="Compras"/>
    <s v="mbonilla"/>
    <s v="PMTRX00081993"/>
    <n v="4339758"/>
    <n v="1"/>
    <n v="13"/>
    <s v=""/>
    <m/>
  </r>
  <r>
    <n v="2921170"/>
    <x v="14"/>
    <s v="06-10-002-000"/>
    <x v="0"/>
    <n v="213.53"/>
    <n v="0"/>
    <n v="213.53"/>
    <n v="10000"/>
    <n v="100"/>
    <s v="AMPM28"/>
    <x v="2"/>
    <s v="Energia -A28-Ener"/>
    <s v="Compras"/>
    <s v="mbonilla"/>
    <s v="PMTRX00081993"/>
    <n v="4339759"/>
    <n v="1"/>
    <n v="35"/>
    <s v=""/>
    <m/>
  </r>
  <r>
    <n v="2921171"/>
    <x v="14"/>
    <s v="06-10-002-000"/>
    <x v="0"/>
    <n v="52697.59"/>
    <n v="0"/>
    <n v="52697.59"/>
    <n v="10000"/>
    <n v="100"/>
    <s v="AMPM28"/>
    <x v="2"/>
    <s v="Energia -A28-Ener"/>
    <s v="Compras"/>
    <s v="mbonilla"/>
    <s v="PMTRX00081993"/>
    <n v="4339760"/>
    <n v="1"/>
    <n v="35"/>
    <s v=""/>
    <m/>
  </r>
  <r>
    <n v="2921172"/>
    <x v="14"/>
    <s v="06-10-002-000"/>
    <x v="0"/>
    <n v="366.22"/>
    <n v="0"/>
    <n v="366.22"/>
    <n v="10000"/>
    <n v="100"/>
    <s v="AMPM07"/>
    <x v="44"/>
    <s v="Energia -A07-Ener"/>
    <s v="Compras"/>
    <s v="mbonilla"/>
    <s v="PMTRX00081993"/>
    <n v="4339761"/>
    <n v="1"/>
    <n v="7"/>
    <s v=""/>
    <m/>
  </r>
  <r>
    <n v="2921173"/>
    <x v="14"/>
    <s v="06-10-002-000"/>
    <x v="0"/>
    <n v="52666.09"/>
    <n v="0"/>
    <n v="52666.09"/>
    <n v="10000"/>
    <n v="100"/>
    <s v="AMPM02"/>
    <x v="28"/>
    <s v="Energia -A02-Ener"/>
    <s v="Compras"/>
    <s v="mbonilla"/>
    <s v="PMTRX00081993"/>
    <n v="4339762"/>
    <n v="1"/>
    <n v="2"/>
    <s v=""/>
    <m/>
  </r>
  <r>
    <n v="2921174"/>
    <x v="14"/>
    <s v="06-10-002-000"/>
    <x v="0"/>
    <n v="38573.300000000003"/>
    <n v="0"/>
    <n v="38573.300000000003"/>
    <n v="10000"/>
    <n v="100"/>
    <s v="AMPM15"/>
    <x v="1"/>
    <s v="Energia -A15-Ener"/>
    <s v="Compras"/>
    <s v="mbonilla"/>
    <s v="PMTRX00081993"/>
    <n v="4339763"/>
    <n v="1"/>
    <n v="15"/>
    <s v=""/>
    <m/>
  </r>
  <r>
    <n v="2921175"/>
    <x v="14"/>
    <s v="06-10-002-000"/>
    <x v="0"/>
    <n v="1104.47"/>
    <n v="0"/>
    <n v="1104.47"/>
    <n v="10000"/>
    <n v="100"/>
    <s v="AMPM15"/>
    <x v="1"/>
    <s v="Energia -A15-Ener"/>
    <s v="Compras"/>
    <s v="mbonilla"/>
    <s v="PMTRX00081993"/>
    <n v="4339764"/>
    <n v="1"/>
    <n v="15"/>
    <s v=""/>
    <m/>
  </r>
  <r>
    <n v="2921176"/>
    <x v="14"/>
    <s v="06-10-002-000"/>
    <x v="0"/>
    <n v="317.35000000000002"/>
    <n v="0"/>
    <n v="317.35000000000002"/>
    <n v="10000"/>
    <n v="100"/>
    <s v="AMPM01"/>
    <x v="25"/>
    <s v="Energia -A01-Ener"/>
    <s v="Compras"/>
    <s v="mbonilla"/>
    <s v="PMTRX00081993"/>
    <n v="4339765"/>
    <n v="1"/>
    <n v="1"/>
    <s v=""/>
    <m/>
  </r>
  <r>
    <n v="2921177"/>
    <x v="14"/>
    <s v="06-10-002-000"/>
    <x v="0"/>
    <n v="73388.929999999993"/>
    <n v="0"/>
    <n v="73388.929999999993"/>
    <n v="10000"/>
    <n v="100"/>
    <s v="AMPM07"/>
    <x v="44"/>
    <s v="Energia -A07-Ener"/>
    <s v="Compras"/>
    <s v="mbonilla"/>
    <s v="PMTRX00081993"/>
    <n v="4339766"/>
    <n v="1"/>
    <n v="7"/>
    <s v=""/>
    <m/>
  </r>
  <r>
    <n v="2921178"/>
    <x v="14"/>
    <s v="06-10-002-000"/>
    <x v="0"/>
    <n v="22343.31"/>
    <n v="0"/>
    <n v="22343.31"/>
    <n v="10000"/>
    <n v="100"/>
    <s v="AMPM08"/>
    <x v="47"/>
    <s v="Energia -A08-Ener"/>
    <s v="Compras"/>
    <s v="mbonilla"/>
    <s v="PMTRX00081993"/>
    <n v="4339767"/>
    <n v="1"/>
    <n v="8"/>
    <s v=""/>
    <m/>
  </r>
  <r>
    <n v="2921179"/>
    <x v="14"/>
    <s v="06-10-002-000"/>
    <x v="0"/>
    <n v="28658.58"/>
    <n v="0"/>
    <n v="28658.58"/>
    <n v="10000"/>
    <n v="100"/>
    <s v="AMPM08"/>
    <x v="47"/>
    <s v="Energia -A08-Ener"/>
    <s v="Compras"/>
    <s v="mbonilla"/>
    <s v="PMTRX00081993"/>
    <n v="4339768"/>
    <n v="1"/>
    <n v="8"/>
    <s v=""/>
    <m/>
  </r>
  <r>
    <n v="2921180"/>
    <x v="14"/>
    <s v="06-10-002-000"/>
    <x v="0"/>
    <n v="52566.29"/>
    <n v="0"/>
    <n v="52566.29"/>
    <n v="10000"/>
    <n v="100"/>
    <s v="AMPM69"/>
    <x v="30"/>
    <s v="Energia -A69-Ener"/>
    <s v="Compras"/>
    <s v="mbonilla"/>
    <s v="PMTRX00081993"/>
    <n v="4339769"/>
    <n v="1"/>
    <n v="85"/>
    <s v=""/>
    <m/>
  </r>
  <r>
    <n v="2921181"/>
    <x v="14"/>
    <s v="06-10-002-000"/>
    <x v="0"/>
    <n v="41003.74"/>
    <n v="0"/>
    <n v="41003.74"/>
    <n v="10000"/>
    <n v="100"/>
    <s v="AMPM35"/>
    <x v="14"/>
    <s v="Energia -A35-Ener"/>
    <s v="Compras"/>
    <s v="mbonilla"/>
    <s v="PMTRX00081993"/>
    <n v="4339770"/>
    <n v="1"/>
    <n v="43"/>
    <s v=""/>
    <m/>
  </r>
  <r>
    <n v="2921182"/>
    <x v="14"/>
    <s v="06-10-002-000"/>
    <x v="0"/>
    <n v="64835.47"/>
    <n v="0"/>
    <n v="64835.47"/>
    <n v="10000"/>
    <n v="100"/>
    <s v="AMPM74"/>
    <x v="40"/>
    <s v="Energia -A74-Ener"/>
    <s v="Compras"/>
    <s v="mbonilla"/>
    <s v="PMTRX00081993"/>
    <n v="4339771"/>
    <n v="1"/>
    <n v="90"/>
    <s v=""/>
    <m/>
  </r>
  <r>
    <n v="2921183"/>
    <x v="14"/>
    <s v="06-10-002-000"/>
    <x v="0"/>
    <n v="225.76"/>
    <n v="0"/>
    <n v="225.76"/>
    <n v="10000"/>
    <n v="100"/>
    <s v="AMPM29"/>
    <x v="58"/>
    <s v="Energia -A29-Ener"/>
    <s v="Compras"/>
    <s v="mbonilla"/>
    <s v="PMTRX00081993"/>
    <n v="4339772"/>
    <n v="1"/>
    <n v="36"/>
    <s v=""/>
    <m/>
  </r>
  <r>
    <n v="2921184"/>
    <x v="14"/>
    <s v="06-10-002-000"/>
    <x v="0"/>
    <n v="64961.34"/>
    <n v="0"/>
    <n v="64961.34"/>
    <n v="10000"/>
    <n v="100"/>
    <s v="AMPM29"/>
    <x v="58"/>
    <s v="Energia -A29-Ener"/>
    <s v="Compras"/>
    <s v="mbonilla"/>
    <s v="PMTRX00081993"/>
    <n v="4339773"/>
    <n v="1"/>
    <n v="36"/>
    <s v=""/>
    <m/>
  </r>
  <r>
    <n v="2921185"/>
    <x v="14"/>
    <s v="06-10-002-000"/>
    <x v="0"/>
    <n v="42649.4"/>
    <n v="0"/>
    <n v="42649.4"/>
    <n v="10000"/>
    <n v="100"/>
    <s v="MONITOREO"/>
    <x v="63"/>
    <s v="Energia -MONI-Ener"/>
    <s v="Compras"/>
    <s v="mbonilla"/>
    <s v="PMTRX00081993"/>
    <n v="4339774"/>
    <n v="1"/>
    <n v="30"/>
    <s v=""/>
    <m/>
  </r>
  <r>
    <n v="2921186"/>
    <x v="14"/>
    <s v="06-10-002-000"/>
    <x v="0"/>
    <n v="55473.13"/>
    <n v="0"/>
    <n v="55473.13"/>
    <n v="10000"/>
    <n v="100"/>
    <s v="AMPM04"/>
    <x v="26"/>
    <s v="Energia -A04-Ener"/>
    <s v="Compras"/>
    <s v="mbonilla"/>
    <s v="PMTRX00081993"/>
    <n v="4339775"/>
    <n v="1"/>
    <n v="4"/>
    <s v=""/>
    <m/>
  </r>
  <r>
    <n v="2921187"/>
    <x v="14"/>
    <s v="06-10-002-000"/>
    <x v="0"/>
    <n v="75939.83"/>
    <n v="0"/>
    <n v="75939.83"/>
    <n v="10000"/>
    <n v="100"/>
    <s v="AMPM06"/>
    <x v="13"/>
    <s v="Energia -A06-Ener"/>
    <s v="Compras"/>
    <s v="mbonilla"/>
    <s v="PMTRX00081993"/>
    <n v="4339776"/>
    <n v="1"/>
    <n v="6"/>
    <s v=""/>
    <m/>
  </r>
  <r>
    <n v="2921188"/>
    <x v="14"/>
    <s v="06-10-002-000"/>
    <x v="0"/>
    <n v="59373.34"/>
    <n v="0"/>
    <n v="59373.34"/>
    <n v="10000"/>
    <n v="100"/>
    <s v="AMPM16"/>
    <x v="43"/>
    <s v="Energia -A16-Ener"/>
    <s v="Compras"/>
    <s v="mbonilla"/>
    <s v="PMTRX00081993"/>
    <n v="4339777"/>
    <n v="1"/>
    <n v="16"/>
    <s v=""/>
    <m/>
  </r>
  <r>
    <n v="2921189"/>
    <x v="14"/>
    <s v="06-10-002-000"/>
    <x v="0"/>
    <n v="2564.9499999999998"/>
    <n v="0"/>
    <n v="2564.9499999999998"/>
    <n v="10000"/>
    <n v="100"/>
    <s v="AMPM38"/>
    <x v="41"/>
    <s v="Energia -A38-Ener"/>
    <s v="Compras"/>
    <s v="mbonilla"/>
    <s v="PMTRX00081993"/>
    <n v="4339778"/>
    <n v="1"/>
    <n v="47"/>
    <s v=""/>
    <m/>
  </r>
  <r>
    <n v="2921190"/>
    <x v="14"/>
    <s v="06-10-002-000"/>
    <x v="0"/>
    <n v="75698.259999999995"/>
    <n v="0"/>
    <n v="75698.259999999995"/>
    <n v="10000"/>
    <n v="100"/>
    <s v="AMPM79"/>
    <x v="82"/>
    <s v="Energia -A79-Ener"/>
    <s v="Compras"/>
    <s v="mbonilla"/>
    <s v="PMTRX00081993"/>
    <n v="4339779"/>
    <n v="1"/>
    <n v="95"/>
    <s v=""/>
    <m/>
  </r>
  <r>
    <n v="2921191"/>
    <x v="14"/>
    <s v="06-10-002-000"/>
    <x v="0"/>
    <n v="86129.02"/>
    <n v="0"/>
    <n v="86129.02"/>
    <n v="10000"/>
    <n v="100"/>
    <s v="AMPM65"/>
    <x v="78"/>
    <s v="Energia -A65-Ener"/>
    <s v="Compras"/>
    <s v="mbonilla"/>
    <s v="PMTRX00081993"/>
    <n v="4339780"/>
    <n v="1"/>
    <n v="81"/>
    <s v=""/>
    <m/>
  </r>
  <r>
    <n v="2921192"/>
    <x v="14"/>
    <s v="06-10-002-000"/>
    <x v="0"/>
    <n v="70733.06"/>
    <n v="0"/>
    <n v="70733.06"/>
    <n v="10000"/>
    <n v="100"/>
    <s v="AMPM81"/>
    <x v="83"/>
    <s v="Energia -A81-Ener"/>
    <s v="Compras"/>
    <s v="mbonilla"/>
    <s v="PMTRX00081993"/>
    <n v="4339781"/>
    <n v="1"/>
    <n v="99"/>
    <s v=""/>
    <m/>
  </r>
  <r>
    <n v="2921193"/>
    <x v="14"/>
    <s v="06-10-002-000"/>
    <x v="0"/>
    <n v="67834.63"/>
    <n v="0"/>
    <n v="67834.63"/>
    <n v="10000"/>
    <n v="100"/>
    <s v="AMPM38"/>
    <x v="41"/>
    <s v="Energia -A38-Ener"/>
    <s v="Compras"/>
    <s v="mbonilla"/>
    <s v="PMTRX00081993"/>
    <n v="4339782"/>
    <n v="1"/>
    <n v="47"/>
    <s v=""/>
    <m/>
  </r>
  <r>
    <n v="2921194"/>
    <x v="14"/>
    <s v="06-10-002-000"/>
    <x v="0"/>
    <n v="4641.34"/>
    <n v="0"/>
    <n v="4641.34"/>
    <n v="10000"/>
    <n v="100"/>
    <s v="AMPM18"/>
    <x v="55"/>
    <s v="Energia -A18-Ener"/>
    <s v="Compras"/>
    <s v="mbonilla"/>
    <s v="PMTRX00081993"/>
    <n v="4339783"/>
    <n v="1"/>
    <n v="18"/>
    <s v=""/>
    <m/>
  </r>
  <r>
    <n v="2921195"/>
    <x v="14"/>
    <s v="06-10-002-000"/>
    <x v="0"/>
    <n v="2663.83"/>
    <n v="0"/>
    <n v="2663.83"/>
    <n v="10000"/>
    <n v="100"/>
    <s v="AMPM45"/>
    <x v="68"/>
    <s v="Energia -A45-Ener"/>
    <s v="Compras"/>
    <s v="mbonilla"/>
    <s v="PMTRX00081993"/>
    <n v="4339784"/>
    <n v="1"/>
    <n v="59"/>
    <s v=""/>
    <m/>
  </r>
  <r>
    <n v="2921196"/>
    <x v="14"/>
    <s v="06-10-002-000"/>
    <x v="0"/>
    <n v="63458"/>
    <n v="0"/>
    <n v="63458"/>
    <n v="10000"/>
    <n v="100"/>
    <s v="AMPM32"/>
    <x v="65"/>
    <s v="Energia -A32-Ener"/>
    <s v="Compras"/>
    <s v="mbonilla"/>
    <s v="PMTRX00081993"/>
    <n v="4339785"/>
    <n v="1"/>
    <n v="40"/>
    <s v=""/>
    <m/>
  </r>
  <r>
    <n v="2921197"/>
    <x v="14"/>
    <s v="06-10-002-000"/>
    <x v="0"/>
    <n v="69358.429999999993"/>
    <n v="0"/>
    <n v="69358.429999999993"/>
    <n v="10000"/>
    <n v="100"/>
    <s v="AMPM71"/>
    <x v="52"/>
    <s v="Energia -A71-Ener"/>
    <s v="Compras"/>
    <s v="mbonilla"/>
    <s v="PMTRX00081993"/>
    <n v="4339786"/>
    <n v="1"/>
    <n v="86"/>
    <s v=""/>
    <m/>
  </r>
  <r>
    <n v="2921198"/>
    <x v="14"/>
    <s v="06-10-002-000"/>
    <x v="0"/>
    <n v="65082.52"/>
    <n v="0"/>
    <n v="65082.52"/>
    <n v="10000"/>
    <n v="100"/>
    <s v="AMPM82"/>
    <x v="84"/>
    <s v="Energia -A82-Ener"/>
    <s v="Compras"/>
    <s v="mbonilla"/>
    <s v="PMTRX00081993"/>
    <n v="4339787"/>
    <n v="1"/>
    <n v="96"/>
    <s v=""/>
    <m/>
  </r>
  <r>
    <n v="2921199"/>
    <x v="14"/>
    <s v="06-10-002-000"/>
    <x v="0"/>
    <n v="77106.490000000005"/>
    <n v="0"/>
    <n v="77106.490000000005"/>
    <n v="10000"/>
    <n v="100"/>
    <s v="AMPM54"/>
    <x v="18"/>
    <s v="Energia -A54-Ener"/>
    <s v="Compras"/>
    <s v="mbonilla"/>
    <s v="PMTRX00081993"/>
    <n v="4339788"/>
    <n v="1"/>
    <n v="70"/>
    <s v=""/>
    <m/>
  </r>
  <r>
    <n v="2921200"/>
    <x v="14"/>
    <s v="06-10-002-000"/>
    <x v="0"/>
    <n v="69123.25"/>
    <n v="0"/>
    <n v="69123.25"/>
    <n v="10000"/>
    <n v="100"/>
    <s v="AMPM51"/>
    <x v="71"/>
    <s v="Energia -A51-Ener"/>
    <s v="Compras"/>
    <s v="mbonilla"/>
    <s v="PMTRX00081993"/>
    <n v="4339789"/>
    <n v="1"/>
    <n v="65"/>
    <s v=""/>
    <m/>
  </r>
  <r>
    <n v="2921201"/>
    <x v="14"/>
    <s v="06-10-002-000"/>
    <x v="0"/>
    <n v="3359.93"/>
    <n v="0"/>
    <n v="3359.93"/>
    <n v="10000"/>
    <n v="100"/>
    <s v="AMPM51"/>
    <x v="71"/>
    <s v="Energia -A51-Ener"/>
    <s v="Compras"/>
    <s v="mbonilla"/>
    <s v="PMTRX00081993"/>
    <n v="4339790"/>
    <n v="1"/>
    <n v="65"/>
    <s v=""/>
    <m/>
  </r>
  <r>
    <n v="2921202"/>
    <x v="14"/>
    <s v="06-10-002-000"/>
    <x v="0"/>
    <n v="64940.13"/>
    <n v="0"/>
    <n v="64940.13"/>
    <n v="10000"/>
    <n v="100"/>
    <s v="AMPM25"/>
    <x v="62"/>
    <s v="Energia -A25-Ener"/>
    <s v="Compras"/>
    <s v="mbonilla"/>
    <s v="PMTRX00081993"/>
    <n v="4339791"/>
    <n v="1"/>
    <n v="25"/>
    <s v=""/>
    <m/>
  </r>
  <r>
    <n v="2921203"/>
    <x v="14"/>
    <s v="06-10-002-000"/>
    <x v="0"/>
    <n v="64835.48"/>
    <n v="0"/>
    <n v="64835.48"/>
    <n v="10000"/>
    <n v="100"/>
    <s v="AMPM63"/>
    <x v="32"/>
    <s v="Energia -A63-Ener"/>
    <s v="Compras"/>
    <s v="mbonilla"/>
    <s v="PMTRX00081993"/>
    <n v="4339792"/>
    <n v="1"/>
    <n v="79"/>
    <s v=""/>
    <m/>
  </r>
  <r>
    <n v="2921204"/>
    <x v="14"/>
    <s v="06-10-002-000"/>
    <x v="0"/>
    <n v="79516.02"/>
    <n v="0"/>
    <n v="79516.02"/>
    <n v="10000"/>
    <n v="100"/>
    <s v="AMPM33"/>
    <x v="11"/>
    <s v="Energia -A33-Ener"/>
    <s v="Compras"/>
    <s v="mbonilla"/>
    <s v="PMTRX00081993"/>
    <n v="4339793"/>
    <n v="1"/>
    <n v="39"/>
    <s v=""/>
    <m/>
  </r>
  <r>
    <n v="2921205"/>
    <x v="14"/>
    <s v="06-10-002-000"/>
    <x v="0"/>
    <n v="61154.39"/>
    <n v="0"/>
    <n v="61154.39"/>
    <n v="10000"/>
    <n v="100"/>
    <s v="AMPM41"/>
    <x v="24"/>
    <s v="Energia -A41-Ener"/>
    <s v="Compras"/>
    <s v="mbonilla"/>
    <s v="PMTRX00081993"/>
    <n v="4339794"/>
    <n v="1"/>
    <n v="50"/>
    <s v=""/>
    <m/>
  </r>
  <r>
    <n v="2921206"/>
    <x v="14"/>
    <s v="06-10-002-000"/>
    <x v="0"/>
    <n v="69315.149999999994"/>
    <n v="0"/>
    <n v="69315.149999999994"/>
    <n v="10000"/>
    <n v="100"/>
    <s v="AMPM78"/>
    <x v="81"/>
    <s v="Energia -A78-Ener"/>
    <s v="Compras"/>
    <s v="mbonilla"/>
    <s v="PMTRX00081993"/>
    <n v="4339795"/>
    <n v="1"/>
    <n v="94"/>
    <s v=""/>
    <m/>
  </r>
  <r>
    <n v="2921207"/>
    <x v="14"/>
    <s v="06-10-002-000"/>
    <x v="0"/>
    <n v="61382.64"/>
    <n v="0"/>
    <n v="61382.64"/>
    <n v="10000"/>
    <n v="100"/>
    <s v="AMPM61"/>
    <x v="75"/>
    <s v="Energia -A61-Ener"/>
    <s v="Compras"/>
    <s v="mbonilla"/>
    <s v="PMTRX00081993"/>
    <n v="4339796"/>
    <n v="1"/>
    <n v="77"/>
    <s v=""/>
    <m/>
  </r>
  <r>
    <n v="2921208"/>
    <x v="14"/>
    <s v="06-10-002-000"/>
    <x v="0"/>
    <n v="58699.4"/>
    <n v="0"/>
    <n v="58699.4"/>
    <n v="10000"/>
    <n v="100"/>
    <s v="AMPM75"/>
    <x v="36"/>
    <s v="Energia -A75-Ener"/>
    <s v="Compras"/>
    <s v="mbonilla"/>
    <s v="PMTRX00081993"/>
    <n v="4339797"/>
    <n v="1"/>
    <n v="91"/>
    <s v=""/>
    <m/>
  </r>
  <r>
    <n v="2921209"/>
    <x v="14"/>
    <s v="06-10-002-000"/>
    <x v="0"/>
    <n v="70817.87"/>
    <n v="0"/>
    <n v="70817.87"/>
    <n v="10000"/>
    <n v="100"/>
    <s v="AMPM30"/>
    <x v="39"/>
    <s v="Energia -A30-Ener"/>
    <s v="Compras"/>
    <s v="mbonilla"/>
    <s v="PMTRX00081993"/>
    <n v="4339798"/>
    <n v="1"/>
    <n v="37"/>
    <s v=""/>
    <m/>
  </r>
  <r>
    <n v="2921210"/>
    <x v="14"/>
    <s v="06-10-002-000"/>
    <x v="0"/>
    <n v="56599.02"/>
    <n v="0"/>
    <n v="56599.02"/>
    <n v="10000"/>
    <n v="100"/>
    <s v="AMPM84"/>
    <x v="29"/>
    <s v="Energia -A84-Ener"/>
    <s v="Compras"/>
    <s v="mbonilla"/>
    <s v="PMTRX00081993"/>
    <n v="4339799"/>
    <n v="1"/>
    <n v="100"/>
    <s v=""/>
    <m/>
  </r>
  <r>
    <n v="2921211"/>
    <x v="14"/>
    <s v="06-10-002-000"/>
    <x v="0"/>
    <n v="74316.820000000007"/>
    <n v="0"/>
    <n v="74316.820000000007"/>
    <n v="10000"/>
    <n v="100"/>
    <s v="AMPM27"/>
    <x v="8"/>
    <s v="Energia -A27-Ener"/>
    <s v="Compras"/>
    <s v="mbonilla"/>
    <s v="PMTRX00081993"/>
    <n v="4339800"/>
    <n v="1"/>
    <n v="34"/>
    <s v=""/>
    <m/>
  </r>
  <r>
    <n v="2921212"/>
    <x v="14"/>
    <s v="06-10-002-000"/>
    <x v="0"/>
    <n v="2919.41"/>
    <n v="0"/>
    <n v="2919.41"/>
    <n v="10000"/>
    <n v="100"/>
    <s v="AMPM27"/>
    <x v="8"/>
    <s v="Energia -A27-Ener"/>
    <s v="Compras"/>
    <s v="mbonilla"/>
    <s v="PMTRX00081993"/>
    <n v="4339801"/>
    <n v="1"/>
    <n v="34"/>
    <s v=""/>
    <m/>
  </r>
  <r>
    <n v="2921213"/>
    <x v="14"/>
    <s v="06-10-002-000"/>
    <x v="0"/>
    <n v="56319.81"/>
    <n v="0"/>
    <n v="56319.81"/>
    <n v="10000"/>
    <n v="100"/>
    <s v="AMPM10"/>
    <x v="45"/>
    <s v="Energia -A10-Ener"/>
    <s v="Compras"/>
    <s v="mbonilla"/>
    <s v="PMTRX00081993"/>
    <n v="4339802"/>
    <n v="1"/>
    <n v="10"/>
    <s v=""/>
    <m/>
  </r>
  <r>
    <n v="2921214"/>
    <x v="14"/>
    <s v="06-10-002-000"/>
    <x v="0"/>
    <n v="83364.73"/>
    <n v="0"/>
    <n v="83364.73"/>
    <n v="10000"/>
    <n v="100"/>
    <s v="AMPM09"/>
    <x v="42"/>
    <s v="Energia -A09-Ener"/>
    <s v="Compras"/>
    <s v="mbonilla"/>
    <s v="PMTRX00081993"/>
    <n v="4339803"/>
    <n v="1"/>
    <n v="9"/>
    <s v=""/>
    <m/>
  </r>
  <r>
    <n v="2921215"/>
    <x v="14"/>
    <s v="06-10-002-000"/>
    <x v="0"/>
    <n v="62764.28"/>
    <n v="0"/>
    <n v="62764.28"/>
    <n v="10000"/>
    <n v="100"/>
    <s v="AMPM19"/>
    <x v="56"/>
    <s v="Energia -A19-Ener"/>
    <s v="Compras"/>
    <s v="mbonilla"/>
    <s v="PMTRX00081993"/>
    <n v="4339804"/>
    <n v="1"/>
    <n v="19"/>
    <s v=""/>
    <m/>
  </r>
  <r>
    <n v="2921216"/>
    <x v="14"/>
    <s v="06-10-002-000"/>
    <x v="0"/>
    <n v="52313.43"/>
    <n v="0"/>
    <n v="52313.43"/>
    <n v="10000"/>
    <n v="100"/>
    <s v="AMPM52"/>
    <x v="16"/>
    <s v="Energia -A52-Ener"/>
    <s v="Compras"/>
    <s v="mbonilla"/>
    <s v="PMTRX00081993"/>
    <n v="4339805"/>
    <n v="1"/>
    <n v="66"/>
    <s v=""/>
    <m/>
  </r>
  <r>
    <n v="2921217"/>
    <x v="14"/>
    <s v="06-10-002-000"/>
    <x v="0"/>
    <n v="66839.08"/>
    <n v="0"/>
    <n v="66839.08"/>
    <n v="10000"/>
    <n v="100"/>
    <s v="AMPM73"/>
    <x v="17"/>
    <s v="Energia -A73-Ener"/>
    <s v="Compras"/>
    <s v="mbonilla"/>
    <s v="PMTRX00081993"/>
    <n v="4339806"/>
    <n v="1"/>
    <n v="89"/>
    <s v=""/>
    <m/>
  </r>
  <r>
    <n v="2921218"/>
    <x v="14"/>
    <s v="06-10-002-000"/>
    <x v="0"/>
    <n v="61707.68"/>
    <n v="0"/>
    <n v="61707.68"/>
    <n v="10000"/>
    <n v="100"/>
    <s v="AMPM20"/>
    <x v="57"/>
    <s v="Energia -A20-Ener"/>
    <s v="Compras"/>
    <s v="mbonilla"/>
    <s v="PMTRX00081993"/>
    <n v="4339807"/>
    <n v="1"/>
    <n v="20"/>
    <s v=""/>
    <m/>
  </r>
  <r>
    <n v="2921219"/>
    <x v="14"/>
    <s v="06-10-002-000"/>
    <x v="0"/>
    <n v="56529.37"/>
    <n v="0"/>
    <n v="56529.37"/>
    <n v="10000"/>
    <n v="100"/>
    <s v="AMPM01"/>
    <x v="25"/>
    <s v="Energia -A01-Ener"/>
    <s v="Compras"/>
    <s v="mbonilla"/>
    <s v="PMTRX00081993"/>
    <n v="4339808"/>
    <n v="1"/>
    <n v="1"/>
    <s v=""/>
    <m/>
  </r>
  <r>
    <n v="2921220"/>
    <x v="14"/>
    <s v="06-10-002-000"/>
    <x v="0"/>
    <n v="54545.86"/>
    <n v="0"/>
    <n v="54545.86"/>
    <n v="10000"/>
    <n v="100"/>
    <s v="AMPM37"/>
    <x v="49"/>
    <s v="Energia -A37-Ener"/>
    <s v="Compras"/>
    <s v="mbonilla"/>
    <s v="PMTRX00081993"/>
    <n v="4339809"/>
    <n v="1"/>
    <n v="42"/>
    <s v=""/>
    <m/>
  </r>
  <r>
    <n v="2921221"/>
    <x v="14"/>
    <s v="06-10-002-000"/>
    <x v="0"/>
    <n v="88486.13"/>
    <n v="0"/>
    <n v="88486.13"/>
    <n v="10000"/>
    <n v="100"/>
    <s v="AMPM34"/>
    <x v="85"/>
    <s v="Energia -A34-Ener"/>
    <s v="Compras"/>
    <s v="mbonilla"/>
    <s v="PMTRX00081993"/>
    <n v="4339810"/>
    <n v="1"/>
    <n v="41"/>
    <s v=""/>
    <m/>
  </r>
  <r>
    <n v="2921222"/>
    <x v="14"/>
    <s v="06-10-002-000"/>
    <x v="0"/>
    <n v="3964.21"/>
    <n v="0"/>
    <n v="3964.21"/>
    <n v="10000"/>
    <n v="100"/>
    <s v="AMPM01"/>
    <x v="25"/>
    <s v="Energia -A01-Ener"/>
    <s v="Compras"/>
    <s v="mbonilla"/>
    <s v="PMTRX00081993"/>
    <n v="4339811"/>
    <n v="1"/>
    <n v="1"/>
    <s v=""/>
    <m/>
  </r>
  <r>
    <n v="2921223"/>
    <x v="14"/>
    <s v="06-10-002-000"/>
    <x v="0"/>
    <n v="59157.31"/>
    <n v="0"/>
    <n v="59157.31"/>
    <n v="10000"/>
    <n v="100"/>
    <s v="AMPM49"/>
    <x v="72"/>
    <s v="Energia -A49-Ener"/>
    <s v="Compras"/>
    <s v="mbonilla"/>
    <s v="PMTRX00081993"/>
    <n v="4339812"/>
    <n v="1"/>
    <n v="63"/>
    <s v=""/>
    <m/>
  </r>
  <r>
    <n v="2921224"/>
    <x v="14"/>
    <s v="06-10-002-000"/>
    <x v="0"/>
    <n v="52828.91"/>
    <n v="0"/>
    <n v="52828.91"/>
    <n v="10000"/>
    <n v="100"/>
    <s v="AMPM43"/>
    <x v="35"/>
    <s v="Energia -A43-Ener"/>
    <s v="Compras"/>
    <s v="mbonilla"/>
    <s v="PMTRX00081993"/>
    <n v="4339813"/>
    <n v="1"/>
    <n v="58"/>
    <s v=""/>
    <m/>
  </r>
  <r>
    <n v="2921225"/>
    <x v="14"/>
    <s v="06-10-002-000"/>
    <x v="0"/>
    <n v="52088.4"/>
    <n v="0"/>
    <n v="52088.4"/>
    <n v="10000"/>
    <n v="100"/>
    <s v="AMPM86"/>
    <x v="88"/>
    <s v="Energia -A86-Ener"/>
    <s v="Compras"/>
    <s v="mbonilla"/>
    <s v="PMTRX00081993"/>
    <n v="4339814"/>
    <n v="1"/>
    <n v="104"/>
    <s v=""/>
    <m/>
  </r>
  <r>
    <n v="2921226"/>
    <x v="14"/>
    <s v="06-10-002-000"/>
    <x v="0"/>
    <n v="67588.710000000006"/>
    <n v="0"/>
    <n v="67588.710000000006"/>
    <n v="10000"/>
    <n v="100"/>
    <s v="AMPM89"/>
    <x v="87"/>
    <s v="Energia -A89-Ener"/>
    <s v="Compras"/>
    <s v="mbonilla"/>
    <s v="PMTRX00081993"/>
    <n v="4339815"/>
    <n v="1"/>
    <n v="105"/>
    <s v=""/>
    <m/>
  </r>
  <r>
    <n v="2921227"/>
    <x v="14"/>
    <s v="06-10-002-000"/>
    <x v="0"/>
    <n v="26202.1"/>
    <n v="0"/>
    <n v="26202.1"/>
    <n v="10000"/>
    <n v="100"/>
    <s v="AMPM99"/>
    <x v="73"/>
    <s v="Energia -A99-Ener"/>
    <s v="Compras"/>
    <s v="mbonilla"/>
    <s v="PMTRX00081993"/>
    <n v="4339816"/>
    <n v="1"/>
    <n v="33"/>
    <s v=""/>
    <m/>
  </r>
  <r>
    <n v="2921228"/>
    <x v="14"/>
    <s v="06-10-002-000"/>
    <x v="0"/>
    <n v="74198.41"/>
    <n v="0"/>
    <n v="74198.41"/>
    <n v="10000"/>
    <n v="100"/>
    <s v="AMPM12"/>
    <x v="51"/>
    <s v="Energia -A12-Ener"/>
    <s v="Compras"/>
    <s v="mbonilla"/>
    <s v="PMTRX00081993"/>
    <n v="4339817"/>
    <n v="1"/>
    <n v="12"/>
    <s v=""/>
    <m/>
  </r>
  <r>
    <n v="2921229"/>
    <x v="14"/>
    <s v="06-10-002-000"/>
    <x v="0"/>
    <n v="10158.36"/>
    <n v="0"/>
    <n v="10158.36"/>
    <n v="10000"/>
    <n v="100"/>
    <s v="AMPM14"/>
    <x v="53"/>
    <s v="Energia -A14-Ener"/>
    <s v="Compras"/>
    <s v="mbonilla"/>
    <s v="PMTRX00081993"/>
    <n v="4339818"/>
    <n v="1"/>
    <n v="14"/>
    <s v=""/>
    <m/>
  </r>
  <r>
    <n v="2921230"/>
    <x v="14"/>
    <s v="06-10-002-000"/>
    <x v="0"/>
    <n v="1578.89"/>
    <n v="0"/>
    <n v="1578.89"/>
    <n v="10000"/>
    <n v="100"/>
    <s v="AMPM14"/>
    <x v="53"/>
    <s v="Energia -A14-Ener"/>
    <s v="Compras"/>
    <s v="mbonilla"/>
    <s v="PMTRX00081993"/>
    <n v="4339819"/>
    <n v="1"/>
    <n v="14"/>
    <s v=""/>
    <m/>
  </r>
  <r>
    <n v="2921231"/>
    <x v="14"/>
    <s v="06-10-002-000"/>
    <x v="0"/>
    <n v="66441.98"/>
    <n v="0"/>
    <n v="66441.98"/>
    <n v="10000"/>
    <n v="100"/>
    <s v="AMPM03"/>
    <x v="61"/>
    <s v="Energia -A03-Ener"/>
    <s v="Compras"/>
    <s v="mbonilla"/>
    <s v="PMTRX00081993"/>
    <n v="4339820"/>
    <n v="1"/>
    <n v="3"/>
    <s v=""/>
    <m/>
  </r>
  <r>
    <n v="2921232"/>
    <x v="14"/>
    <s v="06-10-002-000"/>
    <x v="0"/>
    <n v="54109.79"/>
    <n v="0"/>
    <n v="54109.79"/>
    <n v="10000"/>
    <n v="100"/>
    <s v="AMPM85"/>
    <x v="86"/>
    <s v="Energia -A85-Ener"/>
    <s v="Compras"/>
    <s v="mbonilla"/>
    <s v="PMTRX00081993"/>
    <n v="4339821"/>
    <n v="1"/>
    <n v="101"/>
    <s v=""/>
    <m/>
  </r>
  <r>
    <n v="2921233"/>
    <x v="14"/>
    <s v="06-10-002-000"/>
    <x v="0"/>
    <n v="58544"/>
    <n v="0"/>
    <n v="58544"/>
    <n v="10000"/>
    <n v="100"/>
    <s v="AMPM83"/>
    <x v="15"/>
    <s v="Energia -A83-Ener"/>
    <s v="Compras"/>
    <s v="mbonilla"/>
    <s v="PMTRX00081993"/>
    <n v="4339822"/>
    <n v="1"/>
    <n v="97"/>
    <s v=""/>
    <m/>
  </r>
  <r>
    <n v="2921234"/>
    <x v="14"/>
    <s v="06-10-002-000"/>
    <x v="0"/>
    <n v="14221.45"/>
    <n v="0"/>
    <n v="14221.45"/>
    <n v="10000"/>
    <n v="100"/>
    <s v="ADMON"/>
    <x v="48"/>
    <s v="Energia -ADMON-Ener"/>
    <s v="Compras"/>
    <s v="mbonilla"/>
    <s v="PMTRX00081993"/>
    <n v="4339823"/>
    <n v="1"/>
    <n v="27"/>
    <s v=""/>
    <m/>
  </r>
  <r>
    <n v="2921235"/>
    <x v="14"/>
    <s v="06-10-002-000"/>
    <x v="0"/>
    <n v="10927.82"/>
    <n v="0"/>
    <n v="10927.82"/>
    <n v="10000"/>
    <n v="100"/>
    <s v="ADMON"/>
    <x v="48"/>
    <s v="Energia -ADMON-Ener"/>
    <s v="Compras"/>
    <s v="mbonilla"/>
    <s v="PMTRX00081993"/>
    <n v="4339824"/>
    <n v="1"/>
    <n v="27"/>
    <s v=""/>
    <m/>
  </r>
  <r>
    <n v="2921236"/>
    <x v="14"/>
    <s v="06-10-002-000"/>
    <x v="0"/>
    <n v="22767.17"/>
    <n v="0"/>
    <n v="22767.17"/>
    <n v="10000"/>
    <n v="100"/>
    <s v="ADMON"/>
    <x v="48"/>
    <s v="Energia -ADMON-Ener"/>
    <s v="Compras"/>
    <s v="mbonilla"/>
    <s v="PMTRX00081993"/>
    <n v="4339825"/>
    <n v="1"/>
    <n v="27"/>
    <s v=""/>
    <m/>
  </r>
  <r>
    <n v="2921237"/>
    <x v="14"/>
    <s v="06-10-002-000"/>
    <x v="0"/>
    <n v="11472.71"/>
    <n v="0"/>
    <n v="11472.71"/>
    <n v="10000"/>
    <n v="100"/>
    <s v="ADMON"/>
    <x v="48"/>
    <s v="Energia -ADMON-Ener"/>
    <s v="Compras"/>
    <s v="mbonilla"/>
    <s v="PMTRX00081993"/>
    <n v="4339826"/>
    <n v="1"/>
    <n v="27"/>
    <s v=""/>
    <m/>
  </r>
  <r>
    <n v="2921238"/>
    <x v="14"/>
    <s v="06-10-002-000"/>
    <x v="0"/>
    <n v="67171.360000000001"/>
    <n v="0"/>
    <n v="67171.360000000001"/>
    <n v="10000"/>
    <n v="100"/>
    <s v="AMPM45"/>
    <x v="68"/>
    <s v="Energia -A45-Ener"/>
    <s v="Compras"/>
    <s v="mbonilla"/>
    <s v="PMTRX00081993"/>
    <n v="4339827"/>
    <n v="1"/>
    <n v="59"/>
    <s v=""/>
    <m/>
  </r>
  <r>
    <n v="2921239"/>
    <x v="14"/>
    <s v="06-10-002-000"/>
    <x v="0"/>
    <n v="2198.48"/>
    <n v="0"/>
    <n v="2198.48"/>
    <n v="10000"/>
    <n v="100"/>
    <s v="AMPM40"/>
    <x v="67"/>
    <s v="Energia -A40-Ener"/>
    <s v="Compras"/>
    <s v="mbonilla"/>
    <s v="PMTRX00081993"/>
    <n v="4339828"/>
    <n v="1"/>
    <n v="49"/>
    <s v=""/>
    <m/>
  </r>
  <r>
    <n v="2921240"/>
    <x v="14"/>
    <s v="06-10-002-000"/>
    <x v="0"/>
    <n v="65984.149999999994"/>
    <n v="0"/>
    <n v="65984.149999999994"/>
    <n v="10000"/>
    <n v="100"/>
    <s v="AMPM60"/>
    <x v="76"/>
    <s v="Energia -A60-Ener"/>
    <s v="Compras"/>
    <s v="mbonilla"/>
    <s v="PMTRX00081993"/>
    <n v="4339829"/>
    <n v="1"/>
    <n v="76"/>
    <s v=""/>
    <m/>
  </r>
  <r>
    <n v="2921241"/>
    <x v="14"/>
    <s v="06-10-002-000"/>
    <x v="0"/>
    <n v="62381.04"/>
    <n v="0"/>
    <n v="62381.04"/>
    <n v="10000"/>
    <n v="100"/>
    <s v="AMPM67"/>
    <x v="80"/>
    <s v="Energia -A67-Ener"/>
    <s v="Compras"/>
    <s v="mbonilla"/>
    <s v="PMTRX00081993"/>
    <n v="4339830"/>
    <n v="1"/>
    <n v="83"/>
    <s v=""/>
    <m/>
  </r>
  <r>
    <n v="2921242"/>
    <x v="14"/>
    <s v="06-10-002-000"/>
    <x v="0"/>
    <n v="11477.58"/>
    <n v="0"/>
    <n v="11477.58"/>
    <n v="10000"/>
    <n v="100"/>
    <s v="ADMON"/>
    <x v="48"/>
    <s v="Energia -ADMON-Ener"/>
    <s v="Compras"/>
    <s v="mbonilla"/>
    <s v="PMTRX00081993"/>
    <n v="4339831"/>
    <n v="1"/>
    <n v="27"/>
    <s v=""/>
    <m/>
  </r>
  <r>
    <n v="2921243"/>
    <x v="14"/>
    <s v="06-10-002-000"/>
    <x v="0"/>
    <n v="49001.51"/>
    <n v="0"/>
    <n v="49001.51"/>
    <n v="10000"/>
    <n v="100"/>
    <s v="AMPM23"/>
    <x v="59"/>
    <s v="Energia -A23-Ener"/>
    <s v="Compras"/>
    <s v="mbonilla"/>
    <s v="PMTRX00081993"/>
    <n v="4339832"/>
    <n v="1"/>
    <n v="23"/>
    <s v=""/>
    <m/>
  </r>
  <r>
    <n v="2921244"/>
    <x v="14"/>
    <s v="06-10-002-000"/>
    <x v="0"/>
    <n v="56853.81"/>
    <n v="0"/>
    <n v="56853.81"/>
    <n v="10000"/>
    <n v="100"/>
    <s v="AMPM21"/>
    <x v="50"/>
    <s v="Energia -A21-Ener"/>
    <s v="Compras"/>
    <s v="mbonilla"/>
    <s v="PMTRX00081993"/>
    <n v="4339833"/>
    <n v="1"/>
    <n v="21"/>
    <s v=""/>
    <m/>
  </r>
  <r>
    <n v="2921245"/>
    <x v="14"/>
    <s v="06-10-002-000"/>
    <x v="0"/>
    <n v="58254.09"/>
    <n v="0"/>
    <n v="58254.09"/>
    <n v="10000"/>
    <n v="100"/>
    <s v="AMPM18"/>
    <x v="55"/>
    <s v="Energia -A18-Ener"/>
    <s v="Compras"/>
    <s v="mbonilla"/>
    <s v="PMTRX00081993"/>
    <n v="4339834"/>
    <n v="1"/>
    <n v="18"/>
    <s v=""/>
    <m/>
  </r>
  <r>
    <n v="2921246"/>
    <x v="14"/>
    <s v="06-10-002-000"/>
    <x v="0"/>
    <n v="26643.58"/>
    <n v="0"/>
    <n v="26643.58"/>
    <n v="10000"/>
    <n v="100"/>
    <s v="AMPM49"/>
    <x v="72"/>
    <s v="Energia -A49-Ener"/>
    <s v="Compras"/>
    <s v="mbonilla"/>
    <s v="PMTRX00081993"/>
    <n v="4339835"/>
    <n v="1"/>
    <n v="63"/>
    <s v=""/>
    <m/>
  </r>
  <r>
    <n v="2921247"/>
    <x v="14"/>
    <s v="06-10-002-000"/>
    <x v="0"/>
    <n v="40390.44"/>
    <n v="0"/>
    <n v="40390.44"/>
    <n v="10000"/>
    <n v="100"/>
    <s v="AMPM14"/>
    <x v="53"/>
    <s v="Energia -A14-Ener"/>
    <s v="Compras"/>
    <s v="mbonilla"/>
    <s v="PMTRX00081993"/>
    <n v="4339836"/>
    <n v="1"/>
    <n v="14"/>
    <s v=""/>
    <m/>
  </r>
  <r>
    <n v="2921248"/>
    <x v="14"/>
    <s v="06-10-002-000"/>
    <x v="0"/>
    <n v="61382.64"/>
    <n v="0"/>
    <n v="61382.64"/>
    <n v="10000"/>
    <n v="100"/>
    <s v="AMPM40"/>
    <x v="67"/>
    <s v="Energia -A40-Ener"/>
    <s v="Compras"/>
    <s v="mbonilla"/>
    <s v="PMTRX00081993"/>
    <n v="4339837"/>
    <n v="1"/>
    <n v="49"/>
    <s v=""/>
    <m/>
  </r>
  <r>
    <n v="2921249"/>
    <x v="14"/>
    <s v="06-10-002-000"/>
    <x v="0"/>
    <n v="2169.54"/>
    <n v="0"/>
    <n v="2169.54"/>
    <n v="10000"/>
    <n v="100"/>
    <s v="AMPM26"/>
    <x v="7"/>
    <s v="Energia -A26-Ener"/>
    <s v="Compras"/>
    <s v="mbonilla"/>
    <s v="PMTRX00081993"/>
    <n v="4339838"/>
    <n v="1"/>
    <n v="26"/>
    <s v=""/>
    <m/>
  </r>
  <r>
    <n v="2921250"/>
    <x v="14"/>
    <s v="06-10-002-000"/>
    <x v="0"/>
    <n v="52497.66"/>
    <n v="0"/>
    <n v="52497.66"/>
    <n v="10000"/>
    <n v="100"/>
    <s v="AMPM42"/>
    <x v="21"/>
    <s v="Energia -A42-Ener"/>
    <s v="Compras"/>
    <s v="mbonilla"/>
    <s v="PMTRX00081993"/>
    <n v="4339839"/>
    <n v="1"/>
    <n v="51"/>
    <s v=""/>
    <m/>
  </r>
  <r>
    <n v="2921251"/>
    <x v="14"/>
    <s v="06-10-002-000"/>
    <x v="0"/>
    <n v="1909.16"/>
    <n v="0"/>
    <n v="1909.16"/>
    <n v="10000"/>
    <n v="100"/>
    <s v="AMPM42"/>
    <x v="21"/>
    <s v="Energia -A42-Ener"/>
    <s v="Compras"/>
    <s v="mbonilla"/>
    <s v="PMTRX00081993"/>
    <n v="4339840"/>
    <n v="1"/>
    <n v="51"/>
    <s v=""/>
    <m/>
  </r>
  <r>
    <n v="2921252"/>
    <x v="14"/>
    <s v="06-10-002-000"/>
    <x v="0"/>
    <n v="46979.360000000001"/>
    <n v="0"/>
    <n v="46979.360000000001"/>
    <n v="10000"/>
    <n v="100"/>
    <s v="AMPM59"/>
    <x v="74"/>
    <s v="Energia -A59-Ener"/>
    <s v="Compras"/>
    <s v="mbonilla"/>
    <s v="PMTRX00081993"/>
    <n v="4339841"/>
    <n v="1"/>
    <n v="75"/>
    <s v=""/>
    <m/>
  </r>
  <r>
    <n v="2921253"/>
    <x v="14"/>
    <s v="06-10-002-000"/>
    <x v="0"/>
    <n v="44884.68"/>
    <n v="0"/>
    <n v="44884.68"/>
    <n v="10000"/>
    <n v="100"/>
    <s v="AMPM36"/>
    <x v="66"/>
    <s v="Energia -A36-Ener"/>
    <s v="Compras"/>
    <s v="mbonilla"/>
    <s v="PMTRX00081993"/>
    <n v="4339842"/>
    <n v="1"/>
    <n v="44"/>
    <s v=""/>
    <m/>
  </r>
  <r>
    <n v="2921254"/>
    <x v="14"/>
    <s v="06-10-002-000"/>
    <x v="0"/>
    <n v="103.75"/>
    <n v="0"/>
    <n v="103.75"/>
    <n v="10000"/>
    <n v="100"/>
    <s v="AMPM36"/>
    <x v="66"/>
    <s v="Energia -A36-Ener"/>
    <s v="Compras"/>
    <s v="mbonilla"/>
    <s v="PMTRX00081993"/>
    <n v="4339843"/>
    <n v="1"/>
    <n v="44"/>
    <s v=""/>
    <m/>
  </r>
  <r>
    <n v="2921255"/>
    <x v="14"/>
    <s v="06-10-002-000"/>
    <x v="0"/>
    <n v="54122.95"/>
    <n v="0"/>
    <n v="54122.95"/>
    <n v="10000"/>
    <n v="100"/>
    <s v="AMPM77"/>
    <x v="33"/>
    <s v="Energia -A77-Ener"/>
    <s v="Compras"/>
    <s v="mbonilla"/>
    <s v="PMTRX00081993"/>
    <n v="4339844"/>
    <n v="1"/>
    <n v="92"/>
    <s v=""/>
    <m/>
  </r>
  <r>
    <n v="2921256"/>
    <x v="14"/>
    <s v="06-10-002-000"/>
    <x v="0"/>
    <n v="53665.88"/>
    <n v="0"/>
    <n v="53665.88"/>
    <n v="10000"/>
    <n v="100"/>
    <s v="AMPM26"/>
    <x v="7"/>
    <s v="Energia -A26-Ener"/>
    <s v="Compras"/>
    <s v="mbonilla"/>
    <s v="PMTRX00081993"/>
    <n v="4339845"/>
    <n v="1"/>
    <n v="26"/>
    <s v=""/>
    <m/>
  </r>
  <r>
    <n v="2921257"/>
    <x v="14"/>
    <s v="06-10-002-000"/>
    <x v="0"/>
    <n v="53888.42"/>
    <n v="0"/>
    <n v="53888.42"/>
    <n v="10000"/>
    <n v="100"/>
    <s v="AMPM56"/>
    <x v="23"/>
    <s v="Energia -A56-Ener"/>
    <s v="Compras"/>
    <s v="mbonilla"/>
    <s v="PMTRX00081993"/>
    <n v="4339846"/>
    <n v="1"/>
    <n v="72"/>
    <s v=""/>
    <m/>
  </r>
  <r>
    <n v="2921258"/>
    <x v="14"/>
    <s v="06-10-002-000"/>
    <x v="0"/>
    <n v="71218.679999999993"/>
    <n v="0"/>
    <n v="71218.679999999993"/>
    <n v="10000"/>
    <n v="100"/>
    <s v="AMPM62"/>
    <x v="77"/>
    <s v="Energia -A62-Ener"/>
    <s v="Compras"/>
    <s v="mbonilla"/>
    <s v="PMTRX00081993"/>
    <n v="4339847"/>
    <n v="1"/>
    <n v="78"/>
    <s v=""/>
    <m/>
  </r>
  <r>
    <n v="2921259"/>
    <x v="14"/>
    <s v="06-10-002-000"/>
    <x v="0"/>
    <n v="52849.06"/>
    <n v="0"/>
    <n v="52849.06"/>
    <n v="10000"/>
    <n v="100"/>
    <s v="AMPM48"/>
    <x v="69"/>
    <s v="Energia -A48-Ener"/>
    <s v="Compras"/>
    <s v="mbonilla"/>
    <s v="PMTRX00081993"/>
    <n v="4339848"/>
    <n v="1"/>
    <n v="62"/>
    <s v=""/>
    <m/>
  </r>
  <r>
    <n v="2921260"/>
    <x v="14"/>
    <s v="06-10-002-000"/>
    <x v="0"/>
    <n v="53818.99"/>
    <n v="0"/>
    <n v="53818.99"/>
    <n v="10000"/>
    <n v="100"/>
    <s v="AMPM70"/>
    <x v="22"/>
    <s v="Energia -A70-Ener"/>
    <s v="Compras"/>
    <s v="mbonilla"/>
    <s v="PMTRX00081993"/>
    <n v="4339849"/>
    <n v="1"/>
    <n v="87"/>
    <s v=""/>
    <m/>
  </r>
  <r>
    <n v="2921261"/>
    <x v="14"/>
    <s v="06-10-002-000"/>
    <x v="0"/>
    <n v="66531.72"/>
    <n v="0"/>
    <n v="66531.72"/>
    <n v="10000"/>
    <n v="100"/>
    <s v="AMPM66"/>
    <x v="79"/>
    <s v="Energia -A66-Ener"/>
    <s v="Compras"/>
    <s v="mbonilla"/>
    <s v="PMTRX00081993"/>
    <n v="4339850"/>
    <n v="1"/>
    <n v="82"/>
    <s v=""/>
    <m/>
  </r>
  <r>
    <n v="2921262"/>
    <x v="14"/>
    <s v="06-10-002-000"/>
    <x v="0"/>
    <n v="42434.22"/>
    <n v="0"/>
    <n v="42434.22"/>
    <n v="10000"/>
    <n v="100"/>
    <s v="AMPM31"/>
    <x v="64"/>
    <s v="Energia -A31-Ener"/>
    <s v="Compras"/>
    <s v="mbonilla"/>
    <s v="PMTRX00081993"/>
    <n v="4339851"/>
    <n v="1"/>
    <n v="38"/>
    <s v=""/>
    <m/>
  </r>
  <r>
    <n v="2921263"/>
    <x v="14"/>
    <s v="06-10-002-000"/>
    <x v="0"/>
    <n v="54120.09"/>
    <n v="0"/>
    <n v="54120.09"/>
    <n v="10000"/>
    <n v="100"/>
    <s v="AMPM53"/>
    <x v="20"/>
    <s v="Energia -A53-Ener"/>
    <s v="Compras"/>
    <s v="mbonilla"/>
    <s v="PMTRX00081993"/>
    <n v="4339852"/>
    <n v="1"/>
    <n v="64"/>
    <s v=""/>
    <m/>
  </r>
  <r>
    <n v="2921264"/>
    <x v="14"/>
    <s v="06-10-002-000"/>
    <x v="0"/>
    <n v="79669.03"/>
    <n v="0"/>
    <n v="79669.03"/>
    <n v="10000"/>
    <n v="100"/>
    <s v="AMPM72"/>
    <x v="27"/>
    <s v="Energia -A72-Ener"/>
    <s v="Compras"/>
    <s v="mbonilla"/>
    <s v="PMTRX00081993"/>
    <n v="4339853"/>
    <n v="1"/>
    <n v="88"/>
    <s v=""/>
    <m/>
  </r>
  <r>
    <n v="2921268"/>
    <x v="15"/>
    <s v="06-10-002-000"/>
    <x v="0"/>
    <n v="134.94999999999999"/>
    <n v="0"/>
    <n v="134.94999999999999"/>
    <n v="10000"/>
    <n v="100"/>
    <s v="AMPM19"/>
    <x v="56"/>
    <s v="Consumo Luz-A19"/>
    <s v="Consumo Luz-A19"/>
    <s v="jlopez"/>
    <s v="PMTRX00081994"/>
    <n v="4339880"/>
    <n v="1"/>
    <n v="19"/>
    <s v=""/>
    <m/>
  </r>
  <r>
    <n v="2921271"/>
    <x v="15"/>
    <s v="06-10-002-000"/>
    <x v="0"/>
    <n v="57942.61"/>
    <n v="0"/>
    <n v="57942.61"/>
    <n v="10000"/>
    <n v="100"/>
    <s v="AMPM05"/>
    <x v="12"/>
    <s v="Consumo Luz A05"/>
    <s v="Consumo Luz A05"/>
    <s v="jlopez"/>
    <s v="PMTRX00081994"/>
    <n v="4339881"/>
    <n v="1"/>
    <n v="5"/>
    <s v=""/>
    <m/>
  </r>
  <r>
    <n v="2921294"/>
    <x v="15"/>
    <s v="06-10-002-000"/>
    <x v="0"/>
    <n v="2822.34"/>
    <n v="0"/>
    <n v="2822.34"/>
    <n v="10000"/>
    <n v="100"/>
    <s v="AMPM19"/>
    <x v="56"/>
    <s v="Consumo Luz A19"/>
    <s v="Consumo Luz A19"/>
    <s v="jlopez"/>
    <s v="PMTRX00081994"/>
    <n v="4339882"/>
    <n v="1"/>
    <n v="19"/>
    <s v=""/>
    <m/>
  </r>
  <r>
    <n v="2921295"/>
    <x v="16"/>
    <s v="06-10-002-000"/>
    <x v="0"/>
    <n v="64589.4"/>
    <n v="0"/>
    <n v="64589.4"/>
    <n v="10000"/>
    <n v="100"/>
    <s v="AMPM88"/>
    <x v="9"/>
    <s v="Consumo Luz A88"/>
    <s v="Consumo Luz A88"/>
    <s v="jlopez"/>
    <s v="PMTRX00081994"/>
    <n v="4339883"/>
    <n v="1"/>
    <n v="102"/>
    <s v=""/>
    <m/>
  </r>
  <r>
    <n v="2934934"/>
    <x v="15"/>
    <s v="06-10-002-000"/>
    <x v="0"/>
    <n v="251.24"/>
    <n v="0"/>
    <n v="251.24"/>
    <n v="10000"/>
    <n v="100"/>
    <s v="AMPM72"/>
    <x v="27"/>
    <s v="Recargo por mora A72"/>
    <s v="Recargo por mora A72"/>
    <s v="jlopez"/>
    <s v="PMTRX00082290"/>
    <n v="4348745"/>
    <n v="1"/>
    <n v="88"/>
    <s v=""/>
    <m/>
  </r>
  <r>
    <n v="2934937"/>
    <x v="15"/>
    <s v="06-10-002-000"/>
    <x v="0"/>
    <n v="294.29000000000002"/>
    <n v="0"/>
    <n v="294.29000000000002"/>
    <n v="10000"/>
    <n v="100"/>
    <s v="AMPM73"/>
    <x v="17"/>
    <s v="Recargo por mora A73"/>
    <s v="Recargo por mora A73"/>
    <s v="jlopez"/>
    <s v="PMTRX00082293"/>
    <n v="4348746"/>
    <n v="1"/>
    <n v="89"/>
    <s v=""/>
    <m/>
  </r>
  <r>
    <n v="2929256"/>
    <x v="17"/>
    <s v="06-10-002-000"/>
    <x v="0"/>
    <n v="2746.82"/>
    <n v="0"/>
    <n v="2746.82"/>
    <n v="10000"/>
    <n v="100"/>
    <s v="AMPM15"/>
    <x v="1"/>
    <s v="ALQUILER A15-FEBRERO"/>
    <s v="ENERGIA A15-FEBRERO"/>
    <s v="xmaltez"/>
    <s v="PMTRX00082196"/>
    <n v="4346379"/>
    <n v="1"/>
    <n v="15"/>
    <s v=""/>
    <m/>
  </r>
  <r>
    <n v="2932434"/>
    <x v="18"/>
    <s v="06-10-002-000"/>
    <x v="0"/>
    <n v="1633.08"/>
    <n v="0"/>
    <n v="1633.08"/>
    <n v="10000"/>
    <n v="100"/>
    <s v="AMPM28"/>
    <x v="2"/>
    <s v="ALQUILER-AGUA-LUZ A28 FEBRERO"/>
    <s v="ENERGIA A28-FEBRERO"/>
    <s v="jlopez"/>
    <s v="PMTRX00082289"/>
    <n v="4346646"/>
    <n v="1"/>
    <n v="35"/>
    <s v=""/>
    <m/>
  </r>
  <r>
    <n v="2947467"/>
    <x v="19"/>
    <s v="06-10-002-000"/>
    <x v="0"/>
    <n v="30776.04"/>
    <n v="0"/>
    <n v="30776.04"/>
    <n v="10000"/>
    <n v="100"/>
    <s v="PANADE"/>
    <x v="0"/>
    <s v="ENERGIA PANADE FEBRERO"/>
    <s v="ENERGIA PANADE FEBRERO"/>
    <s v="jlopez"/>
    <s v="PMTRX00082606"/>
    <n v="4359657"/>
    <n v="1"/>
    <n v="32"/>
    <s v=""/>
    <m/>
  </r>
  <r>
    <n v="2947475"/>
    <x v="20"/>
    <s v="06-10-002-000"/>
    <x v="0"/>
    <n v="11894.11"/>
    <n v="0"/>
    <n v="11894.11"/>
    <n v="10000"/>
    <n v="100"/>
    <s v="AMPM26"/>
    <x v="7"/>
    <s v="AREAS COMUNES A26 FEBRERO"/>
    <s v="ENERGIA A26 FEBRERO"/>
    <s v="jlopez"/>
    <s v="PMTRX00082606"/>
    <n v="4359661"/>
    <n v="1"/>
    <n v="26"/>
    <s v=""/>
    <m/>
  </r>
  <r>
    <n v="2969088"/>
    <x v="20"/>
    <s v="06-10-002-000"/>
    <x v="0"/>
    <n v="2280.0700000000002"/>
    <n v="0"/>
    <n v="2280.0700000000002"/>
    <n v="10000"/>
    <n v="100"/>
    <s v="AMPM15"/>
    <x v="1"/>
    <s v="AREAS COMUNES-FEBRERO 2026"/>
    <s v="Energia A15-Febrero"/>
    <s v="jlopez"/>
    <s v="PMTRX00083153"/>
    <n v="4378136"/>
    <n v="1"/>
    <n v="15"/>
    <s v=""/>
    <m/>
  </r>
  <r>
    <n v="2982847"/>
    <x v="21"/>
    <s v="06-10-002-000"/>
    <x v="0"/>
    <n v="35873.82"/>
    <n v="0"/>
    <n v="35873.82"/>
    <n v="10000"/>
    <n v="100"/>
    <s v="AMPM57"/>
    <x v="4"/>
    <s v="ENERGIA A57 EBRERO"/>
    <s v="2956987 A57"/>
    <s v="xmaltez"/>
    <s v="PMTRX00083573"/>
    <n v="4389853"/>
    <n v="1"/>
    <n v="73"/>
    <s v=""/>
    <m/>
  </r>
  <r>
    <n v="2982848"/>
    <x v="21"/>
    <s v="06-10-002-000"/>
    <x v="0"/>
    <n v="4470"/>
    <n v="0"/>
    <n v="4470"/>
    <n v="10000"/>
    <n v="100"/>
    <s v="AMPM57"/>
    <x v="4"/>
    <s v="ENERGIA A57 FEBRERO"/>
    <s v="2957112 A57"/>
    <s v="xmaltez"/>
    <s v="PMTRX00083573"/>
    <n v="4389854"/>
    <n v="1"/>
    <n v="73"/>
    <s v=""/>
    <m/>
  </r>
  <r>
    <n v="2982850"/>
    <x v="21"/>
    <s v="06-10-002-000"/>
    <x v="0"/>
    <n v="45217.01"/>
    <n v="0"/>
    <n v="45217.01"/>
    <n v="10000"/>
    <n v="100"/>
    <s v="AMPM80"/>
    <x v="3"/>
    <s v="ENERGIA A80 FEBRERO"/>
    <s v="2463241 A80"/>
    <s v="xmaltez"/>
    <s v="PMTRX00083573"/>
    <n v="4389855"/>
    <n v="1"/>
    <n v="98"/>
    <s v=""/>
    <m/>
  </r>
  <r>
    <n v="2982853"/>
    <x v="21"/>
    <s v="06-10-002-000"/>
    <x v="0"/>
    <n v="65217.05"/>
    <n v="0"/>
    <n v="65217.05"/>
    <n v="10000"/>
    <n v="100"/>
    <s v="AMPM68"/>
    <x v="5"/>
    <s v="ENERGIA A68 FEBRERO"/>
    <s v="1400136 A68"/>
    <s v="xmaltez"/>
    <s v="PMTRX00083573"/>
    <n v="4389856"/>
    <n v="1"/>
    <n v="84"/>
    <s v=""/>
    <m/>
  </r>
  <r>
    <n v="2982857"/>
    <x v="21"/>
    <s v="06-10-002-000"/>
    <x v="0"/>
    <n v="55612.79"/>
    <n v="0"/>
    <n v="55612.79"/>
    <n v="10000"/>
    <n v="100"/>
    <s v="AMPM76"/>
    <x v="6"/>
    <s v="ENERGIA A76 FEBRERO"/>
    <s v="1577941 A76"/>
    <s v="xmaltez"/>
    <s v="PMTRX00083573"/>
    <n v="4389857"/>
    <n v="1"/>
    <n v="93"/>
    <s v=""/>
    <m/>
  </r>
  <r>
    <n v="2996102"/>
    <x v="22"/>
    <s v="06-10-002-000"/>
    <x v="0"/>
    <n v="43.4"/>
    <n v="0"/>
    <n v="43.4"/>
    <n v="10000"/>
    <n v="100"/>
    <s v="OPERACIONES"/>
    <x v="10"/>
    <s v="DISSUR 1800 1530 BANPRO"/>
    <s v="PG Luz TINAJITAS"/>
    <s v="jlopez"/>
    <s v="GLTRX00941890"/>
    <n v="4400284"/>
    <n v="1"/>
    <n v="31"/>
    <s v=""/>
    <m/>
  </r>
  <r>
    <n v="2996103"/>
    <x v="22"/>
    <s v="06-10-002-000"/>
    <x v="0"/>
    <n v="126.01"/>
    <n v="0"/>
    <n v="126.01"/>
    <n v="10000"/>
    <n v="100"/>
    <s v="OPERACIONES"/>
    <x v="10"/>
    <s v="DISSUR 1800 1530 BANPRO"/>
    <s v="PG Luz TINAJITAS"/>
    <s v="jlopez"/>
    <s v="GLTRX00941890"/>
    <n v="4400288"/>
    <n v="1"/>
    <n v="31"/>
    <s v=""/>
    <m/>
  </r>
  <r>
    <n v="2996359"/>
    <x v="23"/>
    <s v="06-10-002-000"/>
    <x v="0"/>
    <n v="40368.730000000003"/>
    <n v="0"/>
    <n v="40368.730000000003"/>
    <n v="10000"/>
    <n v="100"/>
    <s v="AMPM14"/>
    <x v="53"/>
    <s v="ENERGIA TIENDA A14 FEBRERO"/>
    <s v="26036000037 A14"/>
    <s v="xmaltez"/>
    <s v="PMTRX00083879"/>
    <n v="4400321"/>
    <n v="1"/>
    <n v="14"/>
    <s v=""/>
    <m/>
  </r>
  <r>
    <n v="2997792"/>
    <x v="24"/>
    <s v="06-10-002-000"/>
    <x v="0"/>
    <n v="52593.91"/>
    <n v="0"/>
    <n v="52593.91"/>
    <n v="10000"/>
    <n v="100"/>
    <s v="AMPM88"/>
    <x v="9"/>
    <s v="Energia-A88-Feb"/>
    <s v="Compras"/>
    <s v="xmaltez"/>
    <s v="PMTRX00083886"/>
    <n v="4401986"/>
    <n v="1"/>
    <n v="102"/>
    <s v=""/>
    <m/>
  </r>
  <r>
    <n v="2997793"/>
    <x v="24"/>
    <s v="06-10-002-000"/>
    <x v="0"/>
    <n v="2574.5700000000002"/>
    <n v="0"/>
    <n v="2574.5700000000002"/>
    <n v="10000"/>
    <n v="100"/>
    <s v="AMPM47"/>
    <x v="60"/>
    <s v="Energia-A47 -Feb"/>
    <s v="Compras"/>
    <s v="xmaltez"/>
    <s v="PMTRX00083886"/>
    <n v="4401987"/>
    <n v="1"/>
    <n v="61"/>
    <s v=""/>
    <m/>
  </r>
  <r>
    <n v="2997794"/>
    <x v="24"/>
    <s v="06-10-002-000"/>
    <x v="0"/>
    <n v="353.99"/>
    <n v="0"/>
    <n v="353.99"/>
    <n v="10000"/>
    <n v="100"/>
    <s v="OPERACIONES"/>
    <x v="10"/>
    <s v="Energia-OPERA-Feb"/>
    <s v="Compras"/>
    <s v="xmaltez"/>
    <s v="PMTRX00083886"/>
    <n v="4401988"/>
    <n v="1"/>
    <n v="31"/>
    <s v=""/>
    <m/>
  </r>
  <r>
    <n v="2997795"/>
    <x v="24"/>
    <s v="06-10-002-000"/>
    <x v="0"/>
    <n v="388.87"/>
    <n v="0"/>
    <n v="388.87"/>
    <n v="10000"/>
    <n v="100"/>
    <s v="AMPM03"/>
    <x v="61"/>
    <s v="Energia-A03 -Feb"/>
    <s v="Compras"/>
    <s v="xmaltez"/>
    <s v="PMTRX00083886"/>
    <n v="4401989"/>
    <n v="1"/>
    <n v="3"/>
    <s v=""/>
    <m/>
  </r>
  <r>
    <n v="2997796"/>
    <x v="24"/>
    <s v="06-10-002-000"/>
    <x v="0"/>
    <n v="2109.83"/>
    <n v="0"/>
    <n v="2109.83"/>
    <n v="10000"/>
    <n v="100"/>
    <s v="AMPM35"/>
    <x v="14"/>
    <s v="Energia-A35 -Feb"/>
    <s v="Compras"/>
    <s v="xmaltez"/>
    <s v="PMTRX00083886"/>
    <n v="4401990"/>
    <n v="1"/>
    <n v="43"/>
    <s v=""/>
    <m/>
  </r>
  <r>
    <n v="2997797"/>
    <x v="24"/>
    <s v="06-10-002-000"/>
    <x v="0"/>
    <n v="54116.69"/>
    <n v="0"/>
    <n v="54116.69"/>
    <n v="10000"/>
    <n v="100"/>
    <s v="AMPM44"/>
    <x v="38"/>
    <s v="Energia-A44-Feb"/>
    <s v="Compras"/>
    <s v="xmaltez"/>
    <s v="PMTRX00083886"/>
    <n v="4401991"/>
    <n v="1"/>
    <n v="57"/>
    <s v=""/>
    <m/>
  </r>
  <r>
    <n v="2997798"/>
    <x v="24"/>
    <s v="06-10-002-000"/>
    <x v="0"/>
    <n v="52075.51"/>
    <n v="0"/>
    <n v="52075.51"/>
    <n v="10000"/>
    <n v="100"/>
    <s v="AMPM47"/>
    <x v="60"/>
    <s v="Energia-A47-Feb"/>
    <s v="Compras"/>
    <s v="xmaltez"/>
    <s v="PMTRX00083886"/>
    <n v="4401992"/>
    <n v="1"/>
    <n v="61"/>
    <s v=""/>
    <m/>
  </r>
  <r>
    <n v="2997799"/>
    <x v="24"/>
    <s v="06-10-002-000"/>
    <x v="0"/>
    <n v="57879.17"/>
    <n v="0"/>
    <n v="57879.17"/>
    <n v="10000"/>
    <n v="100"/>
    <s v="AMPM55"/>
    <x v="37"/>
    <s v="Energia-A55-Feb"/>
    <s v="Compras"/>
    <s v="xmaltez"/>
    <s v="PMTRX00083886"/>
    <n v="4401993"/>
    <n v="1"/>
    <n v="71"/>
    <s v=""/>
    <m/>
  </r>
  <r>
    <n v="2997800"/>
    <x v="24"/>
    <s v="06-10-002-000"/>
    <x v="0"/>
    <n v="53146.19"/>
    <n v="0"/>
    <n v="53146.19"/>
    <n v="10000"/>
    <n v="100"/>
    <s v="AMPM46"/>
    <x v="34"/>
    <s v="Energia-A46-Feb"/>
    <s v="Compras"/>
    <s v="xmaltez"/>
    <s v="PMTRX00083886"/>
    <n v="4401994"/>
    <n v="1"/>
    <n v="60"/>
    <s v=""/>
    <m/>
  </r>
  <r>
    <n v="2997801"/>
    <x v="24"/>
    <s v="06-10-002-000"/>
    <x v="0"/>
    <n v="40546.17"/>
    <n v="0"/>
    <n v="40546.17"/>
    <n v="10000"/>
    <n v="100"/>
    <s v="AMPM64"/>
    <x v="19"/>
    <s v="Energia-A64-Feb"/>
    <s v="Compras"/>
    <s v="xmaltez"/>
    <s v="PMTRX00083886"/>
    <n v="4401995"/>
    <n v="1"/>
    <n v="80"/>
    <s v=""/>
    <m/>
  </r>
  <r>
    <n v="2997802"/>
    <x v="24"/>
    <s v="06-10-002-000"/>
    <x v="0"/>
    <n v="57250.37"/>
    <n v="0"/>
    <n v="57250.37"/>
    <n v="10000"/>
    <n v="100"/>
    <s v="AMPM87"/>
    <x v="89"/>
    <s v="Energia-A87-Feb"/>
    <s v="Compras"/>
    <s v="xmaltez"/>
    <s v="PMTRX00083886"/>
    <n v="4401996"/>
    <n v="1"/>
    <n v="103"/>
    <s v=""/>
    <m/>
  </r>
  <r>
    <n v="2997803"/>
    <x v="24"/>
    <s v="06-10-002-000"/>
    <x v="0"/>
    <n v="47937.35"/>
    <n v="0"/>
    <n v="47937.35"/>
    <n v="10000"/>
    <n v="100"/>
    <s v="AMPM50"/>
    <x v="70"/>
    <s v="Energia-A50-Feb"/>
    <s v="Compras"/>
    <s v="xmaltez"/>
    <s v="PMTRX00083886"/>
    <n v="4401997"/>
    <n v="1"/>
    <n v="28"/>
    <s v=""/>
    <m/>
  </r>
  <r>
    <n v="2997804"/>
    <x v="24"/>
    <s v="06-10-002-000"/>
    <x v="0"/>
    <n v="55643.9"/>
    <n v="0"/>
    <n v="55643.9"/>
    <n v="10000"/>
    <n v="100"/>
    <s v="AMPM58"/>
    <x v="46"/>
    <s v="Energia-A58-Feb"/>
    <s v="Compras"/>
    <s v="xmaltez"/>
    <s v="PMTRX00083886"/>
    <n v="4401998"/>
    <n v="1"/>
    <n v="74"/>
    <s v=""/>
    <m/>
  </r>
  <r>
    <n v="2997805"/>
    <x v="24"/>
    <s v="06-10-002-000"/>
    <x v="0"/>
    <n v="2082.75"/>
    <n v="0"/>
    <n v="2082.75"/>
    <n v="10000"/>
    <n v="100"/>
    <s v="AMPM67"/>
    <x v="80"/>
    <s v="Energia-A67 -Feb"/>
    <s v="Compras"/>
    <s v="xmaltez"/>
    <s v="PMTRX00083886"/>
    <n v="4401999"/>
    <n v="1"/>
    <n v="83"/>
    <s v=""/>
    <m/>
  </r>
  <r>
    <n v="2997806"/>
    <x v="24"/>
    <s v="06-10-002-000"/>
    <x v="0"/>
    <n v="2333.4699999999998"/>
    <n v="0"/>
    <n v="2333.4699999999998"/>
    <n v="10000"/>
    <n v="100"/>
    <s v="AMPM41"/>
    <x v="24"/>
    <s v="Energia-A41 -Feb"/>
    <s v="Compras"/>
    <s v="xmaltez"/>
    <s v="PMTRX00083886"/>
    <n v="4402000"/>
    <n v="1"/>
    <n v="50"/>
    <s v=""/>
    <m/>
  </r>
  <r>
    <n v="2997807"/>
    <x v="24"/>
    <s v="06-10-002-000"/>
    <x v="0"/>
    <n v="692.2"/>
    <n v="0"/>
    <n v="692.2"/>
    <n v="10000"/>
    <n v="100"/>
    <s v="AMPM39"/>
    <x v="31"/>
    <s v="Energia-A39 -Feb"/>
    <s v="Compras"/>
    <s v="xmaltez"/>
    <s v="PMTRX00083886"/>
    <n v="4402001"/>
    <n v="1"/>
    <n v="48"/>
    <s v=""/>
    <m/>
  </r>
  <r>
    <n v="2997808"/>
    <x v="24"/>
    <s v="06-10-002-000"/>
    <x v="0"/>
    <n v="1783.79"/>
    <n v="0"/>
    <n v="1783.79"/>
    <n v="10000"/>
    <n v="100"/>
    <s v="AMPM12"/>
    <x v="51"/>
    <s v="Energia-A12 -Feb"/>
    <s v="Compras"/>
    <s v="xmaltez"/>
    <s v="PMTRX00083886"/>
    <n v="4402002"/>
    <n v="1"/>
    <n v="12"/>
    <s v=""/>
    <m/>
  </r>
  <r>
    <n v="2997809"/>
    <x v="24"/>
    <s v="06-10-002-000"/>
    <x v="0"/>
    <n v="2294.4899999999998"/>
    <n v="0"/>
    <n v="2294.4899999999998"/>
    <n v="10000"/>
    <n v="100"/>
    <s v="AMPM13"/>
    <x v="54"/>
    <s v="Energia-A13 -Feb"/>
    <s v="Compras"/>
    <s v="xmaltez"/>
    <s v="PMTRX00083886"/>
    <n v="4402003"/>
    <n v="1"/>
    <n v="13"/>
    <s v=""/>
    <m/>
  </r>
  <r>
    <n v="2997810"/>
    <x v="24"/>
    <s v="06-10-002-000"/>
    <x v="0"/>
    <n v="64443.47"/>
    <n v="0"/>
    <n v="64443.47"/>
    <n v="10000"/>
    <n v="100"/>
    <s v="AMPM13"/>
    <x v="54"/>
    <s v="Energia-A13-Feb"/>
    <s v="Compras"/>
    <s v="xmaltez"/>
    <s v="PMTRX00083886"/>
    <n v="4402004"/>
    <n v="1"/>
    <n v="13"/>
    <s v=""/>
    <m/>
  </r>
  <r>
    <n v="2997811"/>
    <x v="24"/>
    <s v="06-10-002-000"/>
    <x v="0"/>
    <n v="183"/>
    <n v="0"/>
    <n v="183"/>
    <n v="10000"/>
    <n v="100"/>
    <s v="AMPM28"/>
    <x v="2"/>
    <s v="Energia-A28 -Feb"/>
    <s v="Compras"/>
    <s v="xmaltez"/>
    <s v="PMTRX00083886"/>
    <n v="4402005"/>
    <n v="1"/>
    <n v="35"/>
    <s v=""/>
    <m/>
  </r>
  <r>
    <n v="2997812"/>
    <x v="24"/>
    <s v="06-10-002-000"/>
    <x v="0"/>
    <n v="49533.4"/>
    <n v="0"/>
    <n v="49533.4"/>
    <n v="10000"/>
    <n v="100"/>
    <s v="AMPM28"/>
    <x v="2"/>
    <s v="Energia-A28-Feb"/>
    <s v="Compras"/>
    <s v="xmaltez"/>
    <s v="PMTRX00083886"/>
    <n v="4402006"/>
    <n v="1"/>
    <n v="35"/>
    <s v=""/>
    <m/>
  </r>
  <r>
    <n v="2997813"/>
    <x v="24"/>
    <s v="06-10-002-000"/>
    <x v="0"/>
    <n v="335.68"/>
    <n v="0"/>
    <n v="335.68"/>
    <n v="10000"/>
    <n v="100"/>
    <s v="AMPM07"/>
    <x v="44"/>
    <s v="Energia-A07 -Feb"/>
    <s v="Compras"/>
    <s v="xmaltez"/>
    <s v="PMTRX00083886"/>
    <n v="4402007"/>
    <n v="1"/>
    <n v="7"/>
    <s v=""/>
    <m/>
  </r>
  <r>
    <n v="2997814"/>
    <x v="24"/>
    <s v="06-10-002-000"/>
    <x v="0"/>
    <n v="49712.51"/>
    <n v="0"/>
    <n v="49712.51"/>
    <n v="10000"/>
    <n v="100"/>
    <s v="AMPM02"/>
    <x v="28"/>
    <s v="Energia-A02-Feb"/>
    <s v="Compras"/>
    <s v="xmaltez"/>
    <s v="PMTRX00083886"/>
    <n v="4402008"/>
    <n v="1"/>
    <n v="2"/>
    <s v=""/>
    <m/>
  </r>
  <r>
    <n v="2997815"/>
    <x v="24"/>
    <s v="06-10-002-000"/>
    <x v="0"/>
    <n v="39693.449999999997"/>
    <n v="0"/>
    <n v="39693.449999999997"/>
    <n v="10000"/>
    <n v="100"/>
    <s v="AMPM15"/>
    <x v="1"/>
    <s v="Energia-A15-Feb"/>
    <s v="Compras"/>
    <s v="xmaltez"/>
    <s v="PMTRX00083886"/>
    <n v="4402009"/>
    <n v="1"/>
    <n v="15"/>
    <s v=""/>
    <m/>
  </r>
  <r>
    <n v="2997816"/>
    <x v="24"/>
    <s v="06-10-002-000"/>
    <x v="0"/>
    <n v="1012.12"/>
    <n v="0"/>
    <n v="1012.12"/>
    <n v="10000"/>
    <n v="100"/>
    <s v="AMPM15"/>
    <x v="1"/>
    <s v="Energia-A15 -Feb"/>
    <s v="Compras"/>
    <s v="xmaltez"/>
    <s v="PMTRX00083886"/>
    <n v="4402010"/>
    <n v="1"/>
    <n v="15"/>
    <s v=""/>
    <m/>
  </r>
  <r>
    <n v="2997817"/>
    <x v="24"/>
    <s v="06-10-002-000"/>
    <x v="0"/>
    <n v="305.14"/>
    <n v="0"/>
    <n v="305.14"/>
    <n v="10000"/>
    <n v="100"/>
    <s v="AMPM01"/>
    <x v="25"/>
    <s v="Energia-A01 -Feb"/>
    <s v="Compras"/>
    <s v="xmaltez"/>
    <s v="PMTRX00083886"/>
    <n v="4402011"/>
    <n v="1"/>
    <n v="1"/>
    <s v=""/>
    <m/>
  </r>
  <r>
    <n v="2997818"/>
    <x v="24"/>
    <s v="06-10-002-000"/>
    <x v="0"/>
    <n v="68505.3"/>
    <n v="0"/>
    <n v="68505.3"/>
    <n v="10000"/>
    <n v="100"/>
    <s v="AMPM07"/>
    <x v="44"/>
    <s v="Energia-A07-Feb"/>
    <s v="Compras"/>
    <s v="xmaltez"/>
    <s v="PMTRX00083886"/>
    <n v="4402012"/>
    <n v="1"/>
    <n v="7"/>
    <s v=""/>
    <m/>
  </r>
  <r>
    <n v="2997819"/>
    <x v="24"/>
    <s v="06-10-002-000"/>
    <x v="0"/>
    <n v="24332.41"/>
    <n v="0"/>
    <n v="24332.41"/>
    <n v="10000"/>
    <n v="100"/>
    <s v="AMPM08"/>
    <x v="47"/>
    <s v="Energia-A08-Feb"/>
    <s v="Compras"/>
    <s v="xmaltez"/>
    <s v="PMTRX00083886"/>
    <n v="4402013"/>
    <n v="1"/>
    <n v="8"/>
    <s v=""/>
    <m/>
  </r>
  <r>
    <n v="2997820"/>
    <x v="24"/>
    <s v="06-10-002-000"/>
    <x v="0"/>
    <n v="29615.919999999998"/>
    <n v="0"/>
    <n v="29615.919999999998"/>
    <n v="10000"/>
    <n v="100"/>
    <s v="AMPM08"/>
    <x v="47"/>
    <s v="Energia-A08-Feb"/>
    <s v="Compras"/>
    <s v="xmaltez"/>
    <s v="PMTRX00083886"/>
    <n v="4402014"/>
    <n v="1"/>
    <n v="8"/>
    <s v=""/>
    <m/>
  </r>
  <r>
    <n v="2997821"/>
    <x v="24"/>
    <s v="06-10-002-000"/>
    <x v="0"/>
    <n v="49445.51"/>
    <n v="0"/>
    <n v="49445.51"/>
    <n v="10000"/>
    <n v="100"/>
    <s v="AMPM69"/>
    <x v="30"/>
    <s v="Energia-A69-Feb"/>
    <s v="Compras"/>
    <s v="xmaltez"/>
    <s v="PMTRX00083886"/>
    <n v="4402015"/>
    <n v="1"/>
    <n v="85"/>
    <s v=""/>
    <m/>
  </r>
  <r>
    <n v="2997822"/>
    <x v="24"/>
    <s v="06-10-002-000"/>
    <x v="0"/>
    <n v="37611.589999999997"/>
    <n v="0"/>
    <n v="37611.589999999997"/>
    <n v="10000"/>
    <n v="100"/>
    <s v="AMPM35"/>
    <x v="14"/>
    <s v="Energia-A35-Feb"/>
    <s v="Compras"/>
    <s v="xmaltez"/>
    <s v="PMTRX00083886"/>
    <n v="4402016"/>
    <n v="1"/>
    <n v="43"/>
    <s v=""/>
    <m/>
  </r>
  <r>
    <n v="2997823"/>
    <x v="24"/>
    <s v="06-10-002-000"/>
    <x v="0"/>
    <n v="56098.11"/>
    <n v="0"/>
    <n v="56098.11"/>
    <n v="10000"/>
    <n v="100"/>
    <s v="AMPM74"/>
    <x v="40"/>
    <s v="Energia-A74-Feb"/>
    <s v="Compras"/>
    <s v="xmaltez"/>
    <s v="PMTRX00083886"/>
    <n v="4402017"/>
    <n v="1"/>
    <n v="90"/>
    <s v=""/>
    <m/>
  </r>
  <r>
    <n v="2997824"/>
    <x v="24"/>
    <s v="06-10-002-000"/>
    <x v="0"/>
    <n v="195.21"/>
    <n v="0"/>
    <n v="195.21"/>
    <n v="10000"/>
    <n v="100"/>
    <s v="AMPM29"/>
    <x v="58"/>
    <s v="Energia-A29 -Feb"/>
    <s v="Compras"/>
    <s v="xmaltez"/>
    <s v="PMTRX00083886"/>
    <n v="4402018"/>
    <n v="1"/>
    <n v="36"/>
    <s v=""/>
    <m/>
  </r>
  <r>
    <n v="2997825"/>
    <x v="24"/>
    <s v="06-10-002-000"/>
    <x v="0"/>
    <n v="58832.72"/>
    <n v="0"/>
    <n v="58832.72"/>
    <n v="10000"/>
    <n v="100"/>
    <s v="AMPM29"/>
    <x v="58"/>
    <s v="Energia-A29-Feb"/>
    <s v="Compras"/>
    <s v="xmaltez"/>
    <s v="PMTRX00083886"/>
    <n v="4402019"/>
    <n v="1"/>
    <n v="36"/>
    <s v=""/>
    <m/>
  </r>
  <r>
    <n v="2997826"/>
    <x v="24"/>
    <s v="06-10-002-000"/>
    <x v="0"/>
    <n v="37124.239999999998"/>
    <n v="0"/>
    <n v="37124.239999999998"/>
    <n v="10000"/>
    <n v="100"/>
    <s v="MONITOREO"/>
    <x v="63"/>
    <s v="Energia-MONI-Feb"/>
    <s v="Compras"/>
    <s v="xmaltez"/>
    <s v="PMTRX00083886"/>
    <n v="4402020"/>
    <n v="1"/>
    <n v="30"/>
    <s v=""/>
    <m/>
  </r>
  <r>
    <n v="2997827"/>
    <x v="24"/>
    <s v="06-10-002-000"/>
    <x v="0"/>
    <n v="53091.53"/>
    <n v="0"/>
    <n v="53091.53"/>
    <n v="10000"/>
    <n v="100"/>
    <s v="AMPM04"/>
    <x v="26"/>
    <s v="Energia-A04-Feb"/>
    <s v="Compras"/>
    <s v="xmaltez"/>
    <s v="PMTRX00083886"/>
    <n v="4402021"/>
    <n v="1"/>
    <n v="4"/>
    <s v=""/>
    <m/>
  </r>
  <r>
    <n v="2997828"/>
    <x v="24"/>
    <s v="06-10-002-000"/>
    <x v="0"/>
    <n v="70724.070000000007"/>
    <n v="0"/>
    <n v="70724.070000000007"/>
    <n v="10000"/>
    <n v="100"/>
    <s v="AMPM06"/>
    <x v="13"/>
    <s v="Energia-A06-Feb"/>
    <s v="Compras"/>
    <s v="xmaltez"/>
    <s v="PMTRX00083886"/>
    <n v="4402022"/>
    <n v="1"/>
    <n v="6"/>
    <s v=""/>
    <m/>
  </r>
  <r>
    <n v="2997829"/>
    <x v="24"/>
    <s v="06-10-002-000"/>
    <x v="0"/>
    <n v="57948.04"/>
    <n v="0"/>
    <n v="57948.04"/>
    <n v="10000"/>
    <n v="100"/>
    <s v="AMPM16"/>
    <x v="43"/>
    <s v="Energia-A16-Feb"/>
    <s v="Compras"/>
    <s v="xmaltez"/>
    <s v="PMTRX00083886"/>
    <n v="4402023"/>
    <n v="1"/>
    <n v="16"/>
    <s v=""/>
    <m/>
  </r>
  <r>
    <n v="2997830"/>
    <x v="24"/>
    <s v="06-10-002-000"/>
    <x v="0"/>
    <n v="2285.27"/>
    <n v="0"/>
    <n v="2285.27"/>
    <n v="10000"/>
    <n v="100"/>
    <s v="AMPM38"/>
    <x v="41"/>
    <s v="Energia-A38 -Feb"/>
    <s v="Compras"/>
    <s v="xmaltez"/>
    <s v="PMTRX00083886"/>
    <n v="4402024"/>
    <n v="1"/>
    <n v="47"/>
    <s v=""/>
    <m/>
  </r>
  <r>
    <n v="2997831"/>
    <x v="24"/>
    <s v="06-10-002-000"/>
    <x v="0"/>
    <n v="68970.23"/>
    <n v="0"/>
    <n v="68970.23"/>
    <n v="10000"/>
    <n v="100"/>
    <s v="AMPM79"/>
    <x v="82"/>
    <s v="Energia-A79-Feb"/>
    <s v="Compras"/>
    <s v="xmaltez"/>
    <s v="PMTRX00083886"/>
    <n v="4402025"/>
    <n v="1"/>
    <n v="95"/>
    <s v=""/>
    <m/>
  </r>
  <r>
    <n v="2997832"/>
    <x v="24"/>
    <s v="06-10-002-000"/>
    <x v="0"/>
    <n v="79197.78"/>
    <n v="0"/>
    <n v="79197.78"/>
    <n v="10000"/>
    <n v="100"/>
    <s v="AMPM65"/>
    <x v="78"/>
    <s v="Energia-A65-Feb"/>
    <s v="Compras"/>
    <s v="xmaltez"/>
    <s v="PMTRX00083886"/>
    <n v="4402026"/>
    <n v="1"/>
    <n v="81"/>
    <s v=""/>
    <m/>
  </r>
  <r>
    <n v="2997833"/>
    <x v="24"/>
    <s v="06-10-002-000"/>
    <x v="0"/>
    <n v="61854"/>
    <n v="0"/>
    <n v="61854"/>
    <n v="10000"/>
    <n v="100"/>
    <s v="AMPM81"/>
    <x v="83"/>
    <s v="Energia-A81-Feb"/>
    <s v="Compras"/>
    <s v="xmaltez"/>
    <s v="PMTRX00083886"/>
    <n v="4402027"/>
    <n v="1"/>
    <n v="99"/>
    <s v=""/>
    <m/>
  </r>
  <r>
    <n v="2997834"/>
    <x v="24"/>
    <s v="06-10-002-000"/>
    <x v="0"/>
    <n v="67834.63"/>
    <n v="0"/>
    <n v="67834.63"/>
    <n v="10000"/>
    <n v="100"/>
    <s v="AMPM38"/>
    <x v="41"/>
    <s v="Energia-A38-Feb"/>
    <s v="Compras"/>
    <s v="xmaltez"/>
    <s v="PMTRX00083886"/>
    <n v="4402028"/>
    <n v="1"/>
    <n v="47"/>
    <s v=""/>
    <m/>
  </r>
  <r>
    <n v="2997835"/>
    <x v="24"/>
    <s v="06-10-002-000"/>
    <x v="0"/>
    <n v="4679.8100000000004"/>
    <n v="0"/>
    <n v="4679.8100000000004"/>
    <n v="10000"/>
    <n v="100"/>
    <s v="AMPM18"/>
    <x v="55"/>
    <s v="Energia-A18 -Feb"/>
    <s v="Compras"/>
    <s v="xmaltez"/>
    <s v="PMTRX00083886"/>
    <n v="4402029"/>
    <n v="1"/>
    <n v="18"/>
    <s v=""/>
    <m/>
  </r>
  <r>
    <n v="2997836"/>
    <x v="24"/>
    <s v="06-10-002-000"/>
    <x v="0"/>
    <n v="2148.3000000000002"/>
    <n v="0"/>
    <n v="2148.3000000000002"/>
    <n v="10000"/>
    <n v="100"/>
    <s v="AMPM45"/>
    <x v="68"/>
    <s v="Energia-A45 -Feb"/>
    <s v="Compras"/>
    <s v="xmaltez"/>
    <s v="PMTRX00083886"/>
    <n v="4402030"/>
    <n v="1"/>
    <n v="59"/>
    <s v=""/>
    <m/>
  </r>
  <r>
    <n v="2997837"/>
    <x v="24"/>
    <s v="06-10-002-000"/>
    <x v="0"/>
    <n v="45535.3"/>
    <n v="0"/>
    <n v="45535.3"/>
    <n v="10000"/>
    <n v="100"/>
    <s v="AMPM39"/>
    <x v="31"/>
    <s v="Energia-A39-Feb"/>
    <s v="Compras"/>
    <s v="xmaltez"/>
    <s v="PMTRX00083886"/>
    <n v="4402031"/>
    <n v="1"/>
    <n v="48"/>
    <s v=""/>
    <m/>
  </r>
  <r>
    <n v="2997838"/>
    <x v="24"/>
    <s v="06-10-002-000"/>
    <x v="0"/>
    <n v="56924.6"/>
    <n v="0"/>
    <n v="56924.6"/>
    <n v="10000"/>
    <n v="100"/>
    <s v="AMPM32"/>
    <x v="65"/>
    <s v="Energia-A32-Feb"/>
    <s v="Compras"/>
    <s v="xmaltez"/>
    <s v="PMTRX00083886"/>
    <n v="4402032"/>
    <n v="1"/>
    <n v="40"/>
    <s v=""/>
    <m/>
  </r>
  <r>
    <n v="2997839"/>
    <x v="24"/>
    <s v="06-10-002-000"/>
    <x v="0"/>
    <n v="61322.33"/>
    <n v="0"/>
    <n v="61322.33"/>
    <n v="10000"/>
    <n v="100"/>
    <s v="AMPM71"/>
    <x v="52"/>
    <s v="Energia-A71-Feb"/>
    <s v="Compras"/>
    <s v="xmaltez"/>
    <s v="PMTRX00083886"/>
    <n v="4402033"/>
    <n v="1"/>
    <n v="86"/>
    <s v=""/>
    <m/>
  </r>
  <r>
    <n v="2997840"/>
    <x v="24"/>
    <s v="06-10-002-000"/>
    <x v="0"/>
    <n v="61043.44"/>
    <n v="0"/>
    <n v="61043.44"/>
    <n v="10000"/>
    <n v="100"/>
    <s v="AMPM82"/>
    <x v="84"/>
    <s v="Energia-A82-Feb"/>
    <s v="Compras"/>
    <s v="xmaltez"/>
    <s v="PMTRX00083886"/>
    <n v="4402034"/>
    <n v="1"/>
    <n v="96"/>
    <s v=""/>
    <m/>
  </r>
  <r>
    <n v="2997841"/>
    <x v="24"/>
    <s v="06-10-002-000"/>
    <x v="0"/>
    <n v="68629.259999999995"/>
    <n v="0"/>
    <n v="68629.259999999995"/>
    <n v="10000"/>
    <n v="100"/>
    <s v="AMPM54"/>
    <x v="18"/>
    <s v="Energia-A54-Feb"/>
    <s v="Compras"/>
    <s v="xmaltez"/>
    <s v="PMTRX00083886"/>
    <n v="4402035"/>
    <n v="1"/>
    <n v="70"/>
    <s v=""/>
    <m/>
  </r>
  <r>
    <n v="2997842"/>
    <x v="24"/>
    <s v="06-10-002-000"/>
    <x v="0"/>
    <n v="62440.25"/>
    <n v="0"/>
    <n v="62440.25"/>
    <n v="10000"/>
    <n v="100"/>
    <s v="AMPM51"/>
    <x v="71"/>
    <s v="Energia-A51-Feb"/>
    <s v="Compras"/>
    <s v="xmaltez"/>
    <s v="PMTRX00083886"/>
    <n v="4402036"/>
    <n v="1"/>
    <n v="65"/>
    <s v=""/>
    <m/>
  </r>
  <r>
    <n v="2997843"/>
    <x v="24"/>
    <s v="06-10-002-000"/>
    <x v="0"/>
    <n v="2558.6"/>
    <n v="0"/>
    <n v="2558.6"/>
    <n v="10000"/>
    <n v="100"/>
    <s v="AMPM51"/>
    <x v="71"/>
    <s v="Energia-A51 -Feb"/>
    <s v="Compras"/>
    <s v="xmaltez"/>
    <s v="PMTRX00083886"/>
    <n v="4402037"/>
    <n v="1"/>
    <n v="65"/>
    <s v=""/>
    <m/>
  </r>
  <r>
    <n v="2997844"/>
    <x v="24"/>
    <s v="06-10-002-000"/>
    <x v="0"/>
    <n v="56630.9"/>
    <n v="0"/>
    <n v="56630.9"/>
    <n v="10000"/>
    <n v="100"/>
    <s v="AMPM25"/>
    <x v="62"/>
    <s v="Energia-A25-Feb"/>
    <s v="Compras"/>
    <s v="xmaltez"/>
    <s v="PMTRX00083886"/>
    <n v="4402038"/>
    <n v="1"/>
    <n v="25"/>
    <s v=""/>
    <m/>
  </r>
  <r>
    <n v="2997845"/>
    <x v="24"/>
    <s v="06-10-002-000"/>
    <x v="0"/>
    <n v="59575.98"/>
    <n v="0"/>
    <n v="59575.98"/>
    <n v="10000"/>
    <n v="100"/>
    <s v="AMPM63"/>
    <x v="32"/>
    <s v="Energia-A63-Feb"/>
    <s v="Compras"/>
    <s v="xmaltez"/>
    <s v="PMTRX00083886"/>
    <n v="4402039"/>
    <n v="1"/>
    <n v="79"/>
    <s v=""/>
    <m/>
  </r>
  <r>
    <n v="2997846"/>
    <x v="24"/>
    <s v="06-10-002-000"/>
    <x v="0"/>
    <n v="72878.81"/>
    <n v="0"/>
    <n v="72878.81"/>
    <n v="10000"/>
    <n v="100"/>
    <s v="AMPM33"/>
    <x v="11"/>
    <s v="Energia-A33-Feb"/>
    <s v="Compras"/>
    <s v="xmaltez"/>
    <s v="PMTRX00083886"/>
    <n v="4402040"/>
    <n v="1"/>
    <n v="39"/>
    <s v=""/>
    <m/>
  </r>
  <r>
    <n v="2997847"/>
    <x v="24"/>
    <s v="06-10-002-000"/>
    <x v="0"/>
    <n v="57838.74"/>
    <n v="0"/>
    <n v="57838.74"/>
    <n v="10000"/>
    <n v="100"/>
    <s v="AMPM41"/>
    <x v="24"/>
    <s v="Energia-A41-Feb"/>
    <s v="Compras"/>
    <s v="xmaltez"/>
    <s v="PMTRX00083886"/>
    <n v="4402041"/>
    <n v="1"/>
    <n v="50"/>
    <s v=""/>
    <m/>
  </r>
  <r>
    <n v="2997848"/>
    <x v="24"/>
    <s v="06-10-002-000"/>
    <x v="0"/>
    <n v="65529.93"/>
    <n v="0"/>
    <n v="65529.93"/>
    <n v="10000"/>
    <n v="100"/>
    <s v="AMPM78"/>
    <x v="81"/>
    <s v="Energia-A78-Feb"/>
    <s v="Compras"/>
    <s v="xmaltez"/>
    <s v="PMTRX00083886"/>
    <n v="4402042"/>
    <n v="1"/>
    <n v="94"/>
    <s v=""/>
    <m/>
  </r>
  <r>
    <n v="2997849"/>
    <x v="24"/>
    <s v="06-10-002-000"/>
    <x v="0"/>
    <n v="56971.28"/>
    <n v="0"/>
    <n v="56971.28"/>
    <n v="10000"/>
    <n v="100"/>
    <s v="AMPM61"/>
    <x v="75"/>
    <s v="Energia-A61-Feb"/>
    <s v="Compras"/>
    <s v="xmaltez"/>
    <s v="PMTRX00083886"/>
    <n v="4402043"/>
    <n v="1"/>
    <n v="77"/>
    <s v=""/>
    <m/>
  </r>
  <r>
    <n v="2997850"/>
    <x v="24"/>
    <s v="06-10-002-000"/>
    <x v="0"/>
    <n v="53815.59"/>
    <n v="0"/>
    <n v="53815.59"/>
    <n v="10000"/>
    <n v="100"/>
    <s v="AMPM75"/>
    <x v="36"/>
    <s v="Energia-A75-Feb"/>
    <s v="Compras"/>
    <s v="xmaltez"/>
    <s v="PMTRX00083886"/>
    <n v="4402044"/>
    <n v="1"/>
    <n v="91"/>
    <s v=""/>
    <m/>
  </r>
  <r>
    <n v="2997851"/>
    <x v="24"/>
    <s v="06-10-002-000"/>
    <x v="0"/>
    <n v="66810.64"/>
    <n v="0"/>
    <n v="66810.64"/>
    <n v="10000"/>
    <n v="100"/>
    <s v="AMPM30"/>
    <x v="39"/>
    <s v="Energia-A30-Feb"/>
    <s v="Compras"/>
    <s v="xmaltez"/>
    <s v="PMTRX00083886"/>
    <n v="4402045"/>
    <n v="1"/>
    <n v="37"/>
    <s v=""/>
    <m/>
  </r>
  <r>
    <n v="2997852"/>
    <x v="24"/>
    <s v="06-10-002-000"/>
    <x v="0"/>
    <n v="50087.26"/>
    <n v="0"/>
    <n v="50087.26"/>
    <n v="10000"/>
    <n v="100"/>
    <s v="AMPM84"/>
    <x v="29"/>
    <s v="Energia-A84-Feb"/>
    <s v="Compras"/>
    <s v="xmaltez"/>
    <s v="PMTRX00083886"/>
    <n v="4402046"/>
    <n v="1"/>
    <n v="100"/>
    <s v=""/>
    <m/>
  </r>
  <r>
    <n v="2997853"/>
    <x v="24"/>
    <s v="06-10-002-000"/>
    <x v="0"/>
    <n v="66960.350000000006"/>
    <n v="0"/>
    <n v="66960.350000000006"/>
    <n v="10000"/>
    <n v="100"/>
    <s v="AMPM27"/>
    <x v="8"/>
    <s v="Energia-A27-Feb"/>
    <s v="Compras"/>
    <s v="xmaltez"/>
    <s v="PMTRX00083886"/>
    <n v="4402047"/>
    <n v="1"/>
    <n v="34"/>
    <s v=""/>
    <m/>
  </r>
  <r>
    <n v="2997854"/>
    <x v="24"/>
    <s v="06-10-002-000"/>
    <x v="0"/>
    <n v="2407.7199999999998"/>
    <n v="0"/>
    <n v="2407.7199999999998"/>
    <n v="10000"/>
    <n v="100"/>
    <s v="AMPM27"/>
    <x v="8"/>
    <s v="Energia-A27 -Feb"/>
    <s v="Compras"/>
    <s v="xmaltez"/>
    <s v="PMTRX00083886"/>
    <n v="4402048"/>
    <n v="1"/>
    <n v="34"/>
    <s v=""/>
    <m/>
  </r>
  <r>
    <n v="2997855"/>
    <x v="24"/>
    <s v="06-10-002-000"/>
    <x v="0"/>
    <n v="54631.88"/>
    <n v="0"/>
    <n v="54631.88"/>
    <n v="10000"/>
    <n v="100"/>
    <s v="AMPM10"/>
    <x v="45"/>
    <s v="Energia-A10-Feb"/>
    <s v="Compras"/>
    <s v="xmaltez"/>
    <s v="PMTRX00083886"/>
    <n v="4402049"/>
    <n v="1"/>
    <n v="10"/>
    <s v=""/>
    <m/>
  </r>
  <r>
    <n v="2997856"/>
    <x v="24"/>
    <s v="06-10-002-000"/>
    <x v="0"/>
    <n v="45295.09"/>
    <n v="0"/>
    <n v="45295.09"/>
    <n v="10000"/>
    <n v="100"/>
    <s v="AMPM52"/>
    <x v="16"/>
    <s v="Energia-A52-Feb"/>
    <s v="Compras"/>
    <s v="xmaltez"/>
    <s v="PMTRX00083886"/>
    <n v="4402050"/>
    <n v="1"/>
    <n v="66"/>
    <s v=""/>
    <m/>
  </r>
  <r>
    <n v="2997857"/>
    <x v="24"/>
    <s v="06-10-002-000"/>
    <x v="0"/>
    <n v="57027.49"/>
    <n v="0"/>
    <n v="57027.49"/>
    <n v="10000"/>
    <n v="100"/>
    <s v="AMPM19"/>
    <x v="56"/>
    <s v="Energia-A19-Feb"/>
    <s v="Compras"/>
    <s v="xmaltez"/>
    <s v="PMTRX00083886"/>
    <n v="4402051"/>
    <n v="1"/>
    <n v="19"/>
    <s v=""/>
    <m/>
  </r>
  <r>
    <n v="2997858"/>
    <x v="24"/>
    <s v="06-10-002-000"/>
    <x v="0"/>
    <n v="61579.61"/>
    <n v="0"/>
    <n v="61579.61"/>
    <n v="10000"/>
    <n v="100"/>
    <s v="AMPM73"/>
    <x v="17"/>
    <s v="Energia-A73-Feb"/>
    <s v="Compras"/>
    <s v="xmaltez"/>
    <s v="PMTRX00083886"/>
    <n v="4402052"/>
    <n v="1"/>
    <n v="89"/>
    <s v=""/>
    <m/>
  </r>
  <r>
    <n v="2997859"/>
    <x v="24"/>
    <s v="06-10-002-000"/>
    <x v="0"/>
    <n v="40898.35"/>
    <n v="0"/>
    <n v="40898.35"/>
    <n v="10000"/>
    <n v="100"/>
    <s v="AMPM01"/>
    <x v="25"/>
    <s v="Energia-A01-Feb"/>
    <s v="Compras"/>
    <s v="xmaltez"/>
    <s v="PMTRX00083886"/>
    <n v="4402053"/>
    <n v="1"/>
    <n v="1"/>
    <s v=""/>
    <m/>
  </r>
  <r>
    <n v="2997860"/>
    <x v="24"/>
    <s v="06-10-002-000"/>
    <x v="0"/>
    <n v="58007.25"/>
    <n v="0"/>
    <n v="58007.25"/>
    <n v="10000"/>
    <n v="100"/>
    <s v="AMPM20"/>
    <x v="57"/>
    <s v="Energia-A20-Feb"/>
    <s v="Compras"/>
    <s v="xmaltez"/>
    <s v="PMTRX00083886"/>
    <n v="4402054"/>
    <n v="1"/>
    <n v="20"/>
    <s v=""/>
    <m/>
  </r>
  <r>
    <n v="2997861"/>
    <x v="24"/>
    <s v="06-10-002-000"/>
    <x v="0"/>
    <n v="56247.34"/>
    <n v="0"/>
    <n v="56247.34"/>
    <n v="10000"/>
    <n v="100"/>
    <s v="AMPM89"/>
    <x v="87"/>
    <s v="Energia-A89-Feb"/>
    <s v="Compras"/>
    <s v="xmaltez"/>
    <s v="PMTRX00083886"/>
    <n v="4402055"/>
    <n v="1"/>
    <n v="105"/>
    <s v=""/>
    <m/>
  </r>
  <r>
    <n v="2997862"/>
    <x v="24"/>
    <s v="06-10-002-000"/>
    <x v="0"/>
    <n v="49014.28"/>
    <n v="0"/>
    <n v="49014.28"/>
    <n v="10000"/>
    <n v="100"/>
    <s v="AMPM37"/>
    <x v="49"/>
    <s v="Energia-A37-Feb"/>
    <s v="Compras"/>
    <s v="xmaltez"/>
    <s v="PMTRX00083886"/>
    <n v="4402056"/>
    <n v="1"/>
    <n v="42"/>
    <s v=""/>
    <m/>
  </r>
  <r>
    <n v="2997863"/>
    <x v="24"/>
    <s v="06-10-002-000"/>
    <x v="0"/>
    <n v="81194.570000000007"/>
    <n v="0"/>
    <n v="81194.570000000007"/>
    <n v="10000"/>
    <n v="100"/>
    <s v="AMPM34"/>
    <x v="85"/>
    <s v="Energia-A34-Feb"/>
    <s v="Compras"/>
    <s v="xmaltez"/>
    <s v="PMTRX00083886"/>
    <n v="4402057"/>
    <n v="1"/>
    <n v="41"/>
    <s v=""/>
    <m/>
  </r>
  <r>
    <n v="2997864"/>
    <x v="24"/>
    <s v="06-10-002-000"/>
    <x v="0"/>
    <n v="3425.6"/>
    <n v="0"/>
    <n v="3425.6"/>
    <n v="10000"/>
    <n v="100"/>
    <s v="AMPM01"/>
    <x v="25"/>
    <s v="Energia-A01 -Feb"/>
    <s v="Compras"/>
    <s v="xmaltez"/>
    <s v="PMTRX00083886"/>
    <n v="4402058"/>
    <n v="1"/>
    <n v="1"/>
    <s v=""/>
    <m/>
  </r>
  <r>
    <n v="2997865"/>
    <x v="24"/>
    <s v="06-10-002-000"/>
    <x v="0"/>
    <n v="54875.06"/>
    <n v="0"/>
    <n v="54875.06"/>
    <n v="10000"/>
    <n v="100"/>
    <s v="AMPM49"/>
    <x v="72"/>
    <s v="Energia-A49-Feb"/>
    <s v="Compras"/>
    <s v="xmaltez"/>
    <s v="PMTRX00083886"/>
    <n v="4402059"/>
    <n v="1"/>
    <n v="63"/>
    <s v=""/>
    <m/>
  </r>
  <r>
    <n v="2997866"/>
    <x v="24"/>
    <s v="06-10-002-000"/>
    <x v="0"/>
    <n v="36.409999999999997"/>
    <n v="0"/>
    <n v="36.409999999999997"/>
    <n v="10000"/>
    <n v="100"/>
    <s v="AMPM49"/>
    <x v="72"/>
    <s v="Energia-A49 -Feb"/>
    <s v="Compras"/>
    <s v="xmaltez"/>
    <s v="PMTRX00083886"/>
    <n v="4402060"/>
    <n v="1"/>
    <n v="63"/>
    <s v=""/>
    <m/>
  </r>
  <r>
    <n v="2997867"/>
    <x v="24"/>
    <s v="06-10-002-000"/>
    <x v="0"/>
    <n v="48128.75"/>
    <n v="0"/>
    <n v="48128.75"/>
    <n v="10000"/>
    <n v="100"/>
    <s v="AMPM43"/>
    <x v="35"/>
    <s v="Energia-A43-Feb"/>
    <s v="Compras"/>
    <s v="xmaltez"/>
    <s v="PMTRX00083886"/>
    <n v="4402061"/>
    <n v="1"/>
    <n v="58"/>
    <s v=""/>
    <m/>
  </r>
  <r>
    <n v="2997868"/>
    <x v="24"/>
    <s v="06-10-002-000"/>
    <x v="0"/>
    <n v="47751.09"/>
    <n v="0"/>
    <n v="47751.09"/>
    <n v="10000"/>
    <n v="100"/>
    <s v="AMPM86"/>
    <x v="88"/>
    <s v="Energia-A86-Feb"/>
    <s v="Compras"/>
    <s v="xmaltez"/>
    <s v="PMTRX00083886"/>
    <n v="4402062"/>
    <n v="1"/>
    <n v="104"/>
    <s v=""/>
    <m/>
  </r>
  <r>
    <n v="2997869"/>
    <x v="24"/>
    <s v="06-10-002-000"/>
    <x v="0"/>
    <n v="21804.49"/>
    <n v="0"/>
    <n v="21804.49"/>
    <n v="10000"/>
    <n v="100"/>
    <s v="AMPM99"/>
    <x v="73"/>
    <s v="Energia-CEDI-Feb"/>
    <s v="Compras"/>
    <s v="xmaltez"/>
    <s v="PMTRX00083886"/>
    <n v="4402063"/>
    <n v="1"/>
    <n v="33"/>
    <s v=""/>
    <m/>
  </r>
  <r>
    <n v="2997870"/>
    <x v="24"/>
    <s v="06-10-002-000"/>
    <x v="0"/>
    <n v="68556.98"/>
    <n v="0"/>
    <n v="68556.98"/>
    <n v="10000"/>
    <n v="100"/>
    <s v="AMPM12"/>
    <x v="51"/>
    <s v="Energia-A12-Feb"/>
    <s v="Compras"/>
    <s v="xmaltez"/>
    <s v="PMTRX00083886"/>
    <n v="4402064"/>
    <n v="1"/>
    <n v="12"/>
    <s v=""/>
    <m/>
  </r>
  <r>
    <n v="2997871"/>
    <x v="24"/>
    <s v="06-10-002-000"/>
    <x v="0"/>
    <n v="9219.61"/>
    <n v="0"/>
    <n v="9219.61"/>
    <n v="10000"/>
    <n v="100"/>
    <s v="AMPM14"/>
    <x v="53"/>
    <s v="Energia-A14-Feb"/>
    <s v="Compras"/>
    <s v="xmaltez"/>
    <s v="PMTRX00083886"/>
    <n v="4402065"/>
    <n v="1"/>
    <n v="14"/>
    <s v=""/>
    <m/>
  </r>
  <r>
    <n v="2997872"/>
    <x v="24"/>
    <s v="06-10-002-000"/>
    <x v="0"/>
    <n v="1065.99"/>
    <n v="0"/>
    <n v="1065.99"/>
    <n v="10000"/>
    <n v="100"/>
    <s v="AMPM14"/>
    <x v="53"/>
    <s v="Energia-A14 -Feb"/>
    <s v="Compras"/>
    <s v="xmaltez"/>
    <s v="PMTRX00083886"/>
    <n v="4402066"/>
    <n v="1"/>
    <n v="14"/>
    <s v=""/>
    <m/>
  </r>
  <r>
    <n v="2997873"/>
    <x v="24"/>
    <s v="06-10-002-000"/>
    <x v="0"/>
    <n v="60434.85"/>
    <n v="0"/>
    <n v="60434.85"/>
    <n v="10000"/>
    <n v="100"/>
    <s v="AMPM03"/>
    <x v="61"/>
    <s v="Energia-A03-Feb"/>
    <s v="Compras"/>
    <s v="xmaltez"/>
    <s v="PMTRX00083886"/>
    <n v="4402067"/>
    <n v="1"/>
    <n v="3"/>
    <s v=""/>
    <m/>
  </r>
  <r>
    <n v="2997874"/>
    <x v="24"/>
    <s v="06-10-002-000"/>
    <x v="0"/>
    <n v="50806.59"/>
    <n v="0"/>
    <n v="50806.59"/>
    <n v="10000"/>
    <n v="100"/>
    <s v="AMPM85"/>
    <x v="86"/>
    <s v="Energia-A85-Feb"/>
    <s v="Compras"/>
    <s v="xmaltez"/>
    <s v="PMTRX00083886"/>
    <n v="4402068"/>
    <n v="1"/>
    <n v="101"/>
    <s v=""/>
    <m/>
  </r>
  <r>
    <n v="2997875"/>
    <x v="24"/>
    <s v="06-10-002-000"/>
    <x v="0"/>
    <n v="54636.24"/>
    <n v="0"/>
    <n v="54636.24"/>
    <n v="10000"/>
    <n v="100"/>
    <s v="AMPM83"/>
    <x v="15"/>
    <s v="Energia-A83-Feb"/>
    <s v="Compras"/>
    <s v="xmaltez"/>
    <s v="PMTRX00083886"/>
    <n v="4402069"/>
    <n v="1"/>
    <n v="97"/>
    <s v=""/>
    <m/>
  </r>
  <r>
    <n v="2997876"/>
    <x v="24"/>
    <s v="06-10-002-000"/>
    <x v="0"/>
    <n v="11463.9"/>
    <n v="0"/>
    <n v="11463.9"/>
    <n v="10000"/>
    <n v="100"/>
    <s v="ADMON"/>
    <x v="48"/>
    <s v="Energia-ADMON-Feb"/>
    <s v="Compras"/>
    <s v="xmaltez"/>
    <s v="PMTRX00083886"/>
    <n v="4402070"/>
    <n v="1"/>
    <n v="27"/>
    <s v=""/>
    <m/>
  </r>
  <r>
    <n v="2997877"/>
    <x v="24"/>
    <s v="06-10-002-000"/>
    <x v="0"/>
    <n v="10304.56"/>
    <n v="0"/>
    <n v="10304.56"/>
    <n v="10000"/>
    <n v="100"/>
    <s v="ADMON"/>
    <x v="48"/>
    <s v="Energia-ADMON-Feb"/>
    <s v="Compras"/>
    <s v="xmaltez"/>
    <s v="PMTRX00083886"/>
    <n v="4402071"/>
    <n v="1"/>
    <n v="27"/>
    <s v=""/>
    <m/>
  </r>
  <r>
    <n v="2997878"/>
    <x v="24"/>
    <s v="06-10-002-000"/>
    <x v="0"/>
    <n v="20643.95"/>
    <n v="0"/>
    <n v="20643.95"/>
    <n v="10000"/>
    <n v="100"/>
    <s v="ADMON"/>
    <x v="48"/>
    <s v="Energia-ADMON-Feb"/>
    <s v="Compras"/>
    <s v="xmaltez"/>
    <s v="PMTRX00083886"/>
    <n v="4402072"/>
    <n v="1"/>
    <n v="27"/>
    <s v=""/>
    <m/>
  </r>
  <r>
    <n v="2997879"/>
    <x v="24"/>
    <s v="06-10-002-000"/>
    <x v="0"/>
    <n v="10653.38"/>
    <n v="0"/>
    <n v="10653.38"/>
    <n v="10000"/>
    <n v="100"/>
    <s v="ADMON"/>
    <x v="48"/>
    <s v="Energia-ADMON-Feb"/>
    <s v="Compras"/>
    <s v="xmaltez"/>
    <s v="PMTRX00083886"/>
    <n v="4402073"/>
    <n v="1"/>
    <n v="27"/>
    <s v=""/>
    <m/>
  </r>
  <r>
    <n v="2997880"/>
    <x v="24"/>
    <s v="06-10-002-000"/>
    <x v="0"/>
    <n v="62922.74"/>
    <n v="0"/>
    <n v="62922.74"/>
    <n v="10000"/>
    <n v="100"/>
    <s v="AMPM45"/>
    <x v="68"/>
    <s v="Energia-A45-Feb"/>
    <s v="Compras"/>
    <s v="xmaltez"/>
    <s v="PMTRX00083886"/>
    <n v="4402074"/>
    <n v="1"/>
    <n v="59"/>
    <s v=""/>
    <m/>
  </r>
  <r>
    <n v="2997881"/>
    <x v="24"/>
    <s v="06-10-002-000"/>
    <x v="0"/>
    <n v="2188.8200000000002"/>
    <n v="0"/>
    <n v="2188.8200000000002"/>
    <n v="10000"/>
    <n v="100"/>
    <s v="AMPM40"/>
    <x v="67"/>
    <s v="Energia-A40 -Feb"/>
    <s v="Compras"/>
    <s v="xmaltez"/>
    <s v="PMTRX00083886"/>
    <n v="4402075"/>
    <n v="1"/>
    <n v="49"/>
    <s v=""/>
    <m/>
  </r>
  <r>
    <n v="2997882"/>
    <x v="24"/>
    <s v="06-10-002-000"/>
    <x v="0"/>
    <n v="60424.12"/>
    <n v="0"/>
    <n v="60424.12"/>
    <n v="10000"/>
    <n v="100"/>
    <s v="AMPM60"/>
    <x v="76"/>
    <s v="Energia-A60-Feb"/>
    <s v="Compras"/>
    <s v="xmaltez"/>
    <s v="PMTRX00083886"/>
    <n v="4402076"/>
    <n v="1"/>
    <n v="76"/>
    <s v=""/>
    <m/>
  </r>
  <r>
    <n v="2997883"/>
    <x v="24"/>
    <s v="06-10-002-000"/>
    <x v="0"/>
    <n v="59294.22"/>
    <n v="0"/>
    <n v="59294.22"/>
    <n v="10000"/>
    <n v="100"/>
    <s v="AMPM67"/>
    <x v="80"/>
    <s v="Energia-A67-Feb"/>
    <s v="Compras"/>
    <s v="xmaltez"/>
    <s v="PMTRX00083886"/>
    <n v="4402077"/>
    <n v="1"/>
    <n v="83"/>
    <s v=""/>
    <m/>
  </r>
  <r>
    <n v="2997884"/>
    <x v="24"/>
    <s v="06-10-002-000"/>
    <x v="0"/>
    <n v="61219.73"/>
    <n v="0"/>
    <n v="61219.73"/>
    <n v="10000"/>
    <n v="100"/>
    <s v="AMPM05"/>
    <x v="12"/>
    <s v="Energia-A05-Feb"/>
    <s v="Compras"/>
    <s v="xmaltez"/>
    <s v="PMTRX00083886"/>
    <n v="4402078"/>
    <n v="1"/>
    <n v="5"/>
    <s v=""/>
    <m/>
  </r>
  <r>
    <n v="2997885"/>
    <x v="24"/>
    <s v="06-10-002-000"/>
    <x v="0"/>
    <n v="10678.7"/>
    <n v="0"/>
    <n v="10678.7"/>
    <n v="10000"/>
    <n v="100"/>
    <s v="ADMON"/>
    <x v="48"/>
    <s v="Energia-ADMON-Feb"/>
    <s v="Compras"/>
    <s v="xmaltez"/>
    <s v="PMTRX00083886"/>
    <n v="4402079"/>
    <n v="1"/>
    <n v="27"/>
    <s v=""/>
    <m/>
  </r>
  <r>
    <n v="2997886"/>
    <x v="24"/>
    <s v="06-10-002-000"/>
    <x v="0"/>
    <n v="45461.78"/>
    <n v="0"/>
    <n v="45461.78"/>
    <n v="10000"/>
    <n v="100"/>
    <s v="AMPM23"/>
    <x v="59"/>
    <s v="Energia-A23-Feb"/>
    <s v="Compras"/>
    <s v="xmaltez"/>
    <s v="PMTRX00083886"/>
    <n v="4402080"/>
    <n v="1"/>
    <n v="23"/>
    <s v=""/>
    <m/>
  </r>
  <r>
    <n v="2997887"/>
    <x v="24"/>
    <s v="06-10-002-000"/>
    <x v="0"/>
    <n v="51245.16"/>
    <n v="0"/>
    <n v="51245.16"/>
    <n v="10000"/>
    <n v="100"/>
    <s v="AMPM21"/>
    <x v="50"/>
    <s v="Energia-A21-Feb"/>
    <s v="Compras"/>
    <s v="xmaltez"/>
    <s v="PMTRX00083886"/>
    <n v="4402081"/>
    <n v="1"/>
    <n v="21"/>
    <s v=""/>
    <m/>
  </r>
  <r>
    <n v="2997888"/>
    <x v="24"/>
    <s v="06-10-002-000"/>
    <x v="0"/>
    <n v="54031.54"/>
    <n v="0"/>
    <n v="54031.54"/>
    <n v="10000"/>
    <n v="100"/>
    <s v="AMPM18"/>
    <x v="55"/>
    <s v="Energia-A18-Feb"/>
    <s v="Compras"/>
    <s v="xmaltez"/>
    <s v="PMTRX00083886"/>
    <n v="4402082"/>
    <n v="1"/>
    <n v="18"/>
    <s v=""/>
    <m/>
  </r>
  <r>
    <n v="2997889"/>
    <x v="24"/>
    <s v="06-10-002-000"/>
    <x v="0"/>
    <n v="58398.52"/>
    <n v="0"/>
    <n v="58398.52"/>
    <n v="10000"/>
    <n v="100"/>
    <s v="AMPM09"/>
    <x v="42"/>
    <s v="Energia-A09-Feb"/>
    <s v="Compras"/>
    <s v="xmaltez"/>
    <s v="PMTRX00083886"/>
    <n v="4402083"/>
    <n v="1"/>
    <n v="9"/>
    <s v=""/>
    <m/>
  </r>
  <r>
    <n v="2997890"/>
    <x v="24"/>
    <s v="06-10-002-000"/>
    <x v="0"/>
    <n v="56492.56"/>
    <n v="0"/>
    <n v="56492.56"/>
    <n v="10000"/>
    <n v="100"/>
    <s v="AMPM40"/>
    <x v="67"/>
    <s v="Energia-A40-Feb"/>
    <s v="Compras"/>
    <s v="xmaltez"/>
    <s v="PMTRX00083886"/>
    <n v="4402084"/>
    <n v="1"/>
    <n v="49"/>
    <s v=""/>
    <m/>
  </r>
  <r>
    <n v="2997891"/>
    <x v="24"/>
    <s v="06-10-002-000"/>
    <x v="0"/>
    <n v="1967.02"/>
    <n v="0"/>
    <n v="1967.02"/>
    <n v="10000"/>
    <n v="100"/>
    <s v="AMPM26"/>
    <x v="7"/>
    <s v="Energia-A26 -Feb"/>
    <s v="Compras"/>
    <s v="xmaltez"/>
    <s v="PMTRX00083886"/>
    <n v="4402085"/>
    <n v="1"/>
    <n v="26"/>
    <s v=""/>
    <m/>
  </r>
  <r>
    <n v="2997892"/>
    <x v="24"/>
    <s v="06-10-002-000"/>
    <x v="0"/>
    <n v="44577.97"/>
    <n v="0"/>
    <n v="44577.97"/>
    <n v="10000"/>
    <n v="100"/>
    <s v="AMPM42"/>
    <x v="21"/>
    <s v="Energia-A42-Feb"/>
    <s v="Compras"/>
    <s v="xmaltez"/>
    <s v="PMTRX00083886"/>
    <n v="4402086"/>
    <n v="1"/>
    <n v="51"/>
    <s v=""/>
    <m/>
  </r>
  <r>
    <n v="2997893"/>
    <x v="24"/>
    <s v="06-10-002-000"/>
    <x v="0"/>
    <n v="950.92"/>
    <n v="0"/>
    <n v="950.92"/>
    <n v="10000"/>
    <n v="100"/>
    <s v="AMPM42"/>
    <x v="21"/>
    <s v="Energia-A42 -Feb"/>
    <s v="Compras"/>
    <s v="xmaltez"/>
    <s v="PMTRX00083886"/>
    <n v="4402087"/>
    <n v="1"/>
    <n v="51"/>
    <s v=""/>
    <m/>
  </r>
  <r>
    <n v="2997894"/>
    <x v="24"/>
    <s v="06-10-002-000"/>
    <x v="0"/>
    <n v="42652.82"/>
    <n v="0"/>
    <n v="42652.82"/>
    <n v="10000"/>
    <n v="100"/>
    <s v="AMPM59"/>
    <x v="74"/>
    <s v="Energia-A59-Feb"/>
    <s v="Compras"/>
    <s v="xmaltez"/>
    <s v="PMTRX00083886"/>
    <n v="4402088"/>
    <n v="1"/>
    <n v="75"/>
    <s v=""/>
    <m/>
  </r>
  <r>
    <n v="2997895"/>
    <x v="24"/>
    <s v="06-10-002-000"/>
    <x v="0"/>
    <n v="40599.11"/>
    <n v="0"/>
    <n v="40599.11"/>
    <n v="10000"/>
    <n v="100"/>
    <s v="AMPM36"/>
    <x v="66"/>
    <s v="Energia-A36-Feb"/>
    <s v="Compras"/>
    <s v="xmaltez"/>
    <s v="PMTRX00083886"/>
    <n v="4402089"/>
    <n v="1"/>
    <n v="44"/>
    <s v=""/>
    <m/>
  </r>
  <r>
    <n v="2997896"/>
    <x v="24"/>
    <s v="06-10-002-000"/>
    <x v="0"/>
    <n v="103.75"/>
    <n v="0"/>
    <n v="103.75"/>
    <n v="10000"/>
    <n v="100"/>
    <s v="AMPM36"/>
    <x v="66"/>
    <s v="Energia-A36 -Feb"/>
    <s v="Compras"/>
    <s v="xmaltez"/>
    <s v="PMTRX00083886"/>
    <n v="4402090"/>
    <n v="1"/>
    <n v="44"/>
    <s v=""/>
    <m/>
  </r>
  <r>
    <n v="2997897"/>
    <x v="24"/>
    <s v="06-10-002-000"/>
    <x v="0"/>
    <n v="50366.18"/>
    <n v="0"/>
    <n v="50366.18"/>
    <n v="10000"/>
    <n v="100"/>
    <s v="AMPM77"/>
    <x v="33"/>
    <s v="Energia-A77-Feb"/>
    <s v="Compras"/>
    <s v="xmaltez"/>
    <s v="PMTRX00083886"/>
    <n v="4402091"/>
    <n v="1"/>
    <n v="92"/>
    <s v=""/>
    <m/>
  </r>
  <r>
    <n v="2997898"/>
    <x v="24"/>
    <s v="06-10-002-000"/>
    <x v="0"/>
    <n v="47658.43"/>
    <n v="0"/>
    <n v="47658.43"/>
    <n v="10000"/>
    <n v="100"/>
    <s v="AMPM26"/>
    <x v="7"/>
    <s v="Energia-A26-Feb"/>
    <s v="Compras"/>
    <s v="xmaltez"/>
    <s v="PMTRX00083886"/>
    <n v="4402092"/>
    <n v="1"/>
    <n v="26"/>
    <s v=""/>
    <m/>
  </r>
  <r>
    <n v="2997899"/>
    <x v="24"/>
    <s v="06-10-002-000"/>
    <x v="0"/>
    <n v="57652.66"/>
    <n v="0"/>
    <n v="57652.66"/>
    <n v="10000"/>
    <n v="100"/>
    <s v="AMPM62"/>
    <x v="77"/>
    <s v="Energia-A62-Feb"/>
    <s v="Compras"/>
    <s v="xmaltez"/>
    <s v="PMTRX00083886"/>
    <n v="4402093"/>
    <n v="1"/>
    <n v="78"/>
    <s v=""/>
    <m/>
  </r>
  <r>
    <n v="2997900"/>
    <x v="24"/>
    <s v="06-10-002-000"/>
    <x v="0"/>
    <n v="46938.39"/>
    <n v="0"/>
    <n v="46938.39"/>
    <n v="10000"/>
    <n v="100"/>
    <s v="AMPM48"/>
    <x v="69"/>
    <s v="Energia-A48-Feb"/>
    <s v="Compras"/>
    <s v="xmaltez"/>
    <s v="PMTRX00083886"/>
    <n v="4402094"/>
    <n v="1"/>
    <n v="62"/>
    <s v=""/>
    <m/>
  </r>
  <r>
    <n v="2997901"/>
    <x v="24"/>
    <s v="06-10-002-000"/>
    <x v="0"/>
    <n v="63275.85"/>
    <n v="0"/>
    <n v="63275.85"/>
    <n v="10000"/>
    <n v="100"/>
    <s v="AMPM66"/>
    <x v="79"/>
    <s v="Energia-A66-Feb"/>
    <s v="Compras"/>
    <s v="xmaltez"/>
    <s v="PMTRX00083886"/>
    <n v="4402095"/>
    <n v="1"/>
    <n v="82"/>
    <s v=""/>
    <m/>
  </r>
  <r>
    <n v="2997902"/>
    <x v="24"/>
    <s v="06-10-002-000"/>
    <x v="0"/>
    <n v="39096.959999999999"/>
    <n v="0"/>
    <n v="39096.959999999999"/>
    <n v="10000"/>
    <n v="100"/>
    <s v="AMPM31"/>
    <x v="64"/>
    <s v="Energia-A31-Feb"/>
    <s v="Compras"/>
    <s v="xmaltez"/>
    <s v="PMTRX00083886"/>
    <n v="4402096"/>
    <n v="1"/>
    <n v="38"/>
    <s v=""/>
    <m/>
  </r>
  <r>
    <n v="2997903"/>
    <x v="24"/>
    <s v="06-10-002-000"/>
    <x v="0"/>
    <n v="50297.29"/>
    <n v="0"/>
    <n v="50297.29"/>
    <n v="10000"/>
    <n v="100"/>
    <s v="AMPM53"/>
    <x v="20"/>
    <s v="Energia-A53-Feb"/>
    <s v="Compras"/>
    <s v="xmaltez"/>
    <s v="PMTRX00083886"/>
    <n v="4402097"/>
    <n v="1"/>
    <n v="64"/>
    <s v=""/>
    <m/>
  </r>
  <r>
    <n v="2997904"/>
    <x v="24"/>
    <s v="06-10-002-000"/>
    <x v="0"/>
    <n v="54608.47"/>
    <n v="0"/>
    <n v="54608.47"/>
    <n v="10000"/>
    <n v="100"/>
    <s v="AMPM56"/>
    <x v="23"/>
    <s v="Energia-A56-Feb"/>
    <s v="Compras"/>
    <s v="xmaltez"/>
    <s v="PMTRX00083886"/>
    <n v="4402098"/>
    <n v="1"/>
    <n v="72"/>
    <s v=""/>
    <m/>
  </r>
  <r>
    <n v="2997905"/>
    <x v="24"/>
    <s v="06-10-002-000"/>
    <x v="0"/>
    <n v="51048.65"/>
    <n v="0"/>
    <n v="51048.65"/>
    <n v="10000"/>
    <n v="100"/>
    <s v="AMPM70"/>
    <x v="22"/>
    <s v="Energia-A70-Feb"/>
    <s v="Compras"/>
    <s v="xmaltez"/>
    <s v="PMTRX00083886"/>
    <n v="4402099"/>
    <n v="1"/>
    <n v="87"/>
    <s v=""/>
    <m/>
  </r>
  <r>
    <n v="2997906"/>
    <x v="24"/>
    <s v="06-10-002-000"/>
    <x v="0"/>
    <n v="49364.37"/>
    <n v="0"/>
    <n v="49364.37"/>
    <n v="10000"/>
    <n v="100"/>
    <s v="AMPM72"/>
    <x v="27"/>
    <s v="Energia-A72-Feb"/>
    <s v="Compras"/>
    <s v="xmaltez"/>
    <s v="PMTRX00083886"/>
    <n v="4402100"/>
    <n v="1"/>
    <n v="88"/>
    <s v=""/>
    <m/>
  </r>
  <r>
    <n v="2997908"/>
    <x v="25"/>
    <s v="06-10-002-000"/>
    <x v="0"/>
    <n v="439.49"/>
    <n v="0"/>
    <n v="439.49"/>
    <n v="10000"/>
    <n v="100"/>
    <s v="AMPM15"/>
    <x v="1"/>
    <s v="PLANTA ELECTRICA A15 FEBRERO"/>
    <s v="PLANTA ELECTRICA A15 FEBRERO"/>
    <s v="xmaltez"/>
    <s v="PMTRX00083887"/>
    <n v="4402106"/>
    <n v="1"/>
    <n v="15"/>
    <s v=""/>
    <m/>
  </r>
  <r>
    <n v="3018650"/>
    <x v="26"/>
    <s v="06-10-002-000"/>
    <x v="0"/>
    <n v="2746.82"/>
    <n v="0"/>
    <n v="2746.82"/>
    <n v="10000"/>
    <n v="100"/>
    <s v="AMPM15"/>
    <x v="1"/>
    <s v="ALQ-ENERGIA A15 MARZO"/>
    <s v="ENERGIA A15 MARZO"/>
    <s v="sa"/>
    <s v="PMTRX00084329"/>
    <n v="4919623"/>
    <n v="1"/>
    <n v="15"/>
    <s v=""/>
    <m/>
  </r>
  <r>
    <n v="3018657"/>
    <x v="26"/>
    <s v="06-10-002-000"/>
    <x v="0"/>
    <n v="26051.88"/>
    <n v="0"/>
    <n v="26051.88"/>
    <n v="10000"/>
    <n v="100"/>
    <s v="PANADE"/>
    <x v="0"/>
    <s v="LUZ BODEGA-OFICINA PANADE-MARZ"/>
    <s v="LUZ BODEGA-OFICINA PANADE-MARZ"/>
    <s v="sa"/>
    <s v="PMTRX00084329"/>
    <n v="4919628"/>
    <n v="1"/>
    <n v="32"/>
    <s v=""/>
    <m/>
  </r>
  <r>
    <n v="3018852"/>
    <x v="26"/>
    <s v="06-10-002-000"/>
    <x v="0"/>
    <n v="1410.04"/>
    <n v="0"/>
    <n v="1410.04"/>
    <n v="10000"/>
    <n v="100"/>
    <s v="AMPM28"/>
    <x v="2"/>
    <s v="ALQUILER A28 MARZO"/>
    <s v="ENERGIA A28 MARZO"/>
    <s v="sa"/>
    <s v="PMTRX00084330"/>
    <n v="4919640"/>
    <n v="1"/>
    <n v="35"/>
    <s v=""/>
    <m/>
  </r>
  <r>
    <n v="3024329"/>
    <x v="27"/>
    <s v="06-10-002-000"/>
    <x v="0"/>
    <n v="2098.0500000000002"/>
    <n v="0"/>
    <n v="2098.0500000000002"/>
    <n v="10000"/>
    <n v="100"/>
    <s v="AMPM15"/>
    <x v="1"/>
    <s v="AREAS COMUNES A15 MARZO"/>
    <s v="ENERGIA A15"/>
    <s v="crivera"/>
    <s v="PMTRX00084491"/>
    <n v="4923695"/>
    <n v="1"/>
    <n v="15"/>
    <s v=""/>
    <m/>
  </r>
  <r>
    <n v="3036218"/>
    <x v="28"/>
    <s v="06-10-002-000"/>
    <x v="0"/>
    <n v="11784.23"/>
    <n v="0"/>
    <n v="11784.23"/>
    <n v="10000"/>
    <n v="100"/>
    <s v="AMPM26"/>
    <x v="7"/>
    <s v="AREAS COMUNES A26 MARZO"/>
    <s v="ENERGIA A26 MARZO"/>
    <s v="xmaltez"/>
    <s v="PMTRX00084754"/>
    <n v="4933434"/>
    <n v="1"/>
    <n v="26"/>
    <s v=""/>
    <m/>
  </r>
  <r>
    <n v="3065329"/>
    <x v="26"/>
    <s v="06-10-002-000"/>
    <x v="0"/>
    <n v="549.36"/>
    <n v="0"/>
    <n v="549.36"/>
    <n v="10000"/>
    <n v="100"/>
    <s v="AMPM27"/>
    <x v="8"/>
    <s v="SERV AREAS COMUNES A27 MARZO"/>
    <s v="ENERGIA A27 MARZO"/>
    <s v="xmaltez"/>
    <s v="PMTRX00085396"/>
    <n v="4955995"/>
    <n v="1"/>
    <n v="34"/>
    <s v=""/>
    <m/>
  </r>
  <r>
    <n v="3087555"/>
    <x v="29"/>
    <s v="06-10-002-000"/>
    <x v="0"/>
    <n v="63819.22"/>
    <n v="0"/>
    <n v="63819.22"/>
    <n v="10000"/>
    <n v="100"/>
    <s v="AMPM68"/>
    <x v="5"/>
    <s v="Energia-A68-Marz"/>
    <s v="Compras"/>
    <s v="xmaltez"/>
    <s v="PMTRX00085781"/>
    <n v="4974619"/>
    <n v="1"/>
    <n v="84"/>
    <s v=""/>
    <m/>
  </r>
  <r>
    <n v="3087556"/>
    <x v="29"/>
    <s v="06-10-002-000"/>
    <x v="0"/>
    <n v="47328.12"/>
    <n v="0"/>
    <n v="47328.12"/>
    <n v="10000"/>
    <n v="100"/>
    <s v="AMPM76"/>
    <x v="6"/>
    <s v="Energia-A76-Marz"/>
    <s v="Compras"/>
    <s v="xmaltez"/>
    <s v="PMTRX00085781"/>
    <n v="4974620"/>
    <n v="1"/>
    <n v="93"/>
    <s v=""/>
    <m/>
  </r>
  <r>
    <n v="3087557"/>
    <x v="29"/>
    <s v="06-10-002-000"/>
    <x v="0"/>
    <n v="136.16999999999999"/>
    <n v="0"/>
    <n v="136.16999999999999"/>
    <n v="10000"/>
    <n v="100"/>
    <s v="AMPM19"/>
    <x v="56"/>
    <s v="Energia-A19-Marz"/>
    <s v="Compras"/>
    <s v="xmaltez"/>
    <s v="PMTRX00085781"/>
    <n v="4974621"/>
    <n v="1"/>
    <n v="19"/>
    <s v=""/>
    <m/>
  </r>
  <r>
    <n v="3087558"/>
    <x v="29"/>
    <s v="06-10-002-000"/>
    <x v="0"/>
    <n v="35007.379999999997"/>
    <n v="0"/>
    <n v="35007.379999999997"/>
    <n v="10000"/>
    <n v="100"/>
    <s v="AMPM80"/>
    <x v="3"/>
    <s v="Energia-A80-Marz"/>
    <s v="Compras"/>
    <s v="xmaltez"/>
    <s v="PMTRX00085781"/>
    <n v="4974622"/>
    <n v="1"/>
    <n v="98"/>
    <s v=""/>
    <m/>
  </r>
  <r>
    <n v="3087559"/>
    <x v="29"/>
    <s v="06-10-002-000"/>
    <x v="0"/>
    <n v="4422.8500000000004"/>
    <n v="0"/>
    <n v="4422.8500000000004"/>
    <n v="10000"/>
    <n v="100"/>
    <s v="AMPM57"/>
    <x v="4"/>
    <s v="Energia-A57-Marz"/>
    <s v="Compras"/>
    <s v="xmaltez"/>
    <s v="PMTRX00085781"/>
    <n v="4974623"/>
    <n v="1"/>
    <n v="73"/>
    <s v=""/>
    <m/>
  </r>
  <r>
    <n v="3087560"/>
    <x v="29"/>
    <s v="06-10-002-000"/>
    <x v="0"/>
    <n v="36784.089999999997"/>
    <n v="0"/>
    <n v="36784.089999999997"/>
    <n v="10000"/>
    <n v="100"/>
    <s v="AMPM57"/>
    <x v="4"/>
    <s v="Energia-A57-Marz"/>
    <s v="Compras"/>
    <s v="xmaltez"/>
    <s v="PMTRX00085781"/>
    <n v="4974624"/>
    <n v="1"/>
    <n v="73"/>
    <s v=""/>
    <m/>
  </r>
  <r>
    <n v="3087561"/>
    <x v="29"/>
    <s v="06-10-002-000"/>
    <x v="0"/>
    <n v="42237.15"/>
    <n v="0"/>
    <n v="42237.15"/>
    <n v="10000"/>
    <n v="100"/>
    <s v="AMPM88"/>
    <x v="9"/>
    <s v="Energia-A88-Marz"/>
    <s v="Compras"/>
    <s v="xmaltez"/>
    <s v="PMTRX00085781"/>
    <n v="4974625"/>
    <n v="1"/>
    <n v="102"/>
    <s v=""/>
    <m/>
  </r>
  <r>
    <n v="3087562"/>
    <x v="29"/>
    <s v="06-10-002-000"/>
    <x v="0"/>
    <n v="58719.37"/>
    <n v="0"/>
    <n v="58719.37"/>
    <n v="10000"/>
    <n v="100"/>
    <s v="AMPM88"/>
    <x v="9"/>
    <s v="Energia-A88-Marz"/>
    <s v="Compras"/>
    <s v="xmaltez"/>
    <s v="PMTRX00085781"/>
    <n v="4974626"/>
    <n v="1"/>
    <n v="102"/>
    <s v=""/>
    <m/>
  </r>
  <r>
    <n v="3087563"/>
    <x v="29"/>
    <s v="06-10-002-000"/>
    <x v="0"/>
    <n v="2960.34"/>
    <n v="0"/>
    <n v="2960.34"/>
    <n v="10000"/>
    <n v="100"/>
    <s v="AMPM47"/>
    <x v="60"/>
    <s v="Energia-A47-Marz"/>
    <s v="Compras"/>
    <s v="xmaltez"/>
    <s v="PMTRX00085781"/>
    <n v="4974627"/>
    <n v="1"/>
    <n v="61"/>
    <s v=""/>
    <m/>
  </r>
  <r>
    <n v="3087564"/>
    <x v="29"/>
    <s v="06-10-002-000"/>
    <x v="0"/>
    <n v="451.72"/>
    <n v="0"/>
    <n v="451.72"/>
    <n v="10000"/>
    <n v="100"/>
    <s v="OPERACIONES"/>
    <x v="10"/>
    <s v="Energia-OPER-Marz"/>
    <s v="Compras"/>
    <s v="xmaltez"/>
    <s v="PMTRX00085781"/>
    <n v="4974628"/>
    <n v="1"/>
    <n v="31"/>
    <s v=""/>
    <m/>
  </r>
  <r>
    <n v="3087565"/>
    <x v="29"/>
    <s v="06-10-002-000"/>
    <x v="0"/>
    <n v="573.54"/>
    <n v="0"/>
    <n v="573.54"/>
    <n v="10000"/>
    <n v="100"/>
    <s v="AMPM03"/>
    <x v="61"/>
    <s v="Energia-A03-Marz"/>
    <s v="Compras"/>
    <s v="xmaltez"/>
    <s v="PMTRX00085781"/>
    <n v="4974629"/>
    <n v="1"/>
    <n v="3"/>
    <s v=""/>
    <m/>
  </r>
  <r>
    <n v="3087566"/>
    <x v="29"/>
    <s v="06-10-002-000"/>
    <x v="0"/>
    <n v="2086.7399999999998"/>
    <n v="0"/>
    <n v="2086.7399999999998"/>
    <n v="10000"/>
    <n v="100"/>
    <s v="AMPM35"/>
    <x v="14"/>
    <s v="Energia-A35-Marz"/>
    <s v="Compras"/>
    <s v="xmaltez"/>
    <s v="PMTRX00085781"/>
    <n v="4974630"/>
    <n v="1"/>
    <n v="43"/>
    <s v=""/>
    <m/>
  </r>
  <r>
    <n v="3087567"/>
    <x v="29"/>
    <s v="06-10-002-000"/>
    <x v="0"/>
    <n v="60299.43"/>
    <n v="0"/>
    <n v="60299.43"/>
    <n v="10000"/>
    <n v="100"/>
    <s v="AMPM44"/>
    <x v="38"/>
    <s v="Energia-A44-Marz"/>
    <s v="Compras"/>
    <s v="xmaltez"/>
    <s v="PMTRX00085781"/>
    <n v="4974631"/>
    <n v="1"/>
    <n v="57"/>
    <s v=""/>
    <m/>
  </r>
  <r>
    <n v="3087568"/>
    <x v="29"/>
    <s v="06-10-002-000"/>
    <x v="0"/>
    <n v="58270.77"/>
    <n v="0"/>
    <n v="58270.77"/>
    <n v="10000"/>
    <n v="100"/>
    <s v="AMPM47"/>
    <x v="60"/>
    <s v="Energia-A47-Marz"/>
    <s v="Compras"/>
    <s v="xmaltez"/>
    <s v="PMTRX00085781"/>
    <n v="4974632"/>
    <n v="1"/>
    <n v="61"/>
    <s v=""/>
    <m/>
  </r>
  <r>
    <n v="3087569"/>
    <x v="29"/>
    <s v="06-10-002-000"/>
    <x v="0"/>
    <n v="64769.45"/>
    <n v="0"/>
    <n v="64769.45"/>
    <n v="10000"/>
    <n v="100"/>
    <s v="AMPM55"/>
    <x v="37"/>
    <s v="Energia-A55-Marz"/>
    <s v="Compras"/>
    <s v="xmaltez"/>
    <s v="PMTRX00085781"/>
    <n v="4974633"/>
    <n v="1"/>
    <n v="71"/>
    <s v=""/>
    <m/>
  </r>
  <r>
    <n v="3087570"/>
    <x v="29"/>
    <s v="06-10-002-000"/>
    <x v="0"/>
    <n v="61679.78"/>
    <n v="0"/>
    <n v="61679.78"/>
    <n v="10000"/>
    <n v="100"/>
    <s v="AMPM46"/>
    <x v="34"/>
    <s v="Energia-A46-Marz"/>
    <s v="Compras"/>
    <s v="xmaltez"/>
    <s v="PMTRX00085781"/>
    <n v="4974634"/>
    <n v="1"/>
    <n v="60"/>
    <s v=""/>
    <m/>
  </r>
  <r>
    <n v="3087571"/>
    <x v="29"/>
    <s v="06-10-002-000"/>
    <x v="0"/>
    <n v="44597.23"/>
    <n v="0"/>
    <n v="44597.23"/>
    <n v="10000"/>
    <n v="100"/>
    <s v="AMPM64"/>
    <x v="19"/>
    <s v="Energia-A64-Marz"/>
    <s v="Compras"/>
    <s v="xmaltez"/>
    <s v="PMTRX00085781"/>
    <n v="4974635"/>
    <n v="1"/>
    <n v="80"/>
    <s v=""/>
    <m/>
  </r>
  <r>
    <n v="3087572"/>
    <x v="29"/>
    <s v="06-10-002-000"/>
    <x v="0"/>
    <n v="64905.61"/>
    <n v="0"/>
    <n v="64905.61"/>
    <n v="10000"/>
    <n v="100"/>
    <s v="AMPM87"/>
    <x v="89"/>
    <s v="Energia-A87-Marz"/>
    <s v="Compras"/>
    <s v="xmaltez"/>
    <s v="PMTRX00085781"/>
    <n v="4974636"/>
    <n v="1"/>
    <n v="103"/>
    <s v=""/>
    <m/>
  </r>
  <r>
    <n v="3087573"/>
    <x v="29"/>
    <s v="06-10-002-000"/>
    <x v="0"/>
    <n v="52542.239999999998"/>
    <n v="0"/>
    <n v="52542.239999999998"/>
    <n v="10000"/>
    <n v="100"/>
    <s v="AMPM50"/>
    <x v="70"/>
    <s v="Energia-A50-Marz"/>
    <s v="Compras"/>
    <s v="xmaltez"/>
    <s v="PMTRX00085781"/>
    <n v="4974637"/>
    <n v="1"/>
    <n v="28"/>
    <s v=""/>
    <m/>
  </r>
  <r>
    <n v="3087574"/>
    <x v="29"/>
    <s v="06-10-002-000"/>
    <x v="0"/>
    <n v="63488.73"/>
    <n v="0"/>
    <n v="63488.73"/>
    <n v="10000"/>
    <n v="100"/>
    <s v="AMPM58"/>
    <x v="46"/>
    <s v="Energia-A58-Marz"/>
    <s v="Compras"/>
    <s v="xmaltez"/>
    <s v="PMTRX00085781"/>
    <n v="4974638"/>
    <n v="1"/>
    <n v="74"/>
    <s v=""/>
    <m/>
  </r>
  <r>
    <n v="3087575"/>
    <x v="29"/>
    <s v="06-10-002-000"/>
    <x v="0"/>
    <n v="2256.33"/>
    <n v="0"/>
    <n v="2256.33"/>
    <n v="10000"/>
    <n v="100"/>
    <s v="AMPM67"/>
    <x v="80"/>
    <s v="Energia-A67-Marz"/>
    <s v="Compras"/>
    <s v="xmaltez"/>
    <s v="PMTRX00085781"/>
    <n v="4974639"/>
    <n v="1"/>
    <n v="83"/>
    <s v=""/>
    <m/>
  </r>
  <r>
    <n v="3087576"/>
    <x v="29"/>
    <s v="06-10-002-000"/>
    <x v="0"/>
    <n v="2420.27"/>
    <n v="0"/>
    <n v="2420.27"/>
    <n v="10000"/>
    <n v="100"/>
    <s v="AMPM41"/>
    <x v="24"/>
    <s v="Energia-A41-Marz"/>
    <s v="Compras"/>
    <s v="xmaltez"/>
    <s v="PMTRX00085781"/>
    <n v="4974640"/>
    <n v="1"/>
    <n v="50"/>
    <s v=""/>
    <m/>
  </r>
  <r>
    <n v="3087577"/>
    <x v="29"/>
    <s v="06-10-002-000"/>
    <x v="0"/>
    <n v="2296.83"/>
    <n v="0"/>
    <n v="2296.83"/>
    <n v="10000"/>
    <n v="100"/>
    <s v="AMPM39"/>
    <x v="31"/>
    <s v="Energia-A39-Marz"/>
    <s v="Compras"/>
    <s v="xmaltez"/>
    <s v="PMTRX00085781"/>
    <n v="4974641"/>
    <n v="1"/>
    <n v="48"/>
    <s v=""/>
    <m/>
  </r>
  <r>
    <n v="3087578"/>
    <x v="29"/>
    <s v="06-10-002-000"/>
    <x v="0"/>
    <n v="1822.36"/>
    <n v="0"/>
    <n v="1822.36"/>
    <n v="10000"/>
    <n v="100"/>
    <s v="AMPM12"/>
    <x v="51"/>
    <s v="Energia-A12-Marz"/>
    <s v="Compras"/>
    <s v="xmaltez"/>
    <s v="PMTRX00085781"/>
    <n v="4974642"/>
    <n v="1"/>
    <n v="12"/>
    <s v=""/>
    <m/>
  </r>
  <r>
    <n v="3087579"/>
    <x v="29"/>
    <s v="06-10-002-000"/>
    <x v="0"/>
    <n v="642.79"/>
    <n v="0"/>
    <n v="642.79"/>
    <n v="10000"/>
    <n v="100"/>
    <s v="AMPM13"/>
    <x v="54"/>
    <s v="Energia-A13-Marz"/>
    <s v="Compras"/>
    <s v="xmaltez"/>
    <s v="PMTRX00085781"/>
    <n v="4974643"/>
    <n v="1"/>
    <n v="13"/>
    <s v=""/>
    <m/>
  </r>
  <r>
    <n v="3087580"/>
    <x v="29"/>
    <s v="06-10-002-000"/>
    <x v="0"/>
    <n v="71734.62"/>
    <n v="0"/>
    <n v="71734.62"/>
    <n v="10000"/>
    <n v="100"/>
    <s v="AMPM13"/>
    <x v="54"/>
    <s v="Energia-A13-Marz"/>
    <s v="Compras"/>
    <s v="xmaltez"/>
    <s v="PMTRX00085781"/>
    <n v="4974644"/>
    <n v="1"/>
    <n v="13"/>
    <s v=""/>
    <m/>
  </r>
  <r>
    <n v="3087581"/>
    <x v="29"/>
    <s v="06-10-002-000"/>
    <x v="0"/>
    <n v="176.89"/>
    <n v="0"/>
    <n v="176.89"/>
    <n v="10000"/>
    <n v="100"/>
    <s v="AMPM28"/>
    <x v="2"/>
    <s v="Energia-A28-Marz"/>
    <s v="Compras"/>
    <s v="xmaltez"/>
    <s v="PMTRX00085781"/>
    <n v="4974645"/>
    <n v="1"/>
    <n v="35"/>
    <s v=""/>
    <m/>
  </r>
  <r>
    <n v="3087582"/>
    <x v="29"/>
    <s v="06-10-002-000"/>
    <x v="0"/>
    <n v="56139.66"/>
    <n v="0"/>
    <n v="56139.66"/>
    <n v="10000"/>
    <n v="100"/>
    <s v="AMPM28"/>
    <x v="2"/>
    <s v="Energia-A28-Marz"/>
    <s v="Compras"/>
    <s v="xmaltez"/>
    <s v="PMTRX00085781"/>
    <n v="4974646"/>
    <n v="1"/>
    <n v="35"/>
    <s v=""/>
    <m/>
  </r>
  <r>
    <n v="3087583"/>
    <x v="29"/>
    <s v="06-10-002-000"/>
    <x v="0"/>
    <n v="366.22"/>
    <n v="0"/>
    <n v="366.22"/>
    <n v="10000"/>
    <n v="100"/>
    <s v="AMPM07"/>
    <x v="44"/>
    <s v="Energia-A07-Marz"/>
    <s v="Compras"/>
    <s v="xmaltez"/>
    <s v="PMTRX00085781"/>
    <n v="4974647"/>
    <n v="1"/>
    <n v="7"/>
    <s v=""/>
    <m/>
  </r>
  <r>
    <n v="3087584"/>
    <x v="29"/>
    <s v="06-10-002-000"/>
    <x v="0"/>
    <n v="54266.13"/>
    <n v="0"/>
    <n v="54266.13"/>
    <n v="10000"/>
    <n v="100"/>
    <s v="AMPM02"/>
    <x v="28"/>
    <s v="Energia-A02-Marz"/>
    <s v="Compras"/>
    <s v="xmaltez"/>
    <s v="PMTRX00085781"/>
    <n v="4974648"/>
    <n v="1"/>
    <n v="2"/>
    <s v=""/>
    <m/>
  </r>
  <r>
    <n v="3087585"/>
    <x v="29"/>
    <s v="06-10-002-000"/>
    <x v="0"/>
    <n v="48231.87"/>
    <n v="0"/>
    <n v="48231.87"/>
    <n v="10000"/>
    <n v="100"/>
    <s v="AMPM15"/>
    <x v="1"/>
    <s v="Energia-A15-Marz"/>
    <s v="Compras"/>
    <s v="xmaltez"/>
    <s v="PMTRX00085781"/>
    <n v="4974649"/>
    <n v="1"/>
    <n v="15"/>
    <s v=""/>
    <m/>
  </r>
  <r>
    <n v="3087586"/>
    <x v="29"/>
    <s v="06-10-002-000"/>
    <x v="0"/>
    <n v="1050.5999999999999"/>
    <n v="0"/>
    <n v="1050.5999999999999"/>
    <n v="10000"/>
    <n v="100"/>
    <s v="AMPM15"/>
    <x v="1"/>
    <s v="Energia-A15-Marz"/>
    <s v="Compras"/>
    <s v="xmaltez"/>
    <s v="PMTRX00085781"/>
    <n v="4974650"/>
    <n v="1"/>
    <n v="15"/>
    <s v=""/>
    <m/>
  </r>
  <r>
    <n v="3087587"/>
    <x v="29"/>
    <s v="06-10-002-000"/>
    <x v="0"/>
    <n v="317.36"/>
    <n v="0"/>
    <n v="317.36"/>
    <n v="10000"/>
    <n v="100"/>
    <s v="AMPM01"/>
    <x v="25"/>
    <s v="Energia-A01-Marz"/>
    <s v="Compras"/>
    <s v="xmaltez"/>
    <s v="PMTRX00085781"/>
    <n v="4974651"/>
    <n v="1"/>
    <n v="1"/>
    <s v=""/>
    <m/>
  </r>
  <r>
    <n v="3087588"/>
    <x v="29"/>
    <s v="06-10-002-000"/>
    <x v="0"/>
    <n v="75197.33"/>
    <n v="0"/>
    <n v="75197.33"/>
    <n v="10000"/>
    <n v="100"/>
    <s v="AMPM07"/>
    <x v="44"/>
    <s v="Energia-A07-Marz"/>
    <s v="Compras"/>
    <s v="xmaltez"/>
    <s v="PMTRX00085781"/>
    <n v="4974652"/>
    <n v="1"/>
    <n v="7"/>
    <s v=""/>
    <m/>
  </r>
  <r>
    <n v="3087589"/>
    <x v="29"/>
    <s v="06-10-002-000"/>
    <x v="0"/>
    <n v="21697.45"/>
    <n v="0"/>
    <n v="21697.45"/>
    <n v="10000"/>
    <n v="100"/>
    <s v="AMPM08"/>
    <x v="47"/>
    <s v="Energia-A08-Marz"/>
    <s v="Compras"/>
    <s v="xmaltez"/>
    <s v="PMTRX00085781"/>
    <n v="4974653"/>
    <n v="1"/>
    <n v="8"/>
    <s v=""/>
    <m/>
  </r>
  <r>
    <n v="3087590"/>
    <x v="29"/>
    <s v="06-10-002-000"/>
    <x v="0"/>
    <n v="34104.410000000003"/>
    <n v="0"/>
    <n v="34104.410000000003"/>
    <n v="10000"/>
    <n v="100"/>
    <s v="AMPM08"/>
    <x v="47"/>
    <s v="Energia-A08-Marz"/>
    <s v="Compras"/>
    <s v="xmaltez"/>
    <s v="PMTRX00085781"/>
    <n v="4974654"/>
    <n v="1"/>
    <n v="8"/>
    <s v=""/>
    <m/>
  </r>
  <r>
    <n v="3087591"/>
    <x v="29"/>
    <s v="06-10-002-000"/>
    <x v="0"/>
    <n v="56765.16"/>
    <n v="0"/>
    <n v="56765.16"/>
    <n v="10000"/>
    <n v="100"/>
    <s v="AMPM69"/>
    <x v="30"/>
    <s v="Energia-A69-Marz"/>
    <s v="Compras"/>
    <s v="xmaltez"/>
    <s v="PMTRX00085781"/>
    <n v="4974655"/>
    <n v="1"/>
    <n v="85"/>
    <s v=""/>
    <m/>
  </r>
  <r>
    <n v="3087592"/>
    <x v="29"/>
    <s v="06-10-002-000"/>
    <x v="0"/>
    <n v="42605.88"/>
    <n v="0"/>
    <n v="42605.88"/>
    <n v="10000"/>
    <n v="100"/>
    <s v="AMPM35"/>
    <x v="14"/>
    <s v="Energia-A35-Marz"/>
    <s v="Compras"/>
    <s v="xmaltez"/>
    <s v="PMTRX00085781"/>
    <n v="4974656"/>
    <n v="1"/>
    <n v="43"/>
    <s v=""/>
    <m/>
  </r>
  <r>
    <n v="3087593"/>
    <x v="29"/>
    <s v="06-10-002-000"/>
    <x v="0"/>
    <n v="62853.07"/>
    <n v="0"/>
    <n v="62853.07"/>
    <n v="10000"/>
    <n v="100"/>
    <s v="AMPM74"/>
    <x v="40"/>
    <s v="Energia-A74-Marz"/>
    <s v="Compras"/>
    <s v="xmaltez"/>
    <s v="PMTRX00085781"/>
    <n v="4974657"/>
    <n v="1"/>
    <n v="90"/>
    <s v=""/>
    <m/>
  </r>
  <r>
    <n v="3087594"/>
    <x v="29"/>
    <s v="06-10-002-000"/>
    <x v="0"/>
    <n v="207.42"/>
    <n v="0"/>
    <n v="207.42"/>
    <n v="10000"/>
    <n v="100"/>
    <s v="AMPM29"/>
    <x v="58"/>
    <s v="Energia-A29-Marz"/>
    <s v="Compras"/>
    <s v="xmaltez"/>
    <s v="PMTRX00085781"/>
    <n v="4974658"/>
    <n v="1"/>
    <n v="36"/>
    <s v=""/>
    <m/>
  </r>
  <r>
    <n v="3087595"/>
    <x v="29"/>
    <s v="06-10-002-000"/>
    <x v="0"/>
    <n v="66122.81"/>
    <n v="0"/>
    <n v="66122.81"/>
    <n v="10000"/>
    <n v="100"/>
    <s v="AMPM29"/>
    <x v="58"/>
    <s v="Energia-A29-Marz"/>
    <s v="Compras"/>
    <s v="xmaltez"/>
    <s v="PMTRX00085781"/>
    <n v="4974659"/>
    <n v="1"/>
    <n v="36"/>
    <s v=""/>
    <m/>
  </r>
  <r>
    <n v="3087596"/>
    <x v="29"/>
    <s v="06-10-002-000"/>
    <x v="0"/>
    <n v="41473.339999999997"/>
    <n v="0"/>
    <n v="41473.339999999997"/>
    <n v="10000"/>
    <n v="100"/>
    <s v="MONITOREO"/>
    <x v="63"/>
    <s v="Energia-MONI-Marz"/>
    <s v="Compras"/>
    <s v="xmaltez"/>
    <s v="PMTRX00085781"/>
    <n v="4974660"/>
    <n v="1"/>
    <n v="30"/>
    <s v=""/>
    <m/>
  </r>
  <r>
    <n v="3087597"/>
    <x v="29"/>
    <s v="06-10-002-000"/>
    <x v="0"/>
    <n v="60391.45"/>
    <n v="0"/>
    <n v="60391.45"/>
    <n v="10000"/>
    <n v="100"/>
    <s v="AMPM04"/>
    <x v="26"/>
    <s v="Energia-A04-Marz"/>
    <s v="Compras"/>
    <s v="xmaltez"/>
    <s v="PMTRX00085781"/>
    <n v="4974661"/>
    <n v="1"/>
    <n v="4"/>
    <s v=""/>
    <m/>
  </r>
  <r>
    <n v="3087598"/>
    <x v="29"/>
    <s v="06-10-002-000"/>
    <x v="0"/>
    <n v="66143.3"/>
    <n v="0"/>
    <n v="66143.3"/>
    <n v="10000"/>
    <n v="100"/>
    <s v="AMPM06"/>
    <x v="13"/>
    <s v="Energia-A06-Marz"/>
    <s v="Compras"/>
    <s v="xmaltez"/>
    <s v="PMTRX00085781"/>
    <n v="4974662"/>
    <n v="1"/>
    <n v="6"/>
    <s v=""/>
    <m/>
  </r>
  <r>
    <n v="3087599"/>
    <x v="29"/>
    <s v="06-10-002-000"/>
    <x v="0"/>
    <n v="63271.3"/>
    <n v="0"/>
    <n v="63271.3"/>
    <n v="10000"/>
    <n v="100"/>
    <s v="AMPM16"/>
    <x v="43"/>
    <s v="Energia-A16-Marz"/>
    <s v="Compras"/>
    <s v="xmaltez"/>
    <s v="PMTRX00085781"/>
    <n v="4974663"/>
    <n v="1"/>
    <n v="16"/>
    <s v=""/>
    <m/>
  </r>
  <r>
    <n v="3087600"/>
    <x v="29"/>
    <s v="06-10-002-000"/>
    <x v="0"/>
    <n v="90432.37"/>
    <n v="0"/>
    <n v="90432.37"/>
    <n v="10000"/>
    <n v="100"/>
    <s v="AMPM38"/>
    <x v="41"/>
    <s v="Energia-A38-Marz"/>
    <s v="Compras"/>
    <s v="xmaltez"/>
    <s v="PMTRX00085781"/>
    <n v="4974664"/>
    <n v="1"/>
    <n v="47"/>
    <s v=""/>
    <m/>
  </r>
  <r>
    <n v="3087601"/>
    <x v="29"/>
    <s v="06-10-002-000"/>
    <x v="0"/>
    <n v="2381.6999999999998"/>
    <n v="0"/>
    <n v="2381.6999999999998"/>
    <n v="10000"/>
    <n v="100"/>
    <s v="AMPM38"/>
    <x v="41"/>
    <s v="Energia-A38-Marz"/>
    <s v="Compras"/>
    <s v="xmaltez"/>
    <s v="PMTRX00085781"/>
    <n v="4974665"/>
    <n v="1"/>
    <n v="47"/>
    <s v=""/>
    <m/>
  </r>
  <r>
    <n v="3087602"/>
    <x v="29"/>
    <s v="06-10-002-000"/>
    <x v="0"/>
    <n v="75946.34"/>
    <n v="0"/>
    <n v="75946.34"/>
    <n v="10000"/>
    <n v="100"/>
    <s v="AMPM79"/>
    <x v="82"/>
    <s v="Energia-A79-Marz"/>
    <s v="Compras"/>
    <s v="xmaltez"/>
    <s v="PMTRX00085781"/>
    <n v="4974666"/>
    <n v="1"/>
    <n v="95"/>
    <s v=""/>
    <m/>
  </r>
  <r>
    <n v="3087603"/>
    <x v="29"/>
    <s v="06-10-002-000"/>
    <x v="0"/>
    <n v="84507.35"/>
    <n v="0"/>
    <n v="84507.35"/>
    <n v="10000"/>
    <n v="100"/>
    <s v="AMPM65"/>
    <x v="78"/>
    <s v="Energia-A65-Marz"/>
    <s v="Compras"/>
    <s v="xmaltez"/>
    <s v="PMTRX00085781"/>
    <n v="4974667"/>
    <n v="1"/>
    <n v="81"/>
    <s v=""/>
    <m/>
  </r>
  <r>
    <n v="3087604"/>
    <x v="29"/>
    <s v="06-10-002-000"/>
    <x v="0"/>
    <n v="74218.38"/>
    <n v="0"/>
    <n v="74218.38"/>
    <n v="10000"/>
    <n v="100"/>
    <s v="AMPM81"/>
    <x v="83"/>
    <s v="Energia-A81-Marz"/>
    <s v="Compras"/>
    <s v="xmaltez"/>
    <s v="PMTRX00085781"/>
    <n v="4974668"/>
    <n v="1"/>
    <n v="99"/>
    <s v=""/>
    <m/>
  </r>
  <r>
    <n v="3087605"/>
    <x v="29"/>
    <s v="06-10-002-000"/>
    <x v="0"/>
    <n v="4525.92"/>
    <n v="0"/>
    <n v="4525.92"/>
    <n v="10000"/>
    <n v="100"/>
    <s v="AMPM18"/>
    <x v="55"/>
    <s v="Energia-A18-Marz"/>
    <s v="Compras"/>
    <s v="xmaltez"/>
    <s v="PMTRX00085781"/>
    <n v="4974669"/>
    <n v="1"/>
    <n v="18"/>
    <s v=""/>
    <m/>
  </r>
  <r>
    <n v="3087606"/>
    <x v="29"/>
    <s v="06-10-002-000"/>
    <x v="0"/>
    <n v="2217.5500000000002"/>
    <n v="0"/>
    <n v="2217.5500000000002"/>
    <n v="10000"/>
    <n v="100"/>
    <s v="AMPM45"/>
    <x v="68"/>
    <s v="Energia-A45-Marz"/>
    <s v="Compras"/>
    <s v="xmaltez"/>
    <s v="PMTRX00085781"/>
    <n v="4974670"/>
    <n v="1"/>
    <n v="59"/>
    <s v=""/>
    <m/>
  </r>
  <r>
    <n v="3087607"/>
    <x v="29"/>
    <s v="06-10-002-000"/>
    <x v="0"/>
    <n v="64284.480000000003"/>
    <n v="0"/>
    <n v="64284.480000000003"/>
    <n v="10000"/>
    <n v="100"/>
    <s v="AMPM32"/>
    <x v="65"/>
    <s v="Energia-A32-Marz"/>
    <s v="Compras"/>
    <s v="xmaltez"/>
    <s v="PMTRX00085781"/>
    <n v="4974671"/>
    <n v="1"/>
    <n v="40"/>
    <s v=""/>
    <m/>
  </r>
  <r>
    <n v="3087608"/>
    <x v="29"/>
    <s v="06-10-002-000"/>
    <x v="0"/>
    <n v="71106.86"/>
    <n v="0"/>
    <n v="71106.86"/>
    <n v="10000"/>
    <n v="100"/>
    <s v="AMPM71"/>
    <x v="52"/>
    <s v="Energia-A71-Marz"/>
    <s v="Compras"/>
    <s v="xmaltez"/>
    <s v="PMTRX00085781"/>
    <n v="4974672"/>
    <n v="1"/>
    <n v="86"/>
    <s v=""/>
    <m/>
  </r>
  <r>
    <n v="3087609"/>
    <x v="29"/>
    <s v="06-10-002-000"/>
    <x v="0"/>
    <n v="69337.67"/>
    <n v="0"/>
    <n v="69337.67"/>
    <n v="10000"/>
    <n v="100"/>
    <s v="AMPM82"/>
    <x v="84"/>
    <s v="Energia-A82-Marz"/>
    <s v="Compras"/>
    <s v="xmaltez"/>
    <s v="PMTRX00085781"/>
    <n v="4974673"/>
    <n v="1"/>
    <n v="96"/>
    <s v=""/>
    <m/>
  </r>
  <r>
    <n v="3087610"/>
    <x v="29"/>
    <s v="06-10-002-000"/>
    <x v="0"/>
    <n v="76959.64"/>
    <n v="0"/>
    <n v="76959.64"/>
    <n v="10000"/>
    <n v="100"/>
    <s v="AMPM54"/>
    <x v="18"/>
    <s v="Energia-A54-Marz"/>
    <s v="Compras"/>
    <s v="xmaltez"/>
    <s v="PMTRX00085781"/>
    <n v="4974674"/>
    <n v="1"/>
    <n v="70"/>
    <s v=""/>
    <m/>
  </r>
  <r>
    <n v="3087611"/>
    <x v="29"/>
    <s v="06-10-002-000"/>
    <x v="0"/>
    <n v="70273.48"/>
    <n v="0"/>
    <n v="70273.48"/>
    <n v="10000"/>
    <n v="100"/>
    <s v="AMPM51"/>
    <x v="71"/>
    <s v="Energia-A51-Marz"/>
    <s v="Compras"/>
    <s v="xmaltez"/>
    <s v="PMTRX00085781"/>
    <n v="4974675"/>
    <n v="1"/>
    <n v="65"/>
    <s v=""/>
    <m/>
  </r>
  <r>
    <n v="3087612"/>
    <x v="29"/>
    <s v="06-10-002-000"/>
    <x v="0"/>
    <n v="2409.52"/>
    <n v="0"/>
    <n v="2409.52"/>
    <n v="10000"/>
    <n v="100"/>
    <s v="AMPM51"/>
    <x v="71"/>
    <s v="Energia-A51-Marz"/>
    <s v="Compras"/>
    <s v="xmaltez"/>
    <s v="PMTRX00085781"/>
    <n v="4974676"/>
    <n v="1"/>
    <n v="65"/>
    <s v=""/>
    <m/>
  </r>
  <r>
    <n v="3087613"/>
    <x v="29"/>
    <s v="06-10-002-000"/>
    <x v="0"/>
    <n v="65425.64"/>
    <n v="0"/>
    <n v="65425.64"/>
    <n v="10000"/>
    <n v="100"/>
    <s v="AMPM25"/>
    <x v="62"/>
    <s v="Energia-A25-Marz"/>
    <s v="Compras"/>
    <s v="xmaltez"/>
    <s v="PMTRX00085781"/>
    <n v="4974677"/>
    <n v="1"/>
    <n v="25"/>
    <s v=""/>
    <m/>
  </r>
  <r>
    <n v="3087614"/>
    <x v="29"/>
    <s v="06-10-002-000"/>
    <x v="0"/>
    <n v="66588.63"/>
    <n v="0"/>
    <n v="66588.63"/>
    <n v="10000"/>
    <n v="100"/>
    <s v="AMPM63"/>
    <x v="32"/>
    <s v="Energia-A63-Marz"/>
    <s v="Compras"/>
    <s v="xmaltez"/>
    <s v="PMTRX00085781"/>
    <n v="4974678"/>
    <n v="1"/>
    <n v="79"/>
    <s v=""/>
    <m/>
  </r>
  <r>
    <n v="3087615"/>
    <x v="29"/>
    <s v="06-10-002-000"/>
    <x v="0"/>
    <n v="87674.37"/>
    <n v="0"/>
    <n v="87674.37"/>
    <n v="10000"/>
    <n v="100"/>
    <s v="AMPM33"/>
    <x v="11"/>
    <s v="Energia-A33-Marz"/>
    <s v="Compras"/>
    <s v="xmaltez"/>
    <s v="PMTRX00085781"/>
    <n v="4974679"/>
    <n v="1"/>
    <n v="39"/>
    <s v=""/>
    <m/>
  </r>
  <r>
    <n v="3087616"/>
    <x v="29"/>
    <s v="06-10-002-000"/>
    <x v="0"/>
    <n v="64475.17"/>
    <n v="0"/>
    <n v="64475.17"/>
    <n v="10000"/>
    <n v="100"/>
    <s v="AMPM41"/>
    <x v="24"/>
    <s v="Energia-A41-Marz"/>
    <s v="Compras"/>
    <s v="xmaltez"/>
    <s v="PMTRX00085781"/>
    <n v="4974680"/>
    <n v="1"/>
    <n v="50"/>
    <s v=""/>
    <m/>
  </r>
  <r>
    <n v="3087617"/>
    <x v="29"/>
    <s v="06-10-002-000"/>
    <x v="0"/>
    <n v="75043.42"/>
    <n v="0"/>
    <n v="75043.42"/>
    <n v="10000"/>
    <n v="100"/>
    <s v="AMPM78"/>
    <x v="81"/>
    <s v="Energia-A78-Marz"/>
    <s v="Compras"/>
    <s v="xmaltez"/>
    <s v="PMTRX00085781"/>
    <n v="4974681"/>
    <n v="1"/>
    <n v="94"/>
    <s v=""/>
    <m/>
  </r>
  <r>
    <n v="3087618"/>
    <x v="29"/>
    <s v="06-10-002-000"/>
    <x v="0"/>
    <n v="72335.95"/>
    <n v="0"/>
    <n v="72335.95"/>
    <n v="10000"/>
    <n v="100"/>
    <s v="AMPM61"/>
    <x v="75"/>
    <s v="Energia-A61-Marz"/>
    <s v="Compras"/>
    <s v="xmaltez"/>
    <s v="PMTRX00085781"/>
    <n v="4974682"/>
    <n v="1"/>
    <n v="77"/>
    <s v=""/>
    <m/>
  </r>
  <r>
    <n v="3087619"/>
    <x v="29"/>
    <s v="06-10-002-000"/>
    <x v="0"/>
    <n v="59846.78"/>
    <n v="0"/>
    <n v="59846.78"/>
    <n v="10000"/>
    <n v="100"/>
    <s v="AMPM75"/>
    <x v="36"/>
    <s v="Energia-A75-Marz"/>
    <s v="Compras"/>
    <s v="xmaltez"/>
    <s v="PMTRX00085781"/>
    <n v="4974683"/>
    <n v="1"/>
    <n v="91"/>
    <s v=""/>
    <m/>
  </r>
  <r>
    <n v="3087620"/>
    <x v="29"/>
    <s v="06-10-002-000"/>
    <x v="0"/>
    <n v="73071.92"/>
    <n v="0"/>
    <n v="73071.92"/>
    <n v="10000"/>
    <n v="100"/>
    <s v="AMPM30"/>
    <x v="39"/>
    <s v="Energia-A30-Marz"/>
    <s v="Compras"/>
    <s v="xmaltez"/>
    <s v="PMTRX00085781"/>
    <n v="4974684"/>
    <n v="1"/>
    <n v="37"/>
    <s v=""/>
    <m/>
  </r>
  <r>
    <n v="3087621"/>
    <x v="29"/>
    <s v="06-10-002-000"/>
    <x v="0"/>
    <n v="60317.83"/>
    <n v="0"/>
    <n v="60317.83"/>
    <n v="10000"/>
    <n v="100"/>
    <s v="AMPM84"/>
    <x v="29"/>
    <s v="Energia-A84-Marz"/>
    <s v="Compras"/>
    <s v="xmaltez"/>
    <s v="PMTRX00085781"/>
    <n v="4974685"/>
    <n v="1"/>
    <n v="100"/>
    <s v=""/>
    <m/>
  </r>
  <r>
    <n v="3087622"/>
    <x v="29"/>
    <s v="06-10-002-000"/>
    <x v="0"/>
    <n v="78292.740000000005"/>
    <n v="0"/>
    <n v="78292.740000000005"/>
    <n v="10000"/>
    <n v="100"/>
    <s v="AMPM27"/>
    <x v="8"/>
    <s v="Energia-A27-Marz"/>
    <s v="Compras"/>
    <s v="xmaltez"/>
    <s v="PMTRX00085781"/>
    <n v="4974686"/>
    <n v="1"/>
    <n v="34"/>
    <s v=""/>
    <m/>
  </r>
  <r>
    <n v="3087623"/>
    <x v="29"/>
    <s v="06-10-002-000"/>
    <x v="0"/>
    <n v="2151.86"/>
    <n v="0"/>
    <n v="2151.86"/>
    <n v="10000"/>
    <n v="100"/>
    <s v="AMPM27"/>
    <x v="8"/>
    <s v="Energia-A27-Marz"/>
    <s v="Compras"/>
    <s v="xmaltez"/>
    <s v="PMTRX00085781"/>
    <n v="4974687"/>
    <n v="1"/>
    <n v="34"/>
    <s v=""/>
    <m/>
  </r>
  <r>
    <n v="3087624"/>
    <x v="29"/>
    <s v="06-10-002-000"/>
    <x v="0"/>
    <n v="62605.83"/>
    <n v="0"/>
    <n v="62605.83"/>
    <n v="10000"/>
    <n v="100"/>
    <s v="AMPM10"/>
    <x v="45"/>
    <s v="Energia-A10-Marz"/>
    <s v="Compras"/>
    <s v="xmaltez"/>
    <s v="PMTRX00085781"/>
    <n v="4974688"/>
    <n v="1"/>
    <n v="10"/>
    <s v=""/>
    <m/>
  </r>
  <r>
    <n v="3087625"/>
    <x v="29"/>
    <s v="06-10-002-000"/>
    <x v="0"/>
    <n v="49949.36"/>
    <n v="0"/>
    <n v="49949.36"/>
    <n v="10000"/>
    <n v="100"/>
    <s v="AMPM01"/>
    <x v="25"/>
    <s v="Energia-A01-Marz"/>
    <s v="Compras"/>
    <s v="xmaltez"/>
    <s v="PMTRX00085781"/>
    <n v="4974689"/>
    <n v="1"/>
    <n v="1"/>
    <s v=""/>
    <m/>
  </r>
  <r>
    <n v="3087626"/>
    <x v="29"/>
    <s v="06-10-002-000"/>
    <x v="0"/>
    <n v="47903.97"/>
    <n v="0"/>
    <n v="47903.97"/>
    <n v="10000"/>
    <n v="100"/>
    <s v="AMPM09"/>
    <x v="42"/>
    <s v="Energia-A09-Marz"/>
    <s v="Compras"/>
    <s v="xmaltez"/>
    <s v="PMTRX00085781"/>
    <n v="4974690"/>
    <n v="1"/>
    <n v="9"/>
    <s v=""/>
    <m/>
  </r>
  <r>
    <n v="3087627"/>
    <x v="29"/>
    <s v="06-10-002-000"/>
    <x v="0"/>
    <n v="62951.08"/>
    <n v="0"/>
    <n v="62951.08"/>
    <n v="10000"/>
    <n v="100"/>
    <s v="AMPM19"/>
    <x v="56"/>
    <s v="Energia-A19-Marz"/>
    <s v="Compras"/>
    <s v="xmaltez"/>
    <s v="PMTRX00085781"/>
    <n v="4974691"/>
    <n v="1"/>
    <n v="19"/>
    <s v=""/>
    <m/>
  </r>
  <r>
    <n v="3087628"/>
    <x v="29"/>
    <s v="06-10-002-000"/>
    <x v="0"/>
    <n v="134.94999999999999"/>
    <n v="0"/>
    <n v="134.94999999999999"/>
    <n v="10000"/>
    <n v="100"/>
    <s v="AMPM19"/>
    <x v="56"/>
    <s v="Energia-A19-Marz"/>
    <s v="Compras"/>
    <s v="xmaltez"/>
    <s v="PMTRX00085781"/>
    <n v="4974692"/>
    <n v="1"/>
    <n v="19"/>
    <s v=""/>
    <m/>
  </r>
  <r>
    <n v="3087629"/>
    <x v="29"/>
    <s v="06-10-002-000"/>
    <x v="0"/>
    <n v="54767.87"/>
    <n v="0"/>
    <n v="54767.87"/>
    <n v="10000"/>
    <n v="100"/>
    <s v="AMPM52"/>
    <x v="16"/>
    <s v="Energia-A52-Marz"/>
    <s v="Compras"/>
    <s v="xmaltez"/>
    <s v="PMTRX00085781"/>
    <n v="4974693"/>
    <n v="1"/>
    <n v="66"/>
    <s v=""/>
    <m/>
  </r>
  <r>
    <n v="3087630"/>
    <x v="29"/>
    <s v="06-10-002-000"/>
    <x v="0"/>
    <n v="65445"/>
    <n v="0"/>
    <n v="65445"/>
    <n v="10000"/>
    <n v="100"/>
    <s v="AMPM73"/>
    <x v="17"/>
    <s v="Energia-A73-Marz"/>
    <s v="Compras"/>
    <s v="xmaltez"/>
    <s v="PMTRX00085781"/>
    <n v="4974694"/>
    <n v="1"/>
    <n v="89"/>
    <s v=""/>
    <m/>
  </r>
  <r>
    <n v="3087631"/>
    <x v="29"/>
    <s v="06-10-002-000"/>
    <x v="0"/>
    <n v="65877.149999999994"/>
    <n v="0"/>
    <n v="65877.149999999994"/>
    <n v="10000"/>
    <n v="100"/>
    <s v="AMPM20"/>
    <x v="57"/>
    <s v="Energia-A20-Marz"/>
    <s v="Compras"/>
    <s v="xmaltez"/>
    <s v="PMTRX00085781"/>
    <n v="4974695"/>
    <n v="1"/>
    <n v="20"/>
    <s v=""/>
    <m/>
  </r>
  <r>
    <n v="3087632"/>
    <x v="29"/>
    <s v="06-10-002-000"/>
    <x v="0"/>
    <n v="60706.18"/>
    <n v="0"/>
    <n v="60706.18"/>
    <n v="10000"/>
    <n v="100"/>
    <s v="AMPM89"/>
    <x v="87"/>
    <s v="Energia-A89-Marz"/>
    <s v="Compras"/>
    <s v="xmaltez"/>
    <s v="PMTRX00085781"/>
    <n v="4974696"/>
    <n v="1"/>
    <n v="105"/>
    <s v=""/>
    <m/>
  </r>
  <r>
    <n v="3087633"/>
    <x v="29"/>
    <s v="06-10-002-000"/>
    <x v="0"/>
    <n v="54458.2"/>
    <n v="0"/>
    <n v="54458.2"/>
    <n v="10000"/>
    <n v="100"/>
    <s v="AMPM37"/>
    <x v="49"/>
    <s v="Energia-A37-Marz"/>
    <s v="Compras"/>
    <s v="xmaltez"/>
    <s v="PMTRX00085781"/>
    <n v="4974697"/>
    <n v="1"/>
    <n v="42"/>
    <s v=""/>
    <m/>
  </r>
  <r>
    <n v="3087634"/>
    <x v="29"/>
    <s v="06-10-002-000"/>
    <x v="0"/>
    <n v="81945.919999999998"/>
    <n v="0"/>
    <n v="81945.919999999998"/>
    <n v="10000"/>
    <n v="100"/>
    <s v="AMPM34"/>
    <x v="85"/>
    <s v="Energia-A34-Marz"/>
    <s v="Compras"/>
    <s v="xmaltez"/>
    <s v="PMTRX00085781"/>
    <n v="4974698"/>
    <n v="1"/>
    <n v="41"/>
    <s v=""/>
    <m/>
  </r>
  <r>
    <n v="3087635"/>
    <x v="29"/>
    <s v="06-10-002-000"/>
    <x v="0"/>
    <n v="3564.1"/>
    <n v="0"/>
    <n v="3564.1"/>
    <n v="10000"/>
    <n v="100"/>
    <s v="AMPM01"/>
    <x v="25"/>
    <s v="Energia-A01-Marz"/>
    <s v="Compras"/>
    <s v="xmaltez"/>
    <s v="PMTRX00085781"/>
    <n v="4974699"/>
    <n v="1"/>
    <n v="1"/>
    <s v=""/>
    <m/>
  </r>
  <r>
    <n v="3087636"/>
    <x v="29"/>
    <s v="06-10-002-000"/>
    <x v="0"/>
    <n v="63931.18"/>
    <n v="0"/>
    <n v="63931.18"/>
    <n v="10000"/>
    <n v="100"/>
    <s v="AMPM49"/>
    <x v="72"/>
    <s v="Energia-A49-Marz"/>
    <s v="Compras"/>
    <s v="xmaltez"/>
    <s v="PMTRX00085781"/>
    <n v="4974700"/>
    <n v="1"/>
    <n v="63"/>
    <s v=""/>
    <m/>
  </r>
  <r>
    <n v="3087637"/>
    <x v="29"/>
    <s v="06-10-002-000"/>
    <x v="0"/>
    <n v="52976.51"/>
    <n v="0"/>
    <n v="52976.51"/>
    <n v="10000"/>
    <n v="100"/>
    <s v="AMPM43"/>
    <x v="35"/>
    <s v="Energia-A43-Marz"/>
    <s v="Compras"/>
    <s v="xmaltez"/>
    <s v="PMTRX00085781"/>
    <n v="4974701"/>
    <n v="1"/>
    <n v="58"/>
    <s v=""/>
    <m/>
  </r>
  <r>
    <n v="3087638"/>
    <x v="29"/>
    <s v="06-10-002-000"/>
    <x v="0"/>
    <n v="53133.66"/>
    <n v="0"/>
    <n v="53133.66"/>
    <n v="10000"/>
    <n v="100"/>
    <s v="AMPM86"/>
    <x v="88"/>
    <s v="Energia-A86-Marz"/>
    <s v="Compras"/>
    <s v="xmaltez"/>
    <s v="PMTRX00085781"/>
    <n v="4974702"/>
    <n v="1"/>
    <n v="104"/>
    <s v=""/>
    <m/>
  </r>
  <r>
    <n v="3087639"/>
    <x v="29"/>
    <s v="06-10-002-000"/>
    <x v="0"/>
    <n v="27793.34"/>
    <n v="0"/>
    <n v="27793.34"/>
    <n v="10000"/>
    <n v="100"/>
    <s v="AMPM99"/>
    <x v="73"/>
    <s v="Energia-A99-Marz"/>
    <s v="Compras"/>
    <s v="xmaltez"/>
    <s v="PMTRX00085781"/>
    <n v="4974703"/>
    <n v="1"/>
    <n v="33"/>
    <s v=""/>
    <m/>
  </r>
  <r>
    <n v="3087640"/>
    <x v="29"/>
    <s v="06-10-002-000"/>
    <x v="0"/>
    <n v="75497.89"/>
    <n v="0"/>
    <n v="75497.89"/>
    <n v="10000"/>
    <n v="100"/>
    <s v="AMPM12"/>
    <x v="51"/>
    <s v="Energia-A12-Marz"/>
    <s v="Compras"/>
    <s v="xmaltez"/>
    <s v="PMTRX00085781"/>
    <n v="4974704"/>
    <n v="1"/>
    <n v="12"/>
    <s v=""/>
    <m/>
  </r>
  <r>
    <n v="3087641"/>
    <x v="29"/>
    <s v="06-10-002-000"/>
    <x v="0"/>
    <n v="9758.24"/>
    <n v="0"/>
    <n v="9758.24"/>
    <n v="10000"/>
    <n v="100"/>
    <s v="AMPM14"/>
    <x v="53"/>
    <s v="Energia-A14-Marz"/>
    <s v="Compras"/>
    <s v="xmaltez"/>
    <s v="PMTRX00085781"/>
    <n v="4974705"/>
    <n v="1"/>
    <n v="14"/>
    <s v=""/>
    <m/>
  </r>
  <r>
    <n v="3087642"/>
    <x v="29"/>
    <s v="06-10-002-000"/>
    <x v="0"/>
    <n v="1212.19"/>
    <n v="0"/>
    <n v="1212.19"/>
    <n v="10000"/>
    <n v="100"/>
    <s v="AMPM14"/>
    <x v="53"/>
    <s v="Energia-A14-Marz"/>
    <s v="Compras"/>
    <s v="xmaltez"/>
    <s v="PMTRX00085781"/>
    <n v="4974706"/>
    <n v="1"/>
    <n v="14"/>
    <s v=""/>
    <m/>
  </r>
  <r>
    <n v="3087643"/>
    <x v="29"/>
    <s v="06-10-002-000"/>
    <x v="0"/>
    <n v="40744.120000000003"/>
    <n v="0"/>
    <n v="40744.120000000003"/>
    <n v="10000"/>
    <n v="100"/>
    <s v="AMPM14"/>
    <x v="53"/>
    <s v="Energia-A14-Marz"/>
    <s v="Compras"/>
    <s v="xmaltez"/>
    <s v="PMTRX00085781"/>
    <n v="4974707"/>
    <n v="1"/>
    <n v="14"/>
    <s v=""/>
    <m/>
  </r>
  <r>
    <n v="3087644"/>
    <x v="29"/>
    <s v="06-10-002-000"/>
    <x v="0"/>
    <n v="62675.35"/>
    <n v="0"/>
    <n v="62675.35"/>
    <n v="10000"/>
    <n v="100"/>
    <s v="AMPM03"/>
    <x v="61"/>
    <s v="Energia-A03-Marz"/>
    <s v="Compras"/>
    <s v="xmaltez"/>
    <s v="PMTRX00085781"/>
    <n v="4974708"/>
    <n v="1"/>
    <n v="3"/>
    <s v=""/>
    <m/>
  </r>
  <r>
    <n v="3087645"/>
    <x v="29"/>
    <s v="06-10-002-000"/>
    <x v="0"/>
    <n v="56785.120000000003"/>
    <n v="0"/>
    <n v="56785.120000000003"/>
    <n v="10000"/>
    <n v="100"/>
    <s v="AMPM85"/>
    <x v="86"/>
    <s v="Energia-A85-Marz"/>
    <s v="Compras"/>
    <s v="xmaltez"/>
    <s v="PMTRX00085781"/>
    <n v="4974709"/>
    <n v="1"/>
    <n v="101"/>
    <s v=""/>
    <m/>
  </r>
  <r>
    <n v="3087646"/>
    <x v="29"/>
    <s v="06-10-002-000"/>
    <x v="0"/>
    <n v="57984.98"/>
    <n v="0"/>
    <n v="57984.98"/>
    <n v="10000"/>
    <n v="100"/>
    <s v="AMPM83"/>
    <x v="15"/>
    <s v="Energia-A83-Marz"/>
    <s v="Compras"/>
    <s v="xmaltez"/>
    <s v="PMTRX00085781"/>
    <n v="4974710"/>
    <n v="1"/>
    <n v="97"/>
    <s v=""/>
    <m/>
  </r>
  <r>
    <n v="3087647"/>
    <x v="29"/>
    <s v="06-10-002-000"/>
    <x v="0"/>
    <n v="12899.93"/>
    <n v="0"/>
    <n v="12899.93"/>
    <n v="10000"/>
    <n v="100"/>
    <s v="ADMON"/>
    <x v="48"/>
    <s v="Energia-ADMON-Marz"/>
    <s v="Compras"/>
    <s v="xmaltez"/>
    <s v="PMTRX00085781"/>
    <n v="4974711"/>
    <n v="1"/>
    <n v="27"/>
    <s v=""/>
    <m/>
  </r>
  <r>
    <n v="3087648"/>
    <x v="29"/>
    <s v="06-10-002-000"/>
    <x v="0"/>
    <n v="21903.79"/>
    <n v="0"/>
    <n v="21903.79"/>
    <n v="10000"/>
    <n v="100"/>
    <s v="ADMON"/>
    <x v="48"/>
    <s v="Energia-ADMON-Marz"/>
    <s v="Compras"/>
    <s v="xmaltez"/>
    <s v="PMTRX00085781"/>
    <n v="4974712"/>
    <n v="1"/>
    <n v="27"/>
    <s v=""/>
    <m/>
  </r>
  <r>
    <n v="3087649"/>
    <x v="29"/>
    <s v="06-10-002-000"/>
    <x v="0"/>
    <n v="11135.56"/>
    <n v="0"/>
    <n v="11135.56"/>
    <n v="10000"/>
    <n v="100"/>
    <s v="ADMON"/>
    <x v="48"/>
    <s v="Energia-ADMON-Marz"/>
    <s v="Compras"/>
    <s v="xmaltez"/>
    <s v="PMTRX00085781"/>
    <n v="4974713"/>
    <n v="1"/>
    <n v="27"/>
    <s v=""/>
    <m/>
  </r>
  <r>
    <n v="3087650"/>
    <x v="29"/>
    <s v="06-10-002-000"/>
    <x v="0"/>
    <n v="16661.82"/>
    <n v="0"/>
    <n v="16661.82"/>
    <n v="10000"/>
    <n v="100"/>
    <s v="ADMON"/>
    <x v="48"/>
    <s v="Energia-ADMON-Marz"/>
    <s v="Compras"/>
    <s v="xmaltez"/>
    <s v="PMTRX00085781"/>
    <n v="4974714"/>
    <n v="1"/>
    <n v="27"/>
    <s v=""/>
    <m/>
  </r>
  <r>
    <n v="3087651"/>
    <x v="29"/>
    <s v="06-10-002-000"/>
    <x v="0"/>
    <n v="71250.52"/>
    <n v="0"/>
    <n v="71250.52"/>
    <n v="10000"/>
    <n v="100"/>
    <s v="AMPM45"/>
    <x v="68"/>
    <s v="Energia-A45-Marz"/>
    <s v="Compras"/>
    <s v="xmaltez"/>
    <s v="PMTRX00085781"/>
    <n v="4974715"/>
    <n v="1"/>
    <n v="59"/>
    <s v=""/>
    <m/>
  </r>
  <r>
    <n v="3087652"/>
    <x v="29"/>
    <s v="06-10-002-000"/>
    <x v="0"/>
    <n v="2188.83"/>
    <n v="0"/>
    <n v="2188.83"/>
    <n v="10000"/>
    <n v="100"/>
    <s v="AMPM40"/>
    <x v="67"/>
    <s v="Energia-A40-Marz"/>
    <s v="Compras"/>
    <s v="xmaltez"/>
    <s v="PMTRX00085781"/>
    <n v="4974716"/>
    <n v="1"/>
    <n v="49"/>
    <s v=""/>
    <m/>
  </r>
  <r>
    <n v="3087653"/>
    <x v="29"/>
    <s v="06-10-002-000"/>
    <x v="0"/>
    <n v="67652.5"/>
    <n v="0"/>
    <n v="67652.5"/>
    <n v="10000"/>
    <n v="100"/>
    <s v="AMPM60"/>
    <x v="76"/>
    <s v="Energia-A60-Marz"/>
    <s v="Compras"/>
    <s v="xmaltez"/>
    <s v="PMTRX00085781"/>
    <n v="4974717"/>
    <n v="1"/>
    <n v="76"/>
    <s v=""/>
    <m/>
  </r>
  <r>
    <n v="3087654"/>
    <x v="29"/>
    <s v="06-10-002-000"/>
    <x v="0"/>
    <n v="69615.7"/>
    <n v="0"/>
    <n v="69615.7"/>
    <n v="10000"/>
    <n v="100"/>
    <s v="AMPM67"/>
    <x v="80"/>
    <s v="Energia-A67-Marz"/>
    <s v="Compras"/>
    <s v="xmaltez"/>
    <s v="PMTRX00085781"/>
    <n v="4974718"/>
    <n v="1"/>
    <n v="83"/>
    <s v=""/>
    <m/>
  </r>
  <r>
    <n v="3087655"/>
    <x v="29"/>
    <s v="06-10-002-000"/>
    <x v="0"/>
    <n v="12572.87"/>
    <n v="0"/>
    <n v="12572.87"/>
    <n v="10000"/>
    <n v="100"/>
    <s v="ADMON"/>
    <x v="48"/>
    <s v="Energia-ADMON-Marz"/>
    <s v="Compras"/>
    <s v="xmaltez"/>
    <s v="PMTRX00085781"/>
    <n v="4974719"/>
    <n v="1"/>
    <n v="27"/>
    <s v=""/>
    <m/>
  </r>
  <r>
    <n v="3087656"/>
    <x v="29"/>
    <s v="06-10-002-000"/>
    <x v="0"/>
    <n v="53002.59"/>
    <n v="0"/>
    <n v="53002.59"/>
    <n v="10000"/>
    <n v="100"/>
    <s v="AMPM23"/>
    <x v="59"/>
    <s v="Energia-A23-Marz"/>
    <s v="Compras"/>
    <s v="xmaltez"/>
    <s v="PMTRX00085781"/>
    <n v="4974720"/>
    <n v="1"/>
    <n v="23"/>
    <s v=""/>
    <m/>
  </r>
  <r>
    <n v="3087657"/>
    <x v="29"/>
    <s v="06-10-002-000"/>
    <x v="0"/>
    <n v="59258.16"/>
    <n v="0"/>
    <n v="59258.16"/>
    <n v="10000"/>
    <n v="100"/>
    <s v="AMPM21"/>
    <x v="50"/>
    <s v="Energia-A21-Marz"/>
    <s v="Compras"/>
    <s v="xmaltez"/>
    <s v="PMTRX00085781"/>
    <n v="4974721"/>
    <n v="1"/>
    <n v="21"/>
    <s v=""/>
    <m/>
  </r>
  <r>
    <n v="3087658"/>
    <x v="29"/>
    <s v="06-10-002-000"/>
    <x v="0"/>
    <n v="59870.400000000001"/>
    <n v="0"/>
    <n v="59870.400000000001"/>
    <n v="10000"/>
    <n v="100"/>
    <s v="AMPM18"/>
    <x v="55"/>
    <s v="Energia-A18-Marz"/>
    <s v="Compras"/>
    <s v="xmaltez"/>
    <s v="PMTRX00085781"/>
    <n v="4974722"/>
    <n v="1"/>
    <n v="18"/>
    <s v=""/>
    <m/>
  </r>
  <r>
    <n v="3087659"/>
    <x v="29"/>
    <s v="06-10-002-000"/>
    <x v="0"/>
    <n v="64813.83"/>
    <n v="0"/>
    <n v="64813.83"/>
    <n v="10000"/>
    <n v="100"/>
    <s v="AMPM40"/>
    <x v="67"/>
    <s v="Energia-A40-Marz"/>
    <s v="Compras"/>
    <s v="xmaltez"/>
    <s v="PMTRX00085781"/>
    <n v="4974723"/>
    <n v="1"/>
    <n v="49"/>
    <s v=""/>
    <m/>
  </r>
  <r>
    <n v="3087660"/>
    <x v="29"/>
    <s v="06-10-002-000"/>
    <x v="0"/>
    <n v="59282.25"/>
    <n v="0"/>
    <n v="59282.25"/>
    <n v="10000"/>
    <n v="100"/>
    <s v="AMPM39"/>
    <x v="31"/>
    <s v="Energia-A39-Marz"/>
    <s v="Compras"/>
    <s v="xmaltez"/>
    <s v="PMTRX00085781"/>
    <n v="4974724"/>
    <n v="1"/>
    <n v="48"/>
    <s v=""/>
    <m/>
  </r>
  <r>
    <n v="3087661"/>
    <x v="29"/>
    <s v="06-10-002-000"/>
    <x v="0"/>
    <n v="57697.32"/>
    <n v="0"/>
    <n v="57697.32"/>
    <n v="10000"/>
    <n v="100"/>
    <s v="AMPM05"/>
    <x v="12"/>
    <s v="Energia-A05-Marz"/>
    <s v="Compras"/>
    <s v="xmaltez"/>
    <s v="PMTRX00085781"/>
    <n v="4974725"/>
    <n v="1"/>
    <n v="5"/>
    <s v=""/>
    <m/>
  </r>
  <r>
    <n v="3087662"/>
    <x v="29"/>
    <s v="06-10-002-000"/>
    <x v="0"/>
    <n v="2208.11"/>
    <n v="0"/>
    <n v="2208.11"/>
    <n v="10000"/>
    <n v="100"/>
    <s v="AMPM26"/>
    <x v="7"/>
    <s v="Energia-A26-Marz"/>
    <s v="Compras"/>
    <s v="xmaltez"/>
    <s v="PMTRX00085781"/>
    <n v="4974726"/>
    <n v="1"/>
    <n v="26"/>
    <s v=""/>
    <m/>
  </r>
  <r>
    <n v="3087663"/>
    <x v="29"/>
    <s v="06-10-002-000"/>
    <x v="0"/>
    <n v="53863.08"/>
    <n v="0"/>
    <n v="53863.08"/>
    <n v="10000"/>
    <n v="100"/>
    <s v="AMPM77"/>
    <x v="33"/>
    <s v="Energia-A77-Marz"/>
    <s v="Compras"/>
    <s v="xmaltez"/>
    <s v="PMTRX00085781"/>
    <n v="4974727"/>
    <n v="1"/>
    <n v="92"/>
    <s v=""/>
    <m/>
  </r>
  <r>
    <n v="3087664"/>
    <x v="29"/>
    <s v="06-10-002-000"/>
    <x v="0"/>
    <n v="52701.64"/>
    <n v="0"/>
    <n v="52701.64"/>
    <n v="10000"/>
    <n v="100"/>
    <s v="AMPM26"/>
    <x v="7"/>
    <s v="Energia-A26-Marz"/>
    <s v="Compras"/>
    <s v="xmaltez"/>
    <s v="PMTRX00085781"/>
    <n v="4974728"/>
    <n v="1"/>
    <n v="26"/>
    <s v=""/>
    <m/>
  </r>
  <r>
    <n v="3087665"/>
    <x v="29"/>
    <s v="06-10-002-000"/>
    <x v="0"/>
    <n v="48910.69"/>
    <n v="0"/>
    <n v="48910.69"/>
    <n v="10000"/>
    <n v="100"/>
    <s v="AMPM56"/>
    <x v="23"/>
    <s v="Energia-A56-Marz"/>
    <s v="Compras"/>
    <s v="xmaltez"/>
    <s v="PMTRX00085781"/>
    <n v="4974729"/>
    <n v="1"/>
    <n v="72"/>
    <s v=""/>
    <m/>
  </r>
  <r>
    <n v="3087666"/>
    <x v="29"/>
    <s v="06-10-002-000"/>
    <x v="0"/>
    <n v="59502.6"/>
    <n v="0"/>
    <n v="59502.6"/>
    <n v="10000"/>
    <n v="100"/>
    <s v="AMPM62"/>
    <x v="77"/>
    <s v="Energia-A62-Marz"/>
    <s v="Compras"/>
    <s v="xmaltez"/>
    <s v="PMTRX00085781"/>
    <n v="4974730"/>
    <n v="1"/>
    <n v="78"/>
    <s v=""/>
    <m/>
  </r>
  <r>
    <n v="3087667"/>
    <x v="29"/>
    <s v="06-10-002-000"/>
    <x v="0"/>
    <n v="54126.35"/>
    <n v="0"/>
    <n v="54126.35"/>
    <n v="10000"/>
    <n v="100"/>
    <s v="AMPM48"/>
    <x v="69"/>
    <s v="Energia-A48-Marz"/>
    <s v="Compras"/>
    <s v="xmaltez"/>
    <s v="PMTRX00085781"/>
    <n v="4974731"/>
    <n v="1"/>
    <n v="62"/>
    <s v=""/>
    <m/>
  </r>
  <r>
    <n v="3087668"/>
    <x v="29"/>
    <s v="06-10-002-000"/>
    <x v="0"/>
    <n v="50282.19"/>
    <n v="0"/>
    <n v="50282.19"/>
    <n v="10000"/>
    <n v="100"/>
    <s v="AMPM42"/>
    <x v="21"/>
    <s v="Energia-A42-Marz"/>
    <s v="Compras"/>
    <s v="xmaltez"/>
    <s v="PMTRX00085781"/>
    <n v="4974732"/>
    <n v="1"/>
    <n v="51"/>
    <s v=""/>
    <m/>
  </r>
  <r>
    <n v="3087669"/>
    <x v="29"/>
    <s v="06-10-002-000"/>
    <x v="0"/>
    <n v="944.81"/>
    <n v="0"/>
    <n v="944.81"/>
    <n v="10000"/>
    <n v="100"/>
    <s v="AMPM42"/>
    <x v="21"/>
    <s v="Energia-A42-Marz"/>
    <s v="Compras"/>
    <s v="xmaltez"/>
    <s v="PMTRX00085781"/>
    <n v="4974733"/>
    <n v="1"/>
    <n v="51"/>
    <s v=""/>
    <m/>
  </r>
  <r>
    <n v="3087670"/>
    <x v="29"/>
    <s v="06-10-002-000"/>
    <x v="0"/>
    <n v="53532.05"/>
    <n v="0"/>
    <n v="53532.05"/>
    <n v="10000"/>
    <n v="100"/>
    <s v="AMPM70"/>
    <x v="22"/>
    <s v="Energia-A70-Marz"/>
    <s v="Compras"/>
    <s v="xmaltez"/>
    <s v="PMTRX00085781"/>
    <n v="4974734"/>
    <n v="1"/>
    <n v="87"/>
    <s v=""/>
    <m/>
  </r>
  <r>
    <n v="3087671"/>
    <x v="29"/>
    <s v="06-10-002-000"/>
    <x v="0"/>
    <n v="54642.52"/>
    <n v="0"/>
    <n v="54642.52"/>
    <n v="10000"/>
    <n v="100"/>
    <s v="AMPM72"/>
    <x v="27"/>
    <s v="Energia-A72-Marz"/>
    <s v="Compras"/>
    <s v="xmaltez"/>
    <s v="PMTRX00085781"/>
    <n v="4974735"/>
    <n v="1"/>
    <n v="88"/>
    <s v=""/>
    <m/>
  </r>
  <r>
    <n v="3087672"/>
    <x v="29"/>
    <s v="06-10-002-000"/>
    <x v="0"/>
    <n v="47364.15"/>
    <n v="0"/>
    <n v="47364.15"/>
    <n v="10000"/>
    <n v="100"/>
    <s v="AMPM59"/>
    <x v="74"/>
    <s v="Energia-A59-Marz"/>
    <s v="Compras"/>
    <s v="xmaltez"/>
    <s v="PMTRX00085781"/>
    <n v="4974736"/>
    <n v="1"/>
    <n v="75"/>
    <s v=""/>
    <m/>
  </r>
  <r>
    <n v="3087673"/>
    <x v="29"/>
    <s v="06-10-002-000"/>
    <x v="0"/>
    <n v="46775.6"/>
    <n v="0"/>
    <n v="46775.6"/>
    <n v="10000"/>
    <n v="100"/>
    <s v="AMPM36"/>
    <x v="66"/>
    <s v="Energia-A36-Marz"/>
    <s v="Compras"/>
    <s v="xmaltez"/>
    <s v="PMTRX00085781"/>
    <n v="4974737"/>
    <n v="1"/>
    <n v="44"/>
    <s v=""/>
    <m/>
  </r>
  <r>
    <n v="3087674"/>
    <x v="29"/>
    <s v="06-10-002-000"/>
    <x v="0"/>
    <n v="103.75"/>
    <n v="0"/>
    <n v="103.75"/>
    <n v="10000"/>
    <n v="100"/>
    <s v="AMPM36"/>
    <x v="66"/>
    <s v="Energia-A36-Marz"/>
    <s v="Compras"/>
    <s v="xmaltez"/>
    <s v="PMTRX00085781"/>
    <n v="4974738"/>
    <n v="1"/>
    <n v="44"/>
    <s v=""/>
    <m/>
  </r>
  <r>
    <n v="3087675"/>
    <x v="29"/>
    <s v="06-10-002-000"/>
    <x v="0"/>
    <n v="72041.66"/>
    <n v="0"/>
    <n v="72041.66"/>
    <n v="10000"/>
    <n v="100"/>
    <s v="AMPM66"/>
    <x v="79"/>
    <s v="Energia-A66-Marz"/>
    <s v="Compras"/>
    <s v="xmaltez"/>
    <s v="PMTRX00085781"/>
    <n v="4974739"/>
    <n v="1"/>
    <n v="82"/>
    <s v=""/>
    <m/>
  </r>
  <r>
    <n v="3087676"/>
    <x v="29"/>
    <s v="06-10-002-000"/>
    <x v="0"/>
    <n v="40430.6"/>
    <n v="0"/>
    <n v="40430.6"/>
    <n v="10000"/>
    <n v="100"/>
    <s v="AMPM31"/>
    <x v="64"/>
    <s v="Energia-A31-Marz"/>
    <s v="Compras"/>
    <s v="xmaltez"/>
    <s v="PMTRX00085781"/>
    <n v="4974740"/>
    <n v="1"/>
    <n v="38"/>
    <s v=""/>
    <m/>
  </r>
  <r>
    <n v="3087677"/>
    <x v="29"/>
    <s v="06-10-002-000"/>
    <x v="0"/>
    <n v="57989.02"/>
    <n v="0"/>
    <n v="57989.02"/>
    <n v="10000"/>
    <n v="100"/>
    <s v="AMPM53"/>
    <x v="20"/>
    <s v="Energia-A53-Marz"/>
    <s v="Compras"/>
    <s v="xmaltez"/>
    <s v="PMTRX00085781"/>
    <n v="4974741"/>
    <n v="1"/>
    <n v="64"/>
    <s v=""/>
    <m/>
  </r>
  <r>
    <n v="3087678"/>
    <x v="29"/>
    <s v="06-10-002-000"/>
    <x v="0"/>
    <n v="21815.68"/>
    <n v="0"/>
    <n v="21815.68"/>
    <n v="10000"/>
    <n v="100"/>
    <s v="AMPM49"/>
    <x v="72"/>
    <s v="Energia-A49-Marz"/>
    <s v="Compras"/>
    <s v="xmaltez"/>
    <s v="PMTRX00085781"/>
    <n v="4974742"/>
    <n v="1"/>
    <n v="63"/>
    <s v=""/>
    <m/>
  </r>
  <r>
    <n v="3087679"/>
    <x v="29"/>
    <s v="06-10-002-000"/>
    <x v="0"/>
    <n v="555.55999999999995"/>
    <n v="0"/>
    <n v="555.55999999999995"/>
    <n v="10000"/>
    <n v="100"/>
    <s v="AMPM49"/>
    <x v="72"/>
    <s v="Energia-A49-Marz"/>
    <s v="Compras"/>
    <s v="xmaltez"/>
    <s v="PMTRX00085781"/>
    <n v="4974743"/>
    <n v="1"/>
    <n v="63"/>
    <s v=""/>
    <m/>
  </r>
  <r>
    <n v="3088463"/>
    <x v="30"/>
    <s v="06-10-002-000"/>
    <x v="0"/>
    <n v="292.99"/>
    <n v="0"/>
    <n v="292.99"/>
    <n v="10000"/>
    <n v="100"/>
    <s v="AMPM15"/>
    <x v="1"/>
    <s v="PLANTA ELECTRICA A15"/>
    <s v="SERV PLANTA ELECTRICA A15"/>
    <s v="xmaltez"/>
    <s v="PMTRX00085875"/>
    <n v="4975504"/>
    <n v="1"/>
    <n v="15"/>
    <s v=""/>
    <m/>
  </r>
  <r>
    <n v="3088466"/>
    <x v="31"/>
    <s v="06-10-002-000"/>
    <x v="0"/>
    <n v="36.409999999999997"/>
    <n v="0"/>
    <n v="36.409999999999997"/>
    <n v="10000"/>
    <n v="100"/>
    <s v="AMPM49"/>
    <x v="72"/>
    <s v="ENERGIA ROTULO A 49"/>
    <s v="26021221337 A49"/>
    <s v="xmaltez"/>
    <s v="PMTRX00085875"/>
    <n v="4975507"/>
    <n v="1"/>
    <n v="63"/>
    <s v=""/>
    <m/>
  </r>
  <r>
    <n v="3128197"/>
    <x v="32"/>
    <s v="06-10-002-000"/>
    <x v="0"/>
    <n v="2746.82"/>
    <n v="0"/>
    <n v="2746.82"/>
    <n v="10000"/>
    <n v="100"/>
    <s v="AMPM15"/>
    <x v="1"/>
    <s v="ALQUILER A15  ABRIL"/>
    <s v="ALQUILER A15  ABRIL"/>
    <s v="xmaltez"/>
    <s v="PMTRX00086304"/>
    <n v="5008502"/>
    <n v="1"/>
    <n v="15"/>
    <s v=""/>
    <m/>
  </r>
  <r>
    <n v="3128209"/>
    <x v="32"/>
    <s v="06-10-002-000"/>
    <x v="0"/>
    <n v="807.57"/>
    <n v="0"/>
    <n v="807.57"/>
    <n v="10000"/>
    <n v="100"/>
    <s v="AMPM28"/>
    <x v="2"/>
    <s v="ALQUILER A28  ABRIL"/>
    <s v="PLANTA ELECTRICA A28"/>
    <s v="xmaltez"/>
    <s v="PMTRX00086305"/>
    <n v="5008513"/>
    <n v="1"/>
    <n v="35"/>
    <s v=""/>
    <m/>
  </r>
  <r>
    <n v="3128230"/>
    <x v="33"/>
    <s v="06-10-002-000"/>
    <x v="0"/>
    <n v="11945.02"/>
    <n v="0"/>
    <n v="11945.02"/>
    <n v="10000"/>
    <n v="100"/>
    <s v="AMPM26"/>
    <x v="7"/>
    <s v="GASTOS COMUNES A26"/>
    <s v="ENERGIA A26 ABRIL"/>
    <s v="xmaltez"/>
    <s v="PMTRX00086306"/>
    <n v="5008534"/>
    <n v="1"/>
    <n v="26"/>
    <s v=""/>
    <m/>
  </r>
  <r>
    <n v="3130072"/>
    <x v="34"/>
    <s v="06-10-002-000"/>
    <x v="0"/>
    <n v="30696.23"/>
    <n v="0"/>
    <n v="30696.23"/>
    <n v="10000"/>
    <n v="100"/>
    <s v="PANADE"/>
    <x v="0"/>
    <s v="ENERGIA PANADE ABRIL"/>
    <s v="ENERGIA PANADE ABRIL"/>
    <s v="xmaltez"/>
    <s v="PMTRX00086394"/>
    <n v="5010108"/>
    <n v="1"/>
    <n v="32"/>
    <s v=""/>
    <m/>
  </r>
  <r>
    <n v="3131174"/>
    <x v="35"/>
    <s v="06-10-002-000"/>
    <x v="0"/>
    <n v="63360.14"/>
    <n v="0"/>
    <n v="63360.14"/>
    <n v="10000"/>
    <n v="100"/>
    <s v="AMPM76"/>
    <x v="6"/>
    <s v="ENERGIA ABRIL A76"/>
    <s v="ENERGIA ABRIL A76"/>
    <s v="xmaltez"/>
    <s v="PMTRX00086395"/>
    <n v="5010841"/>
    <n v="1"/>
    <n v="93"/>
    <s v=""/>
    <m/>
  </r>
  <r>
    <n v="3131175"/>
    <x v="35"/>
    <s v="06-10-002-000"/>
    <x v="0"/>
    <n v="43578.11"/>
    <n v="0"/>
    <n v="43578.11"/>
    <n v="10000"/>
    <n v="100"/>
    <s v="AMPM68"/>
    <x v="5"/>
    <s v="ENERGIA ABRIL A68"/>
    <s v="ENERGIA ABRIL A68"/>
    <s v="xmaltez"/>
    <s v="PMTRX00086395"/>
    <n v="5010842"/>
    <n v="1"/>
    <n v="84"/>
    <s v=""/>
    <m/>
  </r>
  <r>
    <n v="3131176"/>
    <x v="35"/>
    <s v="06-10-002-000"/>
    <x v="0"/>
    <n v="4340.24"/>
    <n v="0"/>
    <n v="4340.24"/>
    <n v="10000"/>
    <n v="100"/>
    <s v="AMPM57"/>
    <x v="4"/>
    <s v="ENERGIA A57 ABRIL"/>
    <s v="ENERGIA A57 ABRIL"/>
    <s v="xmaltez"/>
    <s v="PMTRX00086395"/>
    <n v="5010843"/>
    <n v="1"/>
    <n v="73"/>
    <s v=""/>
    <m/>
  </r>
  <r>
    <n v="3131177"/>
    <x v="35"/>
    <s v="06-10-002-000"/>
    <x v="0"/>
    <n v="46857.39"/>
    <n v="0"/>
    <n v="46857.39"/>
    <n v="10000"/>
    <n v="100"/>
    <s v="AMPM57"/>
    <x v="4"/>
    <s v="ENERGIA A57 ABRIL"/>
    <s v="ENERGIA A57 ABRIL"/>
    <s v="xmaltez"/>
    <s v="PMTRX00086395"/>
    <n v="5010844"/>
    <n v="1"/>
    <n v="73"/>
    <s v=""/>
    <m/>
  </r>
  <r>
    <n v="3131178"/>
    <x v="35"/>
    <s v="06-10-002-000"/>
    <x v="0"/>
    <n v="52529.93"/>
    <n v="0"/>
    <n v="52529.93"/>
    <n v="10000"/>
    <n v="100"/>
    <s v="AMPM80"/>
    <x v="3"/>
    <s v="ENERGIA A80 ABRIL"/>
    <s v="ENERGIA A80 ABRIL"/>
    <s v="xmaltez"/>
    <s v="PMTRX00086395"/>
    <n v="5010845"/>
    <n v="1"/>
    <n v="98"/>
    <s v=""/>
    <m/>
  </r>
  <r>
    <n v="3139400"/>
    <x v="36"/>
    <s v="06-10-002-000"/>
    <x v="0"/>
    <n v="2171.89"/>
    <n v="0"/>
    <n v="2171.89"/>
    <n v="10000"/>
    <n v="100"/>
    <s v="AMPM15"/>
    <x v="1"/>
    <s v="AREAS COMUNES A15"/>
    <s v="ENERGIA A15 ABRIL"/>
    <s v="xmaltez"/>
    <s v="PMTRX00086503"/>
    <n v="5015475"/>
    <n v="1"/>
    <n v="15"/>
    <s v=""/>
    <m/>
  </r>
  <r>
    <n v="3170679"/>
    <x v="37"/>
    <s v="06-10-002-000"/>
    <x v="0"/>
    <n v="549.36"/>
    <n v="0"/>
    <n v="549.36"/>
    <n v="10000"/>
    <n v="100"/>
    <s v="AMPM27"/>
    <x v="8"/>
    <s v="ALQUILER BODEGA A27"/>
    <s v="ENERGIA A27"/>
    <s v="xmaltez"/>
    <s v="PMTRX00087004"/>
    <n v="5043444"/>
    <n v="1"/>
    <n v="34"/>
    <s v=""/>
    <m/>
  </r>
  <r>
    <n v="3192030"/>
    <x v="38"/>
    <s v="06-10-002-000"/>
    <x v="0"/>
    <n v="732.49"/>
    <n v="0"/>
    <n v="732.49"/>
    <n v="10000"/>
    <n v="100"/>
    <s v="AMPM15"/>
    <x v="1"/>
    <s v="PLANTA  ELECTRICA A15"/>
    <s v="PLANTA  ELECTRICA A15"/>
    <s v="xmaltez"/>
    <s v="PMTRX00087306"/>
    <n v="5062851"/>
    <n v="1"/>
    <n v="15"/>
    <s v=""/>
    <m/>
  </r>
  <r>
    <n v="3197707"/>
    <x v="39"/>
    <s v="06-10-002-000"/>
    <x v="0"/>
    <n v="183"/>
    <n v="0"/>
    <n v="183"/>
    <n v="10000"/>
    <n v="100"/>
    <s v="AMPM29"/>
    <x v="58"/>
    <s v="Energia-A29-Abril"/>
    <s v="Compras"/>
    <s v="xmaltez"/>
    <s v="PMTRX00087457"/>
    <n v="5067312"/>
    <n v="1"/>
    <n v="36"/>
    <s v=""/>
    <m/>
  </r>
  <r>
    <n v="3197708"/>
    <x v="39"/>
    <s v="06-10-002-000"/>
    <x v="0"/>
    <n v="136.16999999999999"/>
    <n v="0"/>
    <n v="136.16999999999999"/>
    <n v="10000"/>
    <n v="100"/>
    <s v="AMPM19"/>
    <x v="56"/>
    <s v="Energia-A19-Abril"/>
    <s v="Compras"/>
    <s v="xmaltez"/>
    <s v="PMTRX00087457"/>
    <n v="5067313"/>
    <n v="1"/>
    <n v="19"/>
    <s v=""/>
    <m/>
  </r>
  <r>
    <n v="3197709"/>
    <x v="39"/>
    <s v="06-10-002-000"/>
    <x v="0"/>
    <n v="70765.600000000006"/>
    <n v="0"/>
    <n v="70765.600000000006"/>
    <n v="10000"/>
    <n v="100"/>
    <s v="AMPM87"/>
    <x v="89"/>
    <s v="Energia-A83-Abril"/>
    <s v="Compras"/>
    <s v="xmaltez"/>
    <s v="PMTRX00087457"/>
    <n v="5067314"/>
    <n v="1"/>
    <n v="103"/>
    <s v=""/>
    <m/>
  </r>
  <r>
    <n v="3197710"/>
    <x v="39"/>
    <s v="06-10-002-000"/>
    <x v="0"/>
    <n v="2160.38"/>
    <n v="0"/>
    <n v="2160.38"/>
    <n v="10000"/>
    <n v="100"/>
    <s v="AMPM39"/>
    <x v="31"/>
    <s v="Energia-A39-Abril"/>
    <s v="Compras"/>
    <s v="xmaltez"/>
    <s v="PMTRX00087457"/>
    <n v="5067315"/>
    <n v="1"/>
    <n v="48"/>
    <s v=""/>
    <m/>
  </r>
  <r>
    <n v="3197711"/>
    <x v="39"/>
    <s v="06-10-002-000"/>
    <x v="0"/>
    <n v="134.94999999999999"/>
    <n v="0"/>
    <n v="134.94999999999999"/>
    <n v="10000"/>
    <n v="100"/>
    <s v="AMPM19"/>
    <x v="56"/>
    <s v="Energia-A19-Abril"/>
    <s v="Compras"/>
    <s v="xmaltez"/>
    <s v="PMTRX00087457"/>
    <n v="5067316"/>
    <n v="1"/>
    <n v="19"/>
    <s v=""/>
    <m/>
  </r>
  <r>
    <n v="3197712"/>
    <x v="39"/>
    <s v="06-10-002-000"/>
    <x v="0"/>
    <n v="58719.37"/>
    <n v="0"/>
    <n v="58719.37"/>
    <n v="10000"/>
    <n v="100"/>
    <s v="AMPM88"/>
    <x v="9"/>
    <s v="Energia-A86-Abril"/>
    <s v="Compras"/>
    <s v="xmaltez"/>
    <s v="PMTRX00087457"/>
    <n v="5067317"/>
    <n v="1"/>
    <n v="102"/>
    <s v=""/>
    <m/>
  </r>
  <r>
    <n v="3197713"/>
    <x v="39"/>
    <s v="06-10-002-000"/>
    <x v="0"/>
    <n v="555.55999999999995"/>
    <n v="0"/>
    <n v="555.55999999999995"/>
    <n v="10000"/>
    <n v="100"/>
    <s v="AMPM49"/>
    <x v="72"/>
    <s v="Energia-A50-Abril"/>
    <s v="Compras"/>
    <s v="xmaltez"/>
    <s v="PMTRX00087457"/>
    <n v="5067318"/>
    <n v="1"/>
    <n v="63"/>
    <s v=""/>
    <m/>
  </r>
  <r>
    <n v="3197714"/>
    <x v="39"/>
    <s v="06-10-002-000"/>
    <x v="0"/>
    <n v="525.03"/>
    <n v="0"/>
    <n v="525.03"/>
    <n v="10000"/>
    <n v="100"/>
    <s v="AMPM49"/>
    <x v="72"/>
    <s v="Energia-A49-Abril"/>
    <s v="Compras"/>
    <s v="xmaltez"/>
    <s v="PMTRX00087457"/>
    <n v="5067319"/>
    <n v="1"/>
    <n v="63"/>
    <s v=""/>
    <m/>
  </r>
  <r>
    <n v="3197715"/>
    <x v="39"/>
    <s v="06-10-002-000"/>
    <x v="0"/>
    <n v="50368.18"/>
    <n v="0"/>
    <n v="50368.18"/>
    <n v="10000"/>
    <n v="100"/>
    <s v="AMPM86"/>
    <x v="88"/>
    <s v="Energia-A82-Abril"/>
    <s v="Compras"/>
    <s v="xmaltez"/>
    <s v="PMTRX00087457"/>
    <n v="5067320"/>
    <n v="1"/>
    <n v="104"/>
    <s v=""/>
    <m/>
  </r>
  <r>
    <n v="3197716"/>
    <x v="39"/>
    <s v="06-10-002-000"/>
    <x v="0"/>
    <n v="3056.78"/>
    <n v="0"/>
    <n v="3056.78"/>
    <n v="10000"/>
    <n v="100"/>
    <s v="AMPM47"/>
    <x v="60"/>
    <s v="Energia-A47-Abril"/>
    <s v="Compras"/>
    <s v="xmaltez"/>
    <s v="PMTRX00087457"/>
    <n v="5067321"/>
    <n v="1"/>
    <n v="61"/>
    <s v=""/>
    <m/>
  </r>
  <r>
    <n v="3197717"/>
    <x v="39"/>
    <s v="06-10-002-000"/>
    <x v="0"/>
    <n v="535.07000000000005"/>
    <n v="0"/>
    <n v="535.07000000000005"/>
    <n v="10000"/>
    <n v="100"/>
    <s v="AMPM03"/>
    <x v="61"/>
    <s v="Energia-A03-Abril"/>
    <s v="Compras"/>
    <s v="xmaltez"/>
    <s v="PMTRX00087457"/>
    <n v="5067322"/>
    <n v="1"/>
    <n v="3"/>
    <s v=""/>
    <m/>
  </r>
  <r>
    <n v="3197718"/>
    <x v="39"/>
    <s v="06-10-002-000"/>
    <x v="0"/>
    <n v="1979.01"/>
    <n v="0"/>
    <n v="1979.01"/>
    <n v="10000"/>
    <n v="100"/>
    <s v="AMPM35"/>
    <x v="14"/>
    <s v="Energia-A35-Abril"/>
    <s v="Compras"/>
    <s v="xmaltez"/>
    <s v="PMTRX00087457"/>
    <n v="5067323"/>
    <n v="1"/>
    <n v="43"/>
    <s v=""/>
    <m/>
  </r>
  <r>
    <n v="3197719"/>
    <x v="39"/>
    <s v="06-10-002-000"/>
    <x v="0"/>
    <n v="63051.55"/>
    <n v="0"/>
    <n v="63051.55"/>
    <n v="10000"/>
    <n v="100"/>
    <s v="AMPM44"/>
    <x v="38"/>
    <s v="Energia-A44-Abril"/>
    <s v="Compras"/>
    <s v="xmaltez"/>
    <s v="PMTRX00087457"/>
    <n v="5067324"/>
    <n v="1"/>
    <n v="57"/>
    <s v=""/>
    <m/>
  </r>
  <r>
    <n v="3197720"/>
    <x v="39"/>
    <s v="06-10-002-000"/>
    <x v="0"/>
    <n v="62318.43"/>
    <n v="0"/>
    <n v="62318.43"/>
    <n v="10000"/>
    <n v="100"/>
    <s v="AMPM47"/>
    <x v="60"/>
    <s v="Energia-A47-Abril"/>
    <s v="Compras"/>
    <s v="xmaltez"/>
    <s v="PMTRX00087457"/>
    <n v="5067325"/>
    <n v="1"/>
    <n v="61"/>
    <s v=""/>
    <m/>
  </r>
  <r>
    <n v="3197721"/>
    <x v="39"/>
    <s v="06-10-002-000"/>
    <x v="0"/>
    <n v="71171.34"/>
    <n v="0"/>
    <n v="71171.34"/>
    <n v="10000"/>
    <n v="100"/>
    <s v="AMPM55"/>
    <x v="37"/>
    <s v="Energia-A56-Abril"/>
    <s v="Compras"/>
    <s v="xmaltez"/>
    <s v="PMTRX00087457"/>
    <n v="5067326"/>
    <n v="1"/>
    <n v="71"/>
    <s v=""/>
    <m/>
  </r>
  <r>
    <n v="3197722"/>
    <x v="39"/>
    <s v="06-10-002-000"/>
    <x v="0"/>
    <n v="64362.47"/>
    <n v="0"/>
    <n v="64362.47"/>
    <n v="10000"/>
    <n v="100"/>
    <s v="AMPM46"/>
    <x v="34"/>
    <s v="Energia-A46-Abril"/>
    <s v="Compras"/>
    <s v="xmaltez"/>
    <s v="PMTRX00087457"/>
    <n v="5067327"/>
    <n v="1"/>
    <n v="60"/>
    <s v=""/>
    <m/>
  </r>
  <r>
    <n v="3197723"/>
    <x v="39"/>
    <s v="06-10-002-000"/>
    <x v="0"/>
    <n v="48503.71"/>
    <n v="0"/>
    <n v="48503.71"/>
    <n v="10000"/>
    <n v="100"/>
    <s v="AMPM64"/>
    <x v="19"/>
    <s v="Energia-A63-Abril"/>
    <s v="Compras"/>
    <s v="xmaltez"/>
    <s v="PMTRX00087457"/>
    <n v="5067328"/>
    <n v="1"/>
    <n v="80"/>
    <s v=""/>
    <m/>
  </r>
  <r>
    <n v="3197724"/>
    <x v="39"/>
    <s v="06-10-002-000"/>
    <x v="0"/>
    <n v="55165.74"/>
    <n v="0"/>
    <n v="55165.74"/>
    <n v="10000"/>
    <n v="100"/>
    <s v="AMPM50"/>
    <x v="70"/>
    <s v="Energia-A51-Abril"/>
    <s v="Compras"/>
    <s v="xmaltez"/>
    <s v="PMTRX00087457"/>
    <n v="5067329"/>
    <n v="1"/>
    <n v="28"/>
    <s v=""/>
    <m/>
  </r>
  <r>
    <n v="3197725"/>
    <x v="39"/>
    <s v="06-10-002-000"/>
    <x v="0"/>
    <n v="69155.22"/>
    <n v="0"/>
    <n v="69155.22"/>
    <n v="10000"/>
    <n v="100"/>
    <s v="AMPM58"/>
    <x v="46"/>
    <s v="Energia-A57-Abril"/>
    <s v="Compras"/>
    <s v="xmaltez"/>
    <s v="PMTRX00087457"/>
    <n v="5067330"/>
    <n v="1"/>
    <n v="74"/>
    <s v=""/>
    <m/>
  </r>
  <r>
    <n v="3197726"/>
    <x v="39"/>
    <s v="06-10-002-000"/>
    <x v="0"/>
    <n v="2256.33"/>
    <n v="0"/>
    <n v="2256.33"/>
    <n v="10000"/>
    <n v="100"/>
    <s v="AMPM67"/>
    <x v="80"/>
    <s v="Energia-A67-Abril"/>
    <s v="Compras"/>
    <s v="xmaltez"/>
    <s v="PMTRX00087457"/>
    <n v="5067331"/>
    <n v="1"/>
    <n v="83"/>
    <s v=""/>
    <m/>
  </r>
  <r>
    <n v="3197727"/>
    <x v="39"/>
    <s v="06-10-002-000"/>
    <x v="0"/>
    <n v="2362.42"/>
    <n v="0"/>
    <n v="2362.42"/>
    <n v="10000"/>
    <n v="100"/>
    <s v="AMPM41"/>
    <x v="24"/>
    <s v="Energia-A41-Abril"/>
    <s v="Compras"/>
    <s v="xmaltez"/>
    <s v="PMTRX00087457"/>
    <n v="5067332"/>
    <n v="1"/>
    <n v="50"/>
    <s v=""/>
    <m/>
  </r>
  <r>
    <n v="3197728"/>
    <x v="39"/>
    <s v="06-10-002-000"/>
    <x v="0"/>
    <n v="1889.87"/>
    <n v="0"/>
    <n v="1889.87"/>
    <n v="10000"/>
    <n v="100"/>
    <s v="AMPM12"/>
    <x v="51"/>
    <s v="Energia-A12-Abril"/>
    <s v="Compras"/>
    <s v="xmaltez"/>
    <s v="PMTRX00087457"/>
    <n v="5067333"/>
    <n v="1"/>
    <n v="12"/>
    <s v=""/>
    <m/>
  </r>
  <r>
    <n v="3197729"/>
    <x v="39"/>
    <s v="06-10-002-000"/>
    <x v="0"/>
    <n v="2086.7399999999998"/>
    <n v="0"/>
    <n v="2086.7399999999998"/>
    <n v="10000"/>
    <n v="100"/>
    <s v="AMPM13"/>
    <x v="54"/>
    <s v="Energia-A13-Abril"/>
    <s v="Compras"/>
    <s v="xmaltez"/>
    <s v="PMTRX00087457"/>
    <n v="5067334"/>
    <n v="1"/>
    <n v="13"/>
    <s v=""/>
    <m/>
  </r>
  <r>
    <n v="3197730"/>
    <x v="39"/>
    <s v="06-10-002-000"/>
    <x v="0"/>
    <n v="80092.88"/>
    <n v="0"/>
    <n v="80092.88"/>
    <n v="10000"/>
    <n v="100"/>
    <s v="AMPM13"/>
    <x v="54"/>
    <s v="Energia-A13-Abril"/>
    <s v="Compras"/>
    <s v="xmaltez"/>
    <s v="PMTRX00087457"/>
    <n v="5067335"/>
    <n v="1"/>
    <n v="13"/>
    <s v=""/>
    <m/>
  </r>
  <r>
    <n v="3197731"/>
    <x v="39"/>
    <s v="06-10-002-000"/>
    <x v="0"/>
    <n v="134.13999999999999"/>
    <n v="0"/>
    <n v="134.13999999999999"/>
    <n v="10000"/>
    <n v="100"/>
    <s v="AMPM28"/>
    <x v="2"/>
    <s v="Energia-A28-Abril"/>
    <s v="Compras"/>
    <s v="xmaltez"/>
    <s v="PMTRX00087457"/>
    <n v="5067336"/>
    <n v="1"/>
    <n v="35"/>
    <s v=""/>
    <m/>
  </r>
  <r>
    <n v="3197732"/>
    <x v="39"/>
    <s v="06-10-002-000"/>
    <x v="0"/>
    <n v="55534.62"/>
    <n v="0"/>
    <n v="55534.62"/>
    <n v="10000"/>
    <n v="100"/>
    <s v="AMPM28"/>
    <x v="2"/>
    <s v="Energia-A28-Abril"/>
    <s v="Compras"/>
    <s v="xmaltez"/>
    <s v="PMTRX00087457"/>
    <n v="5067337"/>
    <n v="1"/>
    <n v="35"/>
    <s v=""/>
    <m/>
  </r>
  <r>
    <n v="3197733"/>
    <x v="39"/>
    <s v="06-10-002-000"/>
    <x v="0"/>
    <n v="305.14"/>
    <n v="0"/>
    <n v="305.14"/>
    <n v="10000"/>
    <n v="100"/>
    <s v="AMPM01"/>
    <x v="25"/>
    <s v="Energia-A01-Abril"/>
    <s v="Compras"/>
    <s v="xmaltez"/>
    <s v="PMTRX00087457"/>
    <n v="5067338"/>
    <n v="1"/>
    <n v="1"/>
    <s v=""/>
    <m/>
  </r>
  <r>
    <n v="3197734"/>
    <x v="39"/>
    <s v="06-10-002-000"/>
    <x v="0"/>
    <n v="470.04"/>
    <n v="0"/>
    <n v="470.04"/>
    <n v="10000"/>
    <n v="100"/>
    <s v="AMPM07"/>
    <x v="44"/>
    <s v="Energia-A07-Abril"/>
    <s v="Compras"/>
    <s v="xmaltez"/>
    <s v="PMTRX00087457"/>
    <n v="5067339"/>
    <n v="1"/>
    <n v="7"/>
    <s v=""/>
    <m/>
  </r>
  <r>
    <n v="3197735"/>
    <x v="39"/>
    <s v="06-10-002-000"/>
    <x v="0"/>
    <n v="56933.11"/>
    <n v="0"/>
    <n v="56933.11"/>
    <n v="10000"/>
    <n v="100"/>
    <s v="AMPM02"/>
    <x v="28"/>
    <s v="Energia-A02-Abril"/>
    <s v="Compras"/>
    <s v="xmaltez"/>
    <s v="PMTRX00087457"/>
    <n v="5067340"/>
    <n v="1"/>
    <n v="2"/>
    <s v=""/>
    <m/>
  </r>
  <r>
    <n v="3197736"/>
    <x v="39"/>
    <s v="06-10-002-000"/>
    <x v="0"/>
    <n v="50095.44"/>
    <n v="0"/>
    <n v="50095.44"/>
    <n v="10000"/>
    <n v="100"/>
    <s v="AMPM15"/>
    <x v="1"/>
    <s v="Energia-A15-Abril"/>
    <s v="Compras"/>
    <s v="xmaltez"/>
    <s v="PMTRX00087457"/>
    <n v="5067341"/>
    <n v="1"/>
    <n v="15"/>
    <s v=""/>
    <m/>
  </r>
  <r>
    <n v="3197737"/>
    <x v="39"/>
    <s v="06-10-002-000"/>
    <x v="0"/>
    <n v="950.57"/>
    <n v="0"/>
    <n v="950.57"/>
    <n v="10000"/>
    <n v="100"/>
    <s v="AMPM15"/>
    <x v="1"/>
    <s v="Energia-A15-Abril"/>
    <s v="Compras"/>
    <s v="xmaltez"/>
    <s v="PMTRX00087457"/>
    <n v="5067342"/>
    <n v="1"/>
    <n v="15"/>
    <s v=""/>
    <m/>
  </r>
  <r>
    <n v="3197738"/>
    <x v="39"/>
    <s v="06-10-002-000"/>
    <x v="0"/>
    <n v="76880.89"/>
    <n v="0"/>
    <n v="76880.89"/>
    <n v="10000"/>
    <n v="100"/>
    <s v="AMPM07"/>
    <x v="44"/>
    <s v="Energia-A07-Abril"/>
    <s v="Compras"/>
    <s v="xmaltez"/>
    <s v="PMTRX00087457"/>
    <n v="5067343"/>
    <n v="1"/>
    <n v="7"/>
    <s v=""/>
    <m/>
  </r>
  <r>
    <n v="3197739"/>
    <x v="39"/>
    <s v="06-10-002-000"/>
    <x v="0"/>
    <n v="22127.27"/>
    <n v="0"/>
    <n v="22127.27"/>
    <n v="10000"/>
    <n v="100"/>
    <s v="AMPM08"/>
    <x v="47"/>
    <s v="Energia-A08-Abril"/>
    <s v="Compras"/>
    <s v="xmaltez"/>
    <s v="PMTRX00087457"/>
    <n v="5067344"/>
    <n v="1"/>
    <n v="8"/>
    <s v=""/>
    <m/>
  </r>
  <r>
    <n v="3197740"/>
    <x v="39"/>
    <s v="06-10-002-000"/>
    <x v="0"/>
    <n v="36014.86"/>
    <n v="0"/>
    <n v="36014.86"/>
    <n v="10000"/>
    <n v="100"/>
    <s v="AMPM08"/>
    <x v="47"/>
    <s v="Energia-A08-Abril"/>
    <s v="Compras"/>
    <s v="xmaltez"/>
    <s v="PMTRX00087457"/>
    <n v="5067345"/>
    <n v="1"/>
    <n v="8"/>
    <s v=""/>
    <m/>
  </r>
  <r>
    <n v="3197741"/>
    <x v="39"/>
    <s v="06-10-002-000"/>
    <x v="0"/>
    <n v="57701.69"/>
    <n v="0"/>
    <n v="57701.69"/>
    <n v="10000"/>
    <n v="100"/>
    <s v="AMPM69"/>
    <x v="30"/>
    <s v="Energia-A67-Abril"/>
    <s v="Compras"/>
    <s v="xmaltez"/>
    <s v="PMTRX00087457"/>
    <n v="5067346"/>
    <n v="1"/>
    <n v="85"/>
    <s v=""/>
    <m/>
  </r>
  <r>
    <n v="3197742"/>
    <x v="39"/>
    <s v="06-10-002-000"/>
    <x v="0"/>
    <n v="43946.46"/>
    <n v="0"/>
    <n v="43946.46"/>
    <n v="10000"/>
    <n v="100"/>
    <s v="AMPM35"/>
    <x v="14"/>
    <s v="Energia-A35-Abril"/>
    <s v="Compras"/>
    <s v="xmaltez"/>
    <s v="PMTRX00087457"/>
    <n v="5067347"/>
    <n v="1"/>
    <n v="43"/>
    <s v=""/>
    <m/>
  </r>
  <r>
    <n v="3197743"/>
    <x v="39"/>
    <s v="06-10-002-000"/>
    <x v="0"/>
    <n v="67311.539999999994"/>
    <n v="0"/>
    <n v="67311.539999999994"/>
    <n v="10000"/>
    <n v="100"/>
    <s v="AMPM74"/>
    <x v="40"/>
    <s v="Energia-A72-Abril"/>
    <s v="Compras"/>
    <s v="xmaltez"/>
    <s v="PMTRX00087457"/>
    <n v="5067348"/>
    <n v="1"/>
    <n v="90"/>
    <s v=""/>
    <m/>
  </r>
  <r>
    <n v="3197744"/>
    <x v="39"/>
    <s v="06-10-002-000"/>
    <x v="0"/>
    <n v="67588.22"/>
    <n v="0"/>
    <n v="67588.22"/>
    <n v="10000"/>
    <n v="100"/>
    <s v="AMPM29"/>
    <x v="58"/>
    <s v="Energia-A29-Abril"/>
    <s v="Compras"/>
    <s v="xmaltez"/>
    <s v="PMTRX00087457"/>
    <n v="5067349"/>
    <n v="1"/>
    <n v="36"/>
    <s v=""/>
    <m/>
  </r>
  <r>
    <n v="3197745"/>
    <x v="39"/>
    <s v="06-10-002-000"/>
    <x v="0"/>
    <n v="63778.16"/>
    <n v="0"/>
    <n v="63778.16"/>
    <n v="10000"/>
    <n v="100"/>
    <s v="AMPM04"/>
    <x v="26"/>
    <s v="Energia-A04-Abril"/>
    <s v="Compras"/>
    <s v="xmaltez"/>
    <s v="PMTRX00087457"/>
    <n v="5067350"/>
    <n v="1"/>
    <n v="4"/>
    <s v=""/>
    <m/>
  </r>
  <r>
    <n v="3197746"/>
    <x v="39"/>
    <s v="06-10-002-000"/>
    <x v="0"/>
    <n v="60488.97"/>
    <n v="0"/>
    <n v="60488.97"/>
    <n v="10000"/>
    <n v="100"/>
    <s v="AMPM06"/>
    <x v="13"/>
    <s v="Energia-A06-Abril"/>
    <s v="Compras"/>
    <s v="xmaltez"/>
    <s v="PMTRX00087457"/>
    <n v="5067351"/>
    <n v="1"/>
    <n v="6"/>
    <s v=""/>
    <m/>
  </r>
  <r>
    <n v="3197747"/>
    <x v="39"/>
    <s v="06-10-002-000"/>
    <x v="0"/>
    <n v="67387.399999999994"/>
    <n v="0"/>
    <n v="67387.399999999994"/>
    <n v="10000"/>
    <n v="100"/>
    <s v="AMPM16"/>
    <x v="43"/>
    <s v="Energia-A16-Abril"/>
    <s v="Compras"/>
    <s v="xmaltez"/>
    <s v="PMTRX00087457"/>
    <n v="5067352"/>
    <n v="1"/>
    <n v="16"/>
    <s v=""/>
    <m/>
  </r>
  <r>
    <n v="3197748"/>
    <x v="39"/>
    <s v="06-10-002-000"/>
    <x v="0"/>
    <n v="82331.839999999997"/>
    <n v="0"/>
    <n v="82331.839999999997"/>
    <n v="10000"/>
    <n v="100"/>
    <s v="AMPM38"/>
    <x v="41"/>
    <s v="Energia-A38-Abril"/>
    <s v="Compras"/>
    <s v="xmaltez"/>
    <s v="PMTRX00087457"/>
    <n v="5067353"/>
    <n v="1"/>
    <n v="47"/>
    <s v=""/>
    <m/>
  </r>
  <r>
    <n v="3197749"/>
    <x v="39"/>
    <s v="06-10-002-000"/>
    <x v="0"/>
    <n v="2410.64"/>
    <n v="0"/>
    <n v="2410.64"/>
    <n v="10000"/>
    <n v="100"/>
    <s v="AMPM38"/>
    <x v="41"/>
    <s v="Energia-A38-Abril"/>
    <s v="Compras"/>
    <s v="xmaltez"/>
    <s v="PMTRX00087457"/>
    <n v="5067354"/>
    <n v="1"/>
    <n v="47"/>
    <s v=""/>
    <m/>
  </r>
  <r>
    <n v="3197750"/>
    <x v="39"/>
    <s v="06-10-002-000"/>
    <x v="0"/>
    <n v="80468.800000000003"/>
    <n v="0"/>
    <n v="80468.800000000003"/>
    <n v="10000"/>
    <n v="100"/>
    <s v="AMPM79"/>
    <x v="82"/>
    <s v="Energia-A76-Abril"/>
    <s v="Compras"/>
    <s v="xmaltez"/>
    <s v="PMTRX00087457"/>
    <n v="5067355"/>
    <n v="1"/>
    <n v="95"/>
    <s v=""/>
    <m/>
  </r>
  <r>
    <n v="3197751"/>
    <x v="39"/>
    <s v="06-10-002-000"/>
    <x v="0"/>
    <n v="90026.4"/>
    <n v="0"/>
    <n v="90026.4"/>
    <n v="10000"/>
    <n v="100"/>
    <s v="AMPM65"/>
    <x v="78"/>
    <s v="Energia-A64-Abril"/>
    <s v="Compras"/>
    <s v="xmaltez"/>
    <s v="PMTRX00087457"/>
    <n v="5067356"/>
    <n v="1"/>
    <n v="81"/>
    <s v=""/>
    <m/>
  </r>
  <r>
    <n v="3197752"/>
    <x v="39"/>
    <s v="06-10-002-000"/>
    <x v="0"/>
    <n v="80456.289999999994"/>
    <n v="0"/>
    <n v="80456.289999999994"/>
    <n v="10000"/>
    <n v="100"/>
    <s v="AMPM81"/>
    <x v="83"/>
    <s v="Energia-A77-Abril"/>
    <s v="Compras"/>
    <s v="xmaltez"/>
    <s v="PMTRX00087457"/>
    <n v="5067357"/>
    <n v="1"/>
    <n v="99"/>
    <s v=""/>
    <m/>
  </r>
  <r>
    <n v="3197753"/>
    <x v="39"/>
    <s v="06-10-002-000"/>
    <x v="0"/>
    <n v="3641.04"/>
    <n v="0"/>
    <n v="3641.04"/>
    <n v="10000"/>
    <n v="100"/>
    <s v="AMPM18"/>
    <x v="55"/>
    <s v="Energia-A18-Abril"/>
    <s v="Compras"/>
    <s v="xmaltez"/>
    <s v="PMTRX00087457"/>
    <n v="5067358"/>
    <n v="1"/>
    <n v="18"/>
    <s v=""/>
    <m/>
  </r>
  <r>
    <n v="3197754"/>
    <x v="39"/>
    <s v="06-10-002-000"/>
    <x v="0"/>
    <n v="1971.33"/>
    <n v="0"/>
    <n v="1971.33"/>
    <n v="10000"/>
    <n v="100"/>
    <s v="AMPM45"/>
    <x v="68"/>
    <s v="Energia-A45-Abril"/>
    <s v="Compras"/>
    <s v="xmaltez"/>
    <s v="PMTRX00087457"/>
    <n v="5067359"/>
    <n v="1"/>
    <n v="59"/>
    <s v=""/>
    <m/>
  </r>
  <r>
    <n v="3197755"/>
    <x v="39"/>
    <s v="06-10-002-000"/>
    <x v="0"/>
    <n v="68905.31"/>
    <n v="0"/>
    <n v="68905.31"/>
    <n v="10000"/>
    <n v="100"/>
    <s v="AMPM32"/>
    <x v="65"/>
    <s v="Energia-A32-Abril"/>
    <s v="Compras"/>
    <s v="xmaltez"/>
    <s v="PMTRX00087457"/>
    <n v="5067360"/>
    <n v="1"/>
    <n v="40"/>
    <s v=""/>
    <m/>
  </r>
  <r>
    <n v="3197756"/>
    <x v="39"/>
    <s v="06-10-002-000"/>
    <x v="0"/>
    <n v="75766.570000000007"/>
    <n v="0"/>
    <n v="75766.570000000007"/>
    <n v="10000"/>
    <n v="100"/>
    <s v="AMPM71"/>
    <x v="52"/>
    <s v="Energia-A69-Abril"/>
    <s v="Compras"/>
    <s v="xmaltez"/>
    <s v="PMTRX00087457"/>
    <n v="5067361"/>
    <n v="1"/>
    <n v="86"/>
    <s v=""/>
    <m/>
  </r>
  <r>
    <n v="3197757"/>
    <x v="39"/>
    <s v="06-10-002-000"/>
    <x v="0"/>
    <n v="72103.72"/>
    <n v="0"/>
    <n v="72103.72"/>
    <n v="10000"/>
    <n v="100"/>
    <s v="AMPM82"/>
    <x v="84"/>
    <s v="Energia-A78-Abril"/>
    <s v="Compras"/>
    <s v="xmaltez"/>
    <s v="PMTRX00087457"/>
    <n v="5067362"/>
    <n v="1"/>
    <n v="96"/>
    <s v=""/>
    <m/>
  </r>
  <r>
    <n v="3197758"/>
    <x v="39"/>
    <s v="06-10-002-000"/>
    <x v="0"/>
    <n v="81357.91"/>
    <n v="0"/>
    <n v="81357.91"/>
    <n v="10000"/>
    <n v="100"/>
    <s v="AMPM54"/>
    <x v="18"/>
    <s v="Energia-A55-Abril"/>
    <s v="Compras"/>
    <s v="xmaltez"/>
    <s v="PMTRX00087457"/>
    <n v="5067363"/>
    <n v="1"/>
    <n v="70"/>
    <s v=""/>
    <m/>
  </r>
  <r>
    <n v="3197759"/>
    <x v="39"/>
    <s v="06-10-002-000"/>
    <x v="0"/>
    <n v="77674.63"/>
    <n v="0"/>
    <n v="77674.63"/>
    <n v="10000"/>
    <n v="100"/>
    <s v="AMPM51"/>
    <x v="71"/>
    <s v="Energia-A51-Abril"/>
    <s v="Compras"/>
    <s v="xmaltez"/>
    <s v="PMTRX00087457"/>
    <n v="5067364"/>
    <n v="1"/>
    <n v="65"/>
    <s v=""/>
    <m/>
  </r>
  <r>
    <n v="3197760"/>
    <x v="39"/>
    <s v="06-10-002-000"/>
    <x v="0"/>
    <n v="1822.49"/>
    <n v="0"/>
    <n v="1822.49"/>
    <n v="10000"/>
    <n v="100"/>
    <s v="AMPM51"/>
    <x v="71"/>
    <s v="Energia-A52-Abril"/>
    <s v="Compras"/>
    <s v="xmaltez"/>
    <s v="PMTRX00087457"/>
    <n v="5067365"/>
    <n v="1"/>
    <n v="65"/>
    <s v=""/>
    <m/>
  </r>
  <r>
    <n v="3197761"/>
    <x v="39"/>
    <s v="06-10-002-000"/>
    <x v="0"/>
    <n v="71949.570000000007"/>
    <n v="0"/>
    <n v="71949.570000000007"/>
    <n v="10000"/>
    <n v="100"/>
    <s v="AMPM25"/>
    <x v="62"/>
    <s v="Energia-A25-Abril"/>
    <s v="Compras"/>
    <s v="xmaltez"/>
    <s v="PMTRX00087457"/>
    <n v="5067366"/>
    <n v="1"/>
    <n v="25"/>
    <s v=""/>
    <m/>
  </r>
  <r>
    <n v="3197762"/>
    <x v="39"/>
    <s v="06-10-002-000"/>
    <x v="0"/>
    <n v="69093.149999999994"/>
    <n v="0"/>
    <n v="69093.149999999994"/>
    <n v="10000"/>
    <n v="100"/>
    <s v="AMPM63"/>
    <x v="32"/>
    <s v="Energia-A62-Abril"/>
    <s v="Compras"/>
    <s v="xmaltez"/>
    <s v="PMTRX00087457"/>
    <n v="5067367"/>
    <n v="1"/>
    <n v="79"/>
    <s v=""/>
    <m/>
  </r>
  <r>
    <n v="3197763"/>
    <x v="39"/>
    <s v="06-10-002-000"/>
    <x v="0"/>
    <n v="96271.4"/>
    <n v="0"/>
    <n v="96271.4"/>
    <n v="10000"/>
    <n v="100"/>
    <s v="AMPM33"/>
    <x v="11"/>
    <s v="Energia-A33-Abril"/>
    <s v="Compras"/>
    <s v="xmaltez"/>
    <s v="PMTRX00087457"/>
    <n v="5067368"/>
    <n v="1"/>
    <n v="39"/>
    <s v=""/>
    <m/>
  </r>
  <r>
    <n v="3197764"/>
    <x v="39"/>
    <s v="06-10-002-000"/>
    <x v="0"/>
    <n v="68354.33"/>
    <n v="0"/>
    <n v="68354.33"/>
    <n v="10000"/>
    <n v="100"/>
    <s v="AMPM41"/>
    <x v="24"/>
    <s v="Energia-A41-Abril"/>
    <s v="Compras"/>
    <s v="xmaltez"/>
    <s v="PMTRX00087457"/>
    <n v="5067369"/>
    <n v="1"/>
    <n v="50"/>
    <s v=""/>
    <m/>
  </r>
  <r>
    <n v="3197765"/>
    <x v="39"/>
    <s v="06-10-002-000"/>
    <x v="0"/>
    <n v="81530.38"/>
    <n v="0"/>
    <n v="81530.38"/>
    <n v="10000"/>
    <n v="100"/>
    <s v="AMPM78"/>
    <x v="81"/>
    <s v="Energia-A75-Abril"/>
    <s v="Compras"/>
    <s v="xmaltez"/>
    <s v="PMTRX00087457"/>
    <n v="5067370"/>
    <n v="1"/>
    <n v="94"/>
    <s v=""/>
    <m/>
  </r>
  <r>
    <n v="3197766"/>
    <x v="39"/>
    <s v="06-10-002-000"/>
    <x v="0"/>
    <n v="77175.92"/>
    <n v="0"/>
    <n v="77175.92"/>
    <n v="10000"/>
    <n v="100"/>
    <s v="AMPM61"/>
    <x v="75"/>
    <s v="Energia-A60-Abril"/>
    <s v="Compras"/>
    <s v="xmaltez"/>
    <s v="PMTRX00087457"/>
    <n v="5067371"/>
    <n v="1"/>
    <n v="77"/>
    <s v=""/>
    <m/>
  </r>
  <r>
    <n v="3197767"/>
    <x v="39"/>
    <s v="06-10-002-000"/>
    <x v="0"/>
    <n v="64306.11"/>
    <n v="0"/>
    <n v="64306.11"/>
    <n v="10000"/>
    <n v="100"/>
    <s v="AMPM75"/>
    <x v="36"/>
    <s v="Energia-A73-Abril"/>
    <s v="Compras"/>
    <s v="xmaltez"/>
    <s v="PMTRX00087457"/>
    <n v="5067372"/>
    <n v="1"/>
    <n v="91"/>
    <s v=""/>
    <m/>
  </r>
  <r>
    <n v="3197768"/>
    <x v="39"/>
    <s v="06-10-002-000"/>
    <x v="0"/>
    <n v="81029.48"/>
    <n v="0"/>
    <n v="81029.48"/>
    <n v="10000"/>
    <n v="100"/>
    <s v="AMPM30"/>
    <x v="39"/>
    <s v="Energia-A30-Abril"/>
    <s v="Compras"/>
    <s v="xmaltez"/>
    <s v="PMTRX00087457"/>
    <n v="5067373"/>
    <n v="1"/>
    <n v="37"/>
    <s v=""/>
    <m/>
  </r>
  <r>
    <n v="3197769"/>
    <x v="39"/>
    <s v="06-10-002-000"/>
    <x v="0"/>
    <n v="65279.46"/>
    <n v="0"/>
    <n v="65279.46"/>
    <n v="10000"/>
    <n v="100"/>
    <s v="AMPM84"/>
    <x v="29"/>
    <s v="Energia-A80-Abril"/>
    <s v="Compras"/>
    <s v="xmaltez"/>
    <s v="PMTRX00087457"/>
    <n v="5067374"/>
    <n v="1"/>
    <n v="100"/>
    <s v=""/>
    <m/>
  </r>
  <r>
    <n v="3197770"/>
    <x v="39"/>
    <s v="06-10-002-000"/>
    <x v="0"/>
    <n v="88538.5"/>
    <n v="0"/>
    <n v="88538.5"/>
    <n v="10000"/>
    <n v="100"/>
    <s v="AMPM27"/>
    <x v="8"/>
    <s v="Energia-A27-Abril"/>
    <s v="Compras"/>
    <s v="xmaltez"/>
    <s v="PMTRX00087457"/>
    <n v="5067375"/>
    <n v="1"/>
    <n v="34"/>
    <s v=""/>
    <m/>
  </r>
  <r>
    <n v="3197771"/>
    <x v="39"/>
    <s v="06-10-002-000"/>
    <x v="0"/>
    <n v="2006.87"/>
    <n v="0"/>
    <n v="2006.87"/>
    <n v="10000"/>
    <n v="100"/>
    <s v="AMPM27"/>
    <x v="8"/>
    <s v="Energia-A27-Abril"/>
    <s v="Compras"/>
    <s v="xmaltez"/>
    <s v="PMTRX00087457"/>
    <n v="5067376"/>
    <n v="1"/>
    <n v="34"/>
    <s v=""/>
    <m/>
  </r>
  <r>
    <n v="3197772"/>
    <x v="39"/>
    <s v="06-10-002-000"/>
    <x v="0"/>
    <n v="61181.74"/>
    <n v="0"/>
    <n v="61181.74"/>
    <n v="10000"/>
    <n v="100"/>
    <s v="AMPM19"/>
    <x v="56"/>
    <s v="Energia-A19-Abril"/>
    <s v="Compras"/>
    <s v="xmaltez"/>
    <s v="PMTRX00087457"/>
    <n v="5067377"/>
    <n v="1"/>
    <n v="19"/>
    <s v=""/>
    <m/>
  </r>
  <r>
    <n v="3197773"/>
    <x v="39"/>
    <s v="06-10-002-000"/>
    <x v="0"/>
    <n v="61209.94"/>
    <n v="0"/>
    <n v="61209.94"/>
    <n v="10000"/>
    <n v="100"/>
    <s v="AMPM10"/>
    <x v="45"/>
    <s v="Energia-A10-Abril"/>
    <s v="Compras"/>
    <s v="xmaltez"/>
    <s v="PMTRX00087457"/>
    <n v="5067378"/>
    <n v="1"/>
    <n v="10"/>
    <s v=""/>
    <m/>
  </r>
  <r>
    <n v="3197774"/>
    <x v="39"/>
    <s v="06-10-002-000"/>
    <x v="0"/>
    <n v="45361.98"/>
    <n v="0"/>
    <n v="45361.98"/>
    <n v="10000"/>
    <n v="100"/>
    <s v="AMPM01"/>
    <x v="25"/>
    <s v="Energia-A01-Abril"/>
    <s v="Compras"/>
    <s v="xmaltez"/>
    <s v="PMTRX00087457"/>
    <n v="5067379"/>
    <n v="1"/>
    <n v="1"/>
    <s v=""/>
    <m/>
  </r>
  <r>
    <n v="3197775"/>
    <x v="39"/>
    <s v="06-10-002-000"/>
    <x v="0"/>
    <n v="56761.8"/>
    <n v="0"/>
    <n v="56761.8"/>
    <n v="10000"/>
    <n v="100"/>
    <s v="AMPM52"/>
    <x v="16"/>
    <s v="Energia-A53-Abril"/>
    <s v="Compras"/>
    <s v="xmaltez"/>
    <s v="PMTRX00087457"/>
    <n v="5067380"/>
    <n v="1"/>
    <n v="66"/>
    <s v=""/>
    <m/>
  </r>
  <r>
    <n v="3197776"/>
    <x v="39"/>
    <s v="06-10-002-000"/>
    <x v="0"/>
    <n v="71791.210000000006"/>
    <n v="0"/>
    <n v="71791.210000000006"/>
    <n v="10000"/>
    <n v="100"/>
    <s v="AMPM73"/>
    <x v="17"/>
    <s v="Energia-A71-Abril"/>
    <s v="Compras"/>
    <s v="xmaltez"/>
    <s v="PMTRX00087457"/>
    <n v="5067381"/>
    <n v="1"/>
    <n v="89"/>
    <s v=""/>
    <m/>
  </r>
  <r>
    <n v="3197777"/>
    <x v="39"/>
    <s v="06-10-002-000"/>
    <x v="0"/>
    <n v="69123.91"/>
    <n v="0"/>
    <n v="69123.91"/>
    <n v="10000"/>
    <n v="100"/>
    <s v="AMPM20"/>
    <x v="57"/>
    <s v="Energia-A20-Abril"/>
    <s v="Compras"/>
    <s v="xmaltez"/>
    <s v="PMTRX00087457"/>
    <n v="5067382"/>
    <n v="1"/>
    <n v="20"/>
    <s v=""/>
    <m/>
  </r>
  <r>
    <n v="3197778"/>
    <x v="39"/>
    <s v="06-10-002-000"/>
    <x v="0"/>
    <n v="59144.51"/>
    <n v="0"/>
    <n v="59144.51"/>
    <n v="10000"/>
    <n v="100"/>
    <s v="AMPM37"/>
    <x v="49"/>
    <s v="Energia-A37-Abril"/>
    <s v="Compras"/>
    <s v="xmaltez"/>
    <s v="PMTRX00087457"/>
    <n v="5067383"/>
    <n v="1"/>
    <n v="42"/>
    <s v=""/>
    <m/>
  </r>
  <r>
    <n v="3197779"/>
    <x v="39"/>
    <s v="06-10-002-000"/>
    <x v="0"/>
    <n v="85395.34"/>
    <n v="0"/>
    <n v="85395.34"/>
    <n v="10000"/>
    <n v="100"/>
    <s v="AMPM34"/>
    <x v="85"/>
    <s v="Energia-A34-Abril"/>
    <s v="Compras"/>
    <s v="xmaltez"/>
    <s v="PMTRX00087457"/>
    <n v="5067384"/>
    <n v="1"/>
    <n v="41"/>
    <s v=""/>
    <m/>
  </r>
  <r>
    <n v="3197780"/>
    <x v="39"/>
    <s v="06-10-002-000"/>
    <x v="0"/>
    <n v="3225.54"/>
    <n v="0"/>
    <n v="3225.54"/>
    <n v="10000"/>
    <n v="100"/>
    <s v="AMPM01"/>
    <x v="25"/>
    <s v="Energia-A01-Abril"/>
    <s v="Compras"/>
    <s v="xmaltez"/>
    <s v="PMTRX00087457"/>
    <n v="5067385"/>
    <n v="1"/>
    <n v="1"/>
    <s v=""/>
    <m/>
  </r>
  <r>
    <n v="3197781"/>
    <x v="39"/>
    <s v="06-10-002-000"/>
    <x v="0"/>
    <n v="65215.39"/>
    <n v="0"/>
    <n v="65215.39"/>
    <n v="10000"/>
    <n v="100"/>
    <s v="AMPM49"/>
    <x v="72"/>
    <s v="Energia-A49-Abril"/>
    <s v="Compras"/>
    <s v="xmaltez"/>
    <s v="PMTRX00087457"/>
    <n v="5067386"/>
    <n v="1"/>
    <n v="63"/>
    <s v=""/>
    <m/>
  </r>
  <r>
    <n v="3197782"/>
    <x v="39"/>
    <s v="06-10-002-000"/>
    <x v="0"/>
    <n v="57507.360000000001"/>
    <n v="0"/>
    <n v="57507.360000000001"/>
    <n v="10000"/>
    <n v="100"/>
    <s v="AMPM43"/>
    <x v="35"/>
    <s v="Energia-A43-Abril"/>
    <s v="Compras"/>
    <s v="xmaltez"/>
    <s v="PMTRX00087457"/>
    <n v="5067387"/>
    <n v="1"/>
    <n v="58"/>
    <s v=""/>
    <m/>
  </r>
  <r>
    <n v="3197783"/>
    <x v="39"/>
    <s v="06-10-002-000"/>
    <x v="0"/>
    <n v="56651.62"/>
    <n v="0"/>
    <n v="56651.62"/>
    <n v="10000"/>
    <n v="100"/>
    <s v="AMPM88"/>
    <x v="9"/>
    <s v="Energia-A85-Abril"/>
    <s v="Compras"/>
    <s v="xmaltez"/>
    <s v="PMTRX00087457"/>
    <n v="5067388"/>
    <n v="1"/>
    <n v="102"/>
    <s v=""/>
    <m/>
  </r>
  <r>
    <n v="3197784"/>
    <x v="39"/>
    <s v="06-10-002-000"/>
    <x v="0"/>
    <n v="57212.62"/>
    <n v="0"/>
    <n v="57212.62"/>
    <n v="10000"/>
    <n v="100"/>
    <s v="AMPM39"/>
    <x v="31"/>
    <s v="Energia-A39-Abril"/>
    <s v="Compras"/>
    <s v="xmaltez"/>
    <s v="PMTRX00087457"/>
    <n v="5067389"/>
    <n v="1"/>
    <n v="48"/>
    <s v=""/>
    <m/>
  </r>
  <r>
    <n v="3197785"/>
    <x v="39"/>
    <s v="06-10-002-000"/>
    <x v="0"/>
    <n v="82541.86"/>
    <n v="0"/>
    <n v="82541.86"/>
    <n v="10000"/>
    <n v="100"/>
    <s v="AMPM12"/>
    <x v="51"/>
    <s v="Energia-A12-Abril"/>
    <s v="Compras"/>
    <s v="xmaltez"/>
    <s v="PMTRX00087457"/>
    <n v="5067390"/>
    <n v="1"/>
    <n v="12"/>
    <s v=""/>
    <m/>
  </r>
  <r>
    <n v="3197786"/>
    <x v="39"/>
    <s v="06-10-002-000"/>
    <x v="0"/>
    <n v="10066.02"/>
    <n v="0"/>
    <n v="10066.02"/>
    <n v="10000"/>
    <n v="100"/>
    <s v="AMPM14"/>
    <x v="53"/>
    <s v="Energia-A14-Abril"/>
    <s v="Compras"/>
    <s v="xmaltez"/>
    <s v="PMTRX00087457"/>
    <n v="5067391"/>
    <n v="1"/>
    <n v="14"/>
    <s v=""/>
    <m/>
  </r>
  <r>
    <n v="3197787"/>
    <x v="39"/>
    <s v="06-10-002-000"/>
    <x v="0"/>
    <n v="1089.07"/>
    <n v="0"/>
    <n v="1089.07"/>
    <n v="10000"/>
    <n v="100"/>
    <s v="AMPM14"/>
    <x v="53"/>
    <s v="Energia-A14-Abril"/>
    <s v="Compras"/>
    <s v="xmaltez"/>
    <s v="PMTRX00087457"/>
    <n v="5067392"/>
    <n v="1"/>
    <n v="14"/>
    <s v=""/>
    <m/>
  </r>
  <r>
    <n v="3197788"/>
    <x v="39"/>
    <s v="06-10-002-000"/>
    <x v="0"/>
    <n v="28686.78"/>
    <n v="0"/>
    <n v="28686.78"/>
    <n v="10000"/>
    <n v="100"/>
    <s v="AMPM14"/>
    <x v="53"/>
    <s v="Energia-A14-Abril"/>
    <s v="Compras"/>
    <s v="xmaltez"/>
    <s v="PMTRX00087457"/>
    <n v="5067393"/>
    <n v="1"/>
    <n v="14"/>
    <s v=""/>
    <m/>
  </r>
  <r>
    <n v="3197789"/>
    <x v="39"/>
    <s v="06-10-002-000"/>
    <x v="0"/>
    <n v="64991.79"/>
    <n v="0"/>
    <n v="64991.79"/>
    <n v="10000"/>
    <n v="100"/>
    <s v="AMPM03"/>
    <x v="61"/>
    <s v="Energia-A03-Abril"/>
    <s v="Compras"/>
    <s v="xmaltez"/>
    <s v="PMTRX00087457"/>
    <n v="5067394"/>
    <n v="1"/>
    <n v="3"/>
    <s v=""/>
    <m/>
  </r>
  <r>
    <n v="3197790"/>
    <x v="39"/>
    <s v="06-10-002-000"/>
    <x v="0"/>
    <n v="69976.28"/>
    <n v="0"/>
    <n v="69976.28"/>
    <n v="10000"/>
    <n v="100"/>
    <s v="AMPM83"/>
    <x v="15"/>
    <s v="Energia-A79-Abril"/>
    <s v="Compras"/>
    <s v="xmaltez"/>
    <s v="PMTRX00087457"/>
    <n v="5067395"/>
    <n v="1"/>
    <n v="97"/>
    <s v=""/>
    <m/>
  </r>
  <r>
    <n v="3197791"/>
    <x v="39"/>
    <s v="06-10-002-000"/>
    <x v="0"/>
    <n v="14723.61"/>
    <n v="0"/>
    <n v="14723.61"/>
    <n v="10000"/>
    <n v="100"/>
    <s v="ADMON"/>
    <x v="48"/>
    <s v="Energia-ADMON-Abril"/>
    <s v="Compras"/>
    <s v="xmaltez"/>
    <s v="PMTRX00087457"/>
    <n v="5067396"/>
    <n v="1"/>
    <n v="27"/>
    <s v=""/>
    <m/>
  </r>
  <r>
    <n v="3197792"/>
    <x v="39"/>
    <s v="06-10-002-000"/>
    <x v="0"/>
    <n v="24159.16"/>
    <n v="0"/>
    <n v="24159.16"/>
    <n v="10000"/>
    <n v="100"/>
    <s v="ADMON"/>
    <x v="48"/>
    <s v="Energia-ADMON-Abril"/>
    <s v="Compras"/>
    <s v="xmaltez"/>
    <s v="PMTRX00087457"/>
    <n v="5067397"/>
    <n v="1"/>
    <n v="27"/>
    <s v=""/>
    <m/>
  </r>
  <r>
    <n v="3197793"/>
    <x v="39"/>
    <s v="06-10-002-000"/>
    <x v="0"/>
    <n v="10204.52"/>
    <n v="0"/>
    <n v="10204.52"/>
    <n v="10000"/>
    <n v="100"/>
    <s v="ADMON"/>
    <x v="48"/>
    <s v="Energia-ADMON-Abril"/>
    <s v="Compras"/>
    <s v="xmaltez"/>
    <s v="PMTRX00087457"/>
    <n v="5067398"/>
    <n v="1"/>
    <n v="27"/>
    <s v=""/>
    <m/>
  </r>
  <r>
    <n v="3197794"/>
    <x v="39"/>
    <s v="06-10-002-000"/>
    <x v="0"/>
    <n v="16335.85"/>
    <n v="0"/>
    <n v="16335.85"/>
    <n v="10000"/>
    <n v="100"/>
    <s v="ADMON"/>
    <x v="48"/>
    <s v="Energia-ADMON-Abril"/>
    <s v="Compras"/>
    <s v="xmaltez"/>
    <s v="PMTRX00087457"/>
    <n v="5067399"/>
    <n v="1"/>
    <n v="27"/>
    <s v=""/>
    <m/>
  </r>
  <r>
    <n v="3197795"/>
    <x v="39"/>
    <s v="06-10-002-000"/>
    <x v="0"/>
    <n v="72845.149999999994"/>
    <n v="0"/>
    <n v="72845.149999999994"/>
    <n v="10000"/>
    <n v="100"/>
    <s v="AMPM45"/>
    <x v="68"/>
    <s v="Energia-A45-Abril"/>
    <s v="Compras"/>
    <s v="xmaltez"/>
    <s v="PMTRX00087457"/>
    <n v="5067400"/>
    <n v="1"/>
    <n v="59"/>
    <s v=""/>
    <m/>
  </r>
  <r>
    <n v="3197796"/>
    <x v="39"/>
    <s v="06-10-002-000"/>
    <x v="0"/>
    <n v="2053.81"/>
    <n v="0"/>
    <n v="2053.81"/>
    <n v="10000"/>
    <n v="100"/>
    <s v="AMPM40"/>
    <x v="67"/>
    <s v="Energia-A40-Abril"/>
    <s v="Compras"/>
    <s v="xmaltez"/>
    <s v="PMTRX00087457"/>
    <n v="5067401"/>
    <n v="1"/>
    <n v="49"/>
    <s v=""/>
    <m/>
  </r>
  <r>
    <n v="3197797"/>
    <x v="39"/>
    <s v="06-10-002-000"/>
    <x v="0"/>
    <n v="68977.05"/>
    <n v="0"/>
    <n v="68977.05"/>
    <n v="10000"/>
    <n v="100"/>
    <s v="AMPM60"/>
    <x v="76"/>
    <s v="Energia-A59-Abril"/>
    <s v="Compras"/>
    <s v="xmaltez"/>
    <s v="PMTRX00087457"/>
    <n v="5067402"/>
    <n v="1"/>
    <n v="76"/>
    <s v=""/>
    <m/>
  </r>
  <r>
    <n v="3197798"/>
    <x v="39"/>
    <s v="06-10-002-000"/>
    <x v="0"/>
    <n v="76969.3"/>
    <n v="0"/>
    <n v="76969.3"/>
    <n v="10000"/>
    <n v="100"/>
    <s v="AMPM67"/>
    <x v="80"/>
    <s v="Energia-A66-Abril"/>
    <s v="Compras"/>
    <s v="xmaltez"/>
    <s v="PMTRX00087457"/>
    <n v="5067403"/>
    <n v="1"/>
    <n v="83"/>
    <s v=""/>
    <m/>
  </r>
  <r>
    <n v="3197799"/>
    <x v="39"/>
    <s v="06-10-002-000"/>
    <x v="0"/>
    <n v="60678.04"/>
    <n v="0"/>
    <n v="60678.04"/>
    <n v="10000"/>
    <n v="100"/>
    <s v="AMPM05"/>
    <x v="12"/>
    <s v="Energia-A05-Abril"/>
    <s v="Compras"/>
    <s v="xmaltez"/>
    <s v="PMTRX00087457"/>
    <n v="5067404"/>
    <n v="1"/>
    <n v="5"/>
    <s v=""/>
    <m/>
  </r>
  <r>
    <n v="3197800"/>
    <x v="39"/>
    <s v="06-10-002-000"/>
    <x v="0"/>
    <n v="12589.16"/>
    <n v="0"/>
    <n v="12589.16"/>
    <n v="10000"/>
    <n v="100"/>
    <s v="ADMON"/>
    <x v="48"/>
    <s v="Energia-ADMON-Abril"/>
    <s v="Compras"/>
    <s v="xmaltez"/>
    <s v="PMTRX00087457"/>
    <n v="5067405"/>
    <n v="1"/>
    <n v="27"/>
    <s v=""/>
    <m/>
  </r>
  <r>
    <n v="3197801"/>
    <x v="39"/>
    <s v="06-10-002-000"/>
    <x v="0"/>
    <n v="51807.5"/>
    <n v="0"/>
    <n v="51807.5"/>
    <n v="10000"/>
    <n v="100"/>
    <s v="AMPM23"/>
    <x v="59"/>
    <s v="Energia-A23-Abril"/>
    <s v="Compras"/>
    <s v="xmaltez"/>
    <s v="PMTRX00087457"/>
    <n v="5067406"/>
    <n v="1"/>
    <n v="23"/>
    <s v=""/>
    <m/>
  </r>
  <r>
    <n v="3197802"/>
    <x v="39"/>
    <s v="06-10-002-000"/>
    <x v="0"/>
    <n v="58591.65"/>
    <n v="0"/>
    <n v="58591.65"/>
    <n v="10000"/>
    <n v="100"/>
    <s v="AMPM21"/>
    <x v="50"/>
    <s v="Energia-A21-Abril"/>
    <s v="Compras"/>
    <s v="xmaltez"/>
    <s v="PMTRX00087457"/>
    <n v="5067407"/>
    <n v="1"/>
    <n v="21"/>
    <s v=""/>
    <m/>
  </r>
  <r>
    <n v="3197803"/>
    <x v="39"/>
    <s v="06-10-002-000"/>
    <x v="0"/>
    <n v="63731.42"/>
    <n v="0"/>
    <n v="63731.42"/>
    <n v="10000"/>
    <n v="100"/>
    <s v="AMPM18"/>
    <x v="55"/>
    <s v="Energia-A18-Abril"/>
    <s v="Compras"/>
    <s v="xmaltez"/>
    <s v="PMTRX00087457"/>
    <n v="5067408"/>
    <n v="1"/>
    <n v="18"/>
    <s v=""/>
    <m/>
  </r>
  <r>
    <n v="3197804"/>
    <x v="39"/>
    <s v="06-10-002-000"/>
    <x v="0"/>
    <n v="317.36"/>
    <n v="0"/>
    <n v="317.36"/>
    <n v="10000"/>
    <n v="100"/>
    <s v="AMPM49"/>
    <x v="72"/>
    <s v="Energia-A49-Abril"/>
    <s v="Compras"/>
    <s v="xmaltez"/>
    <s v="PMTRX00087457"/>
    <n v="5067409"/>
    <n v="1"/>
    <n v="63"/>
    <s v=""/>
    <m/>
  </r>
  <r>
    <n v="3197805"/>
    <x v="39"/>
    <s v="06-10-002-000"/>
    <x v="0"/>
    <n v="70959"/>
    <n v="0"/>
    <n v="70959"/>
    <n v="10000"/>
    <n v="100"/>
    <s v="AMPM40"/>
    <x v="67"/>
    <s v="Energia-A40-Abril"/>
    <s v="Compras"/>
    <s v="xmaltez"/>
    <s v="PMTRX00087457"/>
    <n v="5067410"/>
    <n v="1"/>
    <n v="49"/>
    <s v=""/>
    <m/>
  </r>
  <r>
    <n v="3197806"/>
    <x v="39"/>
    <s v="06-10-002-000"/>
    <x v="0"/>
    <n v="61977.31"/>
    <n v="0"/>
    <n v="61977.31"/>
    <n v="10000"/>
    <n v="100"/>
    <s v="AMPM85"/>
    <x v="86"/>
    <s v="Energia-A81-Abril"/>
    <s v="Compras"/>
    <s v="xmaltez"/>
    <s v="PMTRX00087457"/>
    <n v="5067411"/>
    <n v="1"/>
    <n v="101"/>
    <s v=""/>
    <m/>
  </r>
  <r>
    <n v="3197807"/>
    <x v="39"/>
    <s v="06-10-002-000"/>
    <x v="0"/>
    <n v="2545.69"/>
    <n v="0"/>
    <n v="2545.69"/>
    <n v="10000"/>
    <n v="100"/>
    <s v="AMPM26"/>
    <x v="7"/>
    <s v="Energia-A26-Abril"/>
    <s v="Compras"/>
    <s v="xmaltez"/>
    <s v="PMTRX00087457"/>
    <n v="5067412"/>
    <n v="1"/>
    <n v="26"/>
    <s v=""/>
    <m/>
  </r>
  <r>
    <n v="3197808"/>
    <x v="39"/>
    <s v="06-10-002-000"/>
    <x v="0"/>
    <n v="54138.879999999997"/>
    <n v="0"/>
    <n v="54138.879999999997"/>
    <n v="10000"/>
    <n v="100"/>
    <s v="AMPM36"/>
    <x v="66"/>
    <s v="Energia-A36-Abril"/>
    <s v="Compras"/>
    <s v="xmaltez"/>
    <s v="PMTRX00087457"/>
    <n v="5067413"/>
    <n v="1"/>
    <n v="44"/>
    <s v=""/>
    <m/>
  </r>
  <r>
    <n v="3197809"/>
    <x v="39"/>
    <s v="06-10-002-000"/>
    <x v="0"/>
    <n v="103.75"/>
    <n v="0"/>
    <n v="103.75"/>
    <n v="10000"/>
    <n v="100"/>
    <s v="AMPM36"/>
    <x v="66"/>
    <s v="Energia-A36-Abril"/>
    <s v="Compras"/>
    <s v="xmaltez"/>
    <s v="PMTRX00087457"/>
    <n v="5067414"/>
    <n v="1"/>
    <n v="44"/>
    <s v=""/>
    <m/>
  </r>
  <r>
    <n v="3197810"/>
    <x v="39"/>
    <s v="06-10-002-000"/>
    <x v="0"/>
    <n v="55876.12"/>
    <n v="0"/>
    <n v="55876.12"/>
    <n v="10000"/>
    <n v="100"/>
    <s v="AMPM77"/>
    <x v="33"/>
    <s v="Energia-A74-Abril"/>
    <s v="Compras"/>
    <s v="xmaltez"/>
    <s v="PMTRX00087457"/>
    <n v="5067415"/>
    <n v="1"/>
    <n v="92"/>
    <s v=""/>
    <m/>
  </r>
  <r>
    <n v="3197811"/>
    <x v="39"/>
    <s v="06-10-002-000"/>
    <x v="0"/>
    <n v="59083.040000000001"/>
    <n v="0"/>
    <n v="59083.040000000001"/>
    <n v="10000"/>
    <n v="100"/>
    <s v="AMPM26"/>
    <x v="7"/>
    <s v="Energia-A26-Abril"/>
    <s v="Compras"/>
    <s v="xmaltez"/>
    <s v="PMTRX00087457"/>
    <n v="5067416"/>
    <n v="1"/>
    <n v="26"/>
    <s v=""/>
    <m/>
  </r>
  <r>
    <n v="3197812"/>
    <x v="39"/>
    <s v="06-10-002-000"/>
    <x v="0"/>
    <n v="59360.79"/>
    <n v="0"/>
    <n v="59360.79"/>
    <n v="10000"/>
    <n v="100"/>
    <s v="AMPM62"/>
    <x v="77"/>
    <s v="Energia-A61-Abril"/>
    <s v="Compras"/>
    <s v="xmaltez"/>
    <s v="PMTRX00087457"/>
    <n v="5067417"/>
    <n v="1"/>
    <n v="78"/>
    <s v=""/>
    <m/>
  </r>
  <r>
    <n v="3197813"/>
    <x v="39"/>
    <s v="06-10-002-000"/>
    <x v="0"/>
    <n v="66720.67"/>
    <n v="0"/>
    <n v="66720.67"/>
    <n v="10000"/>
    <n v="100"/>
    <s v="AMPM48"/>
    <x v="69"/>
    <s v="Energia-A48-Abril"/>
    <s v="Compras"/>
    <s v="xmaltez"/>
    <s v="PMTRX00087457"/>
    <n v="5067418"/>
    <n v="1"/>
    <n v="62"/>
    <s v=""/>
    <m/>
  </r>
  <r>
    <n v="3197814"/>
    <x v="39"/>
    <s v="06-10-002-000"/>
    <x v="0"/>
    <n v="56486.86"/>
    <n v="0"/>
    <n v="56486.86"/>
    <n v="10000"/>
    <n v="100"/>
    <s v="AMPM70"/>
    <x v="22"/>
    <s v="Energia-A68-Abril"/>
    <s v="Compras"/>
    <s v="xmaltez"/>
    <s v="PMTRX00087457"/>
    <n v="5067419"/>
    <n v="1"/>
    <n v="87"/>
    <s v=""/>
    <m/>
  </r>
  <r>
    <n v="3197815"/>
    <x v="39"/>
    <s v="06-10-002-000"/>
    <x v="0"/>
    <n v="50103.09"/>
    <n v="0"/>
    <n v="50103.09"/>
    <n v="10000"/>
    <n v="100"/>
    <s v="AMPM42"/>
    <x v="21"/>
    <s v="Energia-A42-Abril"/>
    <s v="Compras"/>
    <s v="xmaltez"/>
    <s v="PMTRX00087457"/>
    <n v="5067420"/>
    <n v="1"/>
    <n v="51"/>
    <s v=""/>
    <m/>
  </r>
  <r>
    <n v="3197816"/>
    <x v="39"/>
    <s v="06-10-002-000"/>
    <x v="0"/>
    <n v="889.94"/>
    <n v="0"/>
    <n v="889.94"/>
    <n v="10000"/>
    <n v="100"/>
    <s v="AMPM42"/>
    <x v="21"/>
    <s v="Energia-A42-Abril"/>
    <s v="Compras"/>
    <s v="xmaltez"/>
    <s v="PMTRX00087457"/>
    <n v="5067421"/>
    <n v="1"/>
    <n v="51"/>
    <s v=""/>
    <m/>
  </r>
  <r>
    <n v="3197817"/>
    <x v="39"/>
    <s v="06-10-002-000"/>
    <x v="0"/>
    <n v="79025.86"/>
    <n v="0"/>
    <n v="79025.86"/>
    <n v="10000"/>
    <n v="100"/>
    <s v="AMPM66"/>
    <x v="79"/>
    <s v="Energia-A65-Abril"/>
    <s v="Compras"/>
    <s v="xmaltez"/>
    <s v="PMTRX00087457"/>
    <n v="5067422"/>
    <n v="1"/>
    <n v="82"/>
    <s v=""/>
    <m/>
  </r>
  <r>
    <n v="3197818"/>
    <x v="39"/>
    <s v="06-10-002-000"/>
    <x v="0"/>
    <n v="41069.269999999997"/>
    <n v="0"/>
    <n v="41069.269999999997"/>
    <n v="10000"/>
    <n v="100"/>
    <s v="AMPM31"/>
    <x v="64"/>
    <s v="Energia-A31-Abril"/>
    <s v="Compras"/>
    <s v="xmaltez"/>
    <s v="PMTRX00087457"/>
    <n v="5067423"/>
    <n v="1"/>
    <n v="38"/>
    <s v=""/>
    <m/>
  </r>
  <r>
    <n v="3197819"/>
    <x v="39"/>
    <s v="06-10-002-000"/>
    <x v="0"/>
    <n v="61754.9"/>
    <n v="0"/>
    <n v="61754.9"/>
    <n v="10000"/>
    <n v="100"/>
    <s v="AMPM53"/>
    <x v="20"/>
    <s v="Energia-A54-Abril"/>
    <s v="Compras"/>
    <s v="xmaltez"/>
    <s v="PMTRX00087457"/>
    <n v="5067424"/>
    <n v="1"/>
    <n v="64"/>
    <s v=""/>
    <m/>
  </r>
  <r>
    <n v="3197820"/>
    <x v="39"/>
    <s v="06-10-002-000"/>
    <x v="0"/>
    <n v="61417.35"/>
    <n v="0"/>
    <n v="61417.35"/>
    <n v="10000"/>
    <n v="100"/>
    <s v="AMPM56"/>
    <x v="23"/>
    <s v="Energia-A57-Abril"/>
    <s v="Compras"/>
    <s v="xmaltez"/>
    <s v="PMTRX00087457"/>
    <n v="5067425"/>
    <n v="1"/>
    <n v="72"/>
    <s v=""/>
    <m/>
  </r>
  <r>
    <n v="3197821"/>
    <x v="39"/>
    <s v="06-10-002-000"/>
    <x v="0"/>
    <n v="61386.05"/>
    <n v="0"/>
    <n v="61386.05"/>
    <n v="10000"/>
    <n v="100"/>
    <s v="AMPM72"/>
    <x v="27"/>
    <s v="Energia-A70-Abril"/>
    <s v="Compras"/>
    <s v="xmaltez"/>
    <s v="PMTRX00087457"/>
    <n v="5067426"/>
    <n v="1"/>
    <n v="88"/>
    <s v=""/>
    <m/>
  </r>
  <r>
    <n v="3197822"/>
    <x v="39"/>
    <s v="06-10-002-000"/>
    <x v="0"/>
    <n v="50857.96"/>
    <n v="0"/>
    <n v="50857.96"/>
    <n v="10000"/>
    <n v="100"/>
    <s v="AMPM59"/>
    <x v="74"/>
    <s v="Energia-A58-Abril"/>
    <s v="Compras"/>
    <s v="xmaltez"/>
    <s v="PMTRX00087457"/>
    <n v="5067427"/>
    <n v="1"/>
    <n v="75"/>
    <s v=""/>
    <m/>
  </r>
  <r>
    <n v="3197823"/>
    <x v="39"/>
    <s v="06-10-002-000"/>
    <x v="0"/>
    <n v="81554.080000000002"/>
    <n v="0"/>
    <n v="81554.080000000002"/>
    <n v="10000"/>
    <n v="100"/>
    <s v="AMPM09"/>
    <x v="42"/>
    <s v="Energia-A09-Abril"/>
    <s v="Compras"/>
    <s v="xmaltez"/>
    <s v="PMTRX00087457"/>
    <n v="5067428"/>
    <n v="1"/>
    <n v="9"/>
    <s v=""/>
    <m/>
  </r>
  <r>
    <n v="3197884"/>
    <x v="39"/>
    <s v="06-10-002-000"/>
    <x v="0"/>
    <n v="0"/>
    <n v="183"/>
    <n v="-183"/>
    <n v="10000"/>
    <n v="100"/>
    <s v="AMPM29"/>
    <x v="58"/>
    <s v="Anul. trans. abierta"/>
    <s v="Compras"/>
    <s v="xmaltez"/>
    <s v="PMVVR00003559"/>
    <n v="5068109"/>
    <n v="1"/>
    <n v="36"/>
    <s v=""/>
    <m/>
  </r>
  <r>
    <n v="3197885"/>
    <x v="39"/>
    <s v="06-10-002-000"/>
    <x v="0"/>
    <n v="0"/>
    <n v="136.16999999999999"/>
    <n v="-136.16999999999999"/>
    <n v="10000"/>
    <n v="100"/>
    <s v="AMPM19"/>
    <x v="56"/>
    <s v="Anul. trans. abierta"/>
    <s v="Compras"/>
    <s v="xmaltez"/>
    <s v="PMVVR00003559"/>
    <n v="5068110"/>
    <n v="1"/>
    <n v="19"/>
    <s v=""/>
    <m/>
  </r>
  <r>
    <n v="3197886"/>
    <x v="39"/>
    <s v="06-10-002-000"/>
    <x v="0"/>
    <n v="0"/>
    <n v="70765.600000000006"/>
    <n v="-70765.600000000006"/>
    <n v="10000"/>
    <n v="100"/>
    <s v="AMPM87"/>
    <x v="89"/>
    <s v="Anul. trans. abierta"/>
    <s v="Compras"/>
    <s v="xmaltez"/>
    <s v="PMVVR00003559"/>
    <n v="5068111"/>
    <n v="1"/>
    <n v="103"/>
    <s v=""/>
    <m/>
  </r>
  <r>
    <n v="3197887"/>
    <x v="39"/>
    <s v="06-10-002-000"/>
    <x v="0"/>
    <n v="0"/>
    <n v="2160.38"/>
    <n v="-2160.38"/>
    <n v="10000"/>
    <n v="100"/>
    <s v="AMPM39"/>
    <x v="31"/>
    <s v="Anul. trans. abierta"/>
    <s v="Compras"/>
    <s v="xmaltez"/>
    <s v="PMVVR00003559"/>
    <n v="5068112"/>
    <n v="1"/>
    <n v="48"/>
    <s v=""/>
    <m/>
  </r>
  <r>
    <n v="3197888"/>
    <x v="39"/>
    <s v="06-10-002-000"/>
    <x v="0"/>
    <n v="0"/>
    <n v="134.94999999999999"/>
    <n v="-134.94999999999999"/>
    <n v="10000"/>
    <n v="100"/>
    <s v="AMPM19"/>
    <x v="56"/>
    <s v="Anul. trans. abierta"/>
    <s v="Compras"/>
    <s v="xmaltez"/>
    <s v="PMVVR00003559"/>
    <n v="5068113"/>
    <n v="1"/>
    <n v="19"/>
    <s v=""/>
    <m/>
  </r>
  <r>
    <n v="3197889"/>
    <x v="39"/>
    <s v="06-10-002-000"/>
    <x v="0"/>
    <n v="0"/>
    <n v="58719.37"/>
    <n v="-58719.37"/>
    <n v="10000"/>
    <n v="100"/>
    <s v="AMPM88"/>
    <x v="9"/>
    <s v="Anul. trans. abierta"/>
    <s v="Compras"/>
    <s v="xmaltez"/>
    <s v="PMVVR00003559"/>
    <n v="5068114"/>
    <n v="1"/>
    <n v="102"/>
    <s v=""/>
    <m/>
  </r>
  <r>
    <n v="3197890"/>
    <x v="39"/>
    <s v="06-10-002-000"/>
    <x v="0"/>
    <n v="0"/>
    <n v="555.55999999999995"/>
    <n v="-555.55999999999995"/>
    <n v="10000"/>
    <n v="100"/>
    <s v="AMPM49"/>
    <x v="72"/>
    <s v="Anul. trans. abierta"/>
    <s v="Compras"/>
    <s v="xmaltez"/>
    <s v="PMVVR00003559"/>
    <n v="5068115"/>
    <n v="1"/>
    <n v="63"/>
    <s v=""/>
    <m/>
  </r>
  <r>
    <n v="3197891"/>
    <x v="39"/>
    <s v="06-10-002-000"/>
    <x v="0"/>
    <n v="0"/>
    <n v="525.03"/>
    <n v="-525.03"/>
    <n v="10000"/>
    <n v="100"/>
    <s v="AMPM49"/>
    <x v="72"/>
    <s v="Anul. trans. abierta"/>
    <s v="Compras"/>
    <s v="xmaltez"/>
    <s v="PMVVR00003559"/>
    <n v="5068116"/>
    <n v="1"/>
    <n v="63"/>
    <s v=""/>
    <m/>
  </r>
  <r>
    <n v="3197892"/>
    <x v="39"/>
    <s v="06-10-002-000"/>
    <x v="0"/>
    <n v="0"/>
    <n v="50368.18"/>
    <n v="-50368.18"/>
    <n v="10000"/>
    <n v="100"/>
    <s v="AMPM86"/>
    <x v="88"/>
    <s v="Anul. trans. abierta"/>
    <s v="Compras"/>
    <s v="xmaltez"/>
    <s v="PMVVR00003559"/>
    <n v="5068117"/>
    <n v="1"/>
    <n v="104"/>
    <s v=""/>
    <m/>
  </r>
  <r>
    <n v="3197893"/>
    <x v="39"/>
    <s v="06-10-002-000"/>
    <x v="0"/>
    <n v="0"/>
    <n v="3056.78"/>
    <n v="-3056.78"/>
    <n v="10000"/>
    <n v="100"/>
    <s v="AMPM47"/>
    <x v="60"/>
    <s v="Anul. trans. abierta"/>
    <s v="Compras"/>
    <s v="xmaltez"/>
    <s v="PMVVR00003559"/>
    <n v="5068118"/>
    <n v="1"/>
    <n v="61"/>
    <s v=""/>
    <m/>
  </r>
  <r>
    <n v="3197894"/>
    <x v="39"/>
    <s v="06-10-002-000"/>
    <x v="0"/>
    <n v="0"/>
    <n v="535.07000000000005"/>
    <n v="-535.07000000000005"/>
    <n v="10000"/>
    <n v="100"/>
    <s v="AMPM03"/>
    <x v="61"/>
    <s v="Anul. trans. abierta"/>
    <s v="Compras"/>
    <s v="xmaltez"/>
    <s v="PMVVR00003559"/>
    <n v="5068119"/>
    <n v="1"/>
    <n v="3"/>
    <s v=""/>
    <m/>
  </r>
  <r>
    <n v="3197895"/>
    <x v="39"/>
    <s v="06-10-002-000"/>
    <x v="0"/>
    <n v="0"/>
    <n v="1979.01"/>
    <n v="-1979.01"/>
    <n v="10000"/>
    <n v="100"/>
    <s v="AMPM35"/>
    <x v="14"/>
    <s v="Anul. trans. abierta"/>
    <s v="Compras"/>
    <s v="xmaltez"/>
    <s v="PMVVR00003559"/>
    <n v="5068120"/>
    <n v="1"/>
    <n v="43"/>
    <s v=""/>
    <m/>
  </r>
  <r>
    <n v="3197896"/>
    <x v="39"/>
    <s v="06-10-002-000"/>
    <x v="0"/>
    <n v="0"/>
    <n v="63051.55"/>
    <n v="-63051.55"/>
    <n v="10000"/>
    <n v="100"/>
    <s v="AMPM44"/>
    <x v="38"/>
    <s v="Anul. trans. abierta"/>
    <s v="Compras"/>
    <s v="xmaltez"/>
    <s v="PMVVR00003559"/>
    <n v="5068121"/>
    <n v="1"/>
    <n v="57"/>
    <s v=""/>
    <m/>
  </r>
  <r>
    <n v="3197897"/>
    <x v="39"/>
    <s v="06-10-002-000"/>
    <x v="0"/>
    <n v="0"/>
    <n v="62318.43"/>
    <n v="-62318.43"/>
    <n v="10000"/>
    <n v="100"/>
    <s v="AMPM47"/>
    <x v="60"/>
    <s v="Anul. trans. abierta"/>
    <s v="Compras"/>
    <s v="xmaltez"/>
    <s v="PMVVR00003559"/>
    <n v="5068122"/>
    <n v="1"/>
    <n v="61"/>
    <s v=""/>
    <m/>
  </r>
  <r>
    <n v="3197898"/>
    <x v="39"/>
    <s v="06-10-002-000"/>
    <x v="0"/>
    <n v="0"/>
    <n v="71171.34"/>
    <n v="-71171.34"/>
    <n v="10000"/>
    <n v="100"/>
    <s v="AMPM55"/>
    <x v="37"/>
    <s v="Anul. trans. abierta"/>
    <s v="Compras"/>
    <s v="xmaltez"/>
    <s v="PMVVR00003559"/>
    <n v="5068123"/>
    <n v="1"/>
    <n v="71"/>
    <s v=""/>
    <m/>
  </r>
  <r>
    <n v="3197899"/>
    <x v="39"/>
    <s v="06-10-002-000"/>
    <x v="0"/>
    <n v="0"/>
    <n v="64362.47"/>
    <n v="-64362.47"/>
    <n v="10000"/>
    <n v="100"/>
    <s v="AMPM46"/>
    <x v="34"/>
    <s v="Anul. trans. abierta"/>
    <s v="Compras"/>
    <s v="xmaltez"/>
    <s v="PMVVR00003559"/>
    <n v="5068124"/>
    <n v="1"/>
    <n v="60"/>
    <s v=""/>
    <m/>
  </r>
  <r>
    <n v="3197900"/>
    <x v="39"/>
    <s v="06-10-002-000"/>
    <x v="0"/>
    <n v="0"/>
    <n v="48503.71"/>
    <n v="-48503.71"/>
    <n v="10000"/>
    <n v="100"/>
    <s v="AMPM64"/>
    <x v="19"/>
    <s v="Anul. trans. abierta"/>
    <s v="Compras"/>
    <s v="xmaltez"/>
    <s v="PMVVR00003559"/>
    <n v="5068125"/>
    <n v="1"/>
    <n v="80"/>
    <s v=""/>
    <m/>
  </r>
  <r>
    <n v="3197901"/>
    <x v="39"/>
    <s v="06-10-002-000"/>
    <x v="0"/>
    <n v="0"/>
    <n v="55165.74"/>
    <n v="-55165.74"/>
    <n v="10000"/>
    <n v="100"/>
    <s v="AMPM50"/>
    <x v="70"/>
    <s v="Anul. trans. abierta"/>
    <s v="Compras"/>
    <s v="xmaltez"/>
    <s v="PMVVR00003559"/>
    <n v="5068126"/>
    <n v="1"/>
    <n v="28"/>
    <s v=""/>
    <m/>
  </r>
  <r>
    <n v="3197902"/>
    <x v="39"/>
    <s v="06-10-002-000"/>
    <x v="0"/>
    <n v="0"/>
    <n v="69155.22"/>
    <n v="-69155.22"/>
    <n v="10000"/>
    <n v="100"/>
    <s v="AMPM58"/>
    <x v="46"/>
    <s v="Anul. trans. abierta"/>
    <s v="Compras"/>
    <s v="xmaltez"/>
    <s v="PMVVR00003559"/>
    <n v="5068127"/>
    <n v="1"/>
    <n v="74"/>
    <s v=""/>
    <m/>
  </r>
  <r>
    <n v="3197903"/>
    <x v="39"/>
    <s v="06-10-002-000"/>
    <x v="0"/>
    <n v="0"/>
    <n v="2256.33"/>
    <n v="-2256.33"/>
    <n v="10000"/>
    <n v="100"/>
    <s v="AMPM67"/>
    <x v="80"/>
    <s v="Anul. trans. abierta"/>
    <s v="Compras"/>
    <s v="xmaltez"/>
    <s v="PMVVR00003559"/>
    <n v="5068128"/>
    <n v="1"/>
    <n v="83"/>
    <s v=""/>
    <m/>
  </r>
  <r>
    <n v="3197904"/>
    <x v="39"/>
    <s v="06-10-002-000"/>
    <x v="0"/>
    <n v="0"/>
    <n v="2362.42"/>
    <n v="-2362.42"/>
    <n v="10000"/>
    <n v="100"/>
    <s v="AMPM41"/>
    <x v="24"/>
    <s v="Anul. trans. abierta"/>
    <s v="Compras"/>
    <s v="xmaltez"/>
    <s v="PMVVR00003559"/>
    <n v="5068129"/>
    <n v="1"/>
    <n v="50"/>
    <s v=""/>
    <m/>
  </r>
  <r>
    <n v="3197905"/>
    <x v="39"/>
    <s v="06-10-002-000"/>
    <x v="0"/>
    <n v="0"/>
    <n v="1889.87"/>
    <n v="-1889.87"/>
    <n v="10000"/>
    <n v="100"/>
    <s v="AMPM12"/>
    <x v="51"/>
    <s v="Anul. trans. abierta"/>
    <s v="Compras"/>
    <s v="xmaltez"/>
    <s v="PMVVR00003559"/>
    <n v="5068130"/>
    <n v="1"/>
    <n v="12"/>
    <s v=""/>
    <m/>
  </r>
  <r>
    <n v="3197906"/>
    <x v="39"/>
    <s v="06-10-002-000"/>
    <x v="0"/>
    <n v="0"/>
    <n v="2086.7399999999998"/>
    <n v="-2086.7399999999998"/>
    <n v="10000"/>
    <n v="100"/>
    <s v="AMPM13"/>
    <x v="54"/>
    <s v="Anul. trans. abierta"/>
    <s v="Compras"/>
    <s v="xmaltez"/>
    <s v="PMVVR00003559"/>
    <n v="5068131"/>
    <n v="1"/>
    <n v="13"/>
    <s v=""/>
    <m/>
  </r>
  <r>
    <n v="3197907"/>
    <x v="39"/>
    <s v="06-10-002-000"/>
    <x v="0"/>
    <n v="0"/>
    <n v="80092.88"/>
    <n v="-80092.88"/>
    <n v="10000"/>
    <n v="100"/>
    <s v="AMPM13"/>
    <x v="54"/>
    <s v="Anul. trans. abierta"/>
    <s v="Compras"/>
    <s v="xmaltez"/>
    <s v="PMVVR00003559"/>
    <n v="5068132"/>
    <n v="1"/>
    <n v="13"/>
    <s v=""/>
    <m/>
  </r>
  <r>
    <n v="3197908"/>
    <x v="39"/>
    <s v="06-10-002-000"/>
    <x v="0"/>
    <n v="0"/>
    <n v="134.13999999999999"/>
    <n v="-134.13999999999999"/>
    <n v="10000"/>
    <n v="100"/>
    <s v="AMPM28"/>
    <x v="2"/>
    <s v="Anul. trans. abierta"/>
    <s v="Compras"/>
    <s v="xmaltez"/>
    <s v="PMVVR00003559"/>
    <n v="5068133"/>
    <n v="1"/>
    <n v="35"/>
    <s v=""/>
    <m/>
  </r>
  <r>
    <n v="3197909"/>
    <x v="39"/>
    <s v="06-10-002-000"/>
    <x v="0"/>
    <n v="0"/>
    <n v="55534.62"/>
    <n v="-55534.62"/>
    <n v="10000"/>
    <n v="100"/>
    <s v="AMPM28"/>
    <x v="2"/>
    <s v="Anul. trans. abierta"/>
    <s v="Compras"/>
    <s v="xmaltez"/>
    <s v="PMVVR00003559"/>
    <n v="5068134"/>
    <n v="1"/>
    <n v="35"/>
    <s v=""/>
    <m/>
  </r>
  <r>
    <n v="3197910"/>
    <x v="39"/>
    <s v="06-10-002-000"/>
    <x v="0"/>
    <n v="0"/>
    <n v="305.14"/>
    <n v="-305.14"/>
    <n v="10000"/>
    <n v="100"/>
    <s v="AMPM01"/>
    <x v="25"/>
    <s v="Anul. trans. abierta"/>
    <s v="Compras"/>
    <s v="xmaltez"/>
    <s v="PMVVR00003559"/>
    <n v="5068135"/>
    <n v="1"/>
    <n v="1"/>
    <s v=""/>
    <m/>
  </r>
  <r>
    <n v="3197911"/>
    <x v="39"/>
    <s v="06-10-002-000"/>
    <x v="0"/>
    <n v="0"/>
    <n v="470.04"/>
    <n v="-470.04"/>
    <n v="10000"/>
    <n v="100"/>
    <s v="AMPM07"/>
    <x v="44"/>
    <s v="Anul. trans. abierta"/>
    <s v="Compras"/>
    <s v="xmaltez"/>
    <s v="PMVVR00003559"/>
    <n v="5068136"/>
    <n v="1"/>
    <n v="7"/>
    <s v=""/>
    <m/>
  </r>
  <r>
    <n v="3197912"/>
    <x v="39"/>
    <s v="06-10-002-000"/>
    <x v="0"/>
    <n v="0"/>
    <n v="56933.11"/>
    <n v="-56933.11"/>
    <n v="10000"/>
    <n v="100"/>
    <s v="AMPM02"/>
    <x v="28"/>
    <s v="Anul. trans. abierta"/>
    <s v="Compras"/>
    <s v="xmaltez"/>
    <s v="PMVVR00003559"/>
    <n v="5068137"/>
    <n v="1"/>
    <n v="2"/>
    <s v=""/>
    <m/>
  </r>
  <r>
    <n v="3197913"/>
    <x v="39"/>
    <s v="06-10-002-000"/>
    <x v="0"/>
    <n v="0"/>
    <n v="50095.44"/>
    <n v="-50095.44"/>
    <n v="10000"/>
    <n v="100"/>
    <s v="AMPM15"/>
    <x v="1"/>
    <s v="Anul. trans. abierta"/>
    <s v="Compras"/>
    <s v="xmaltez"/>
    <s v="PMVVR00003559"/>
    <n v="5068138"/>
    <n v="1"/>
    <n v="15"/>
    <s v=""/>
    <m/>
  </r>
  <r>
    <n v="3197914"/>
    <x v="39"/>
    <s v="06-10-002-000"/>
    <x v="0"/>
    <n v="0"/>
    <n v="950.57"/>
    <n v="-950.57"/>
    <n v="10000"/>
    <n v="100"/>
    <s v="AMPM15"/>
    <x v="1"/>
    <s v="Anul. trans. abierta"/>
    <s v="Compras"/>
    <s v="xmaltez"/>
    <s v="PMVVR00003559"/>
    <n v="5068139"/>
    <n v="1"/>
    <n v="15"/>
    <s v=""/>
    <m/>
  </r>
  <r>
    <n v="3197915"/>
    <x v="39"/>
    <s v="06-10-002-000"/>
    <x v="0"/>
    <n v="0"/>
    <n v="76880.89"/>
    <n v="-76880.89"/>
    <n v="10000"/>
    <n v="100"/>
    <s v="AMPM07"/>
    <x v="44"/>
    <s v="Anul. trans. abierta"/>
    <s v="Compras"/>
    <s v="xmaltez"/>
    <s v="PMVVR00003559"/>
    <n v="5068140"/>
    <n v="1"/>
    <n v="7"/>
    <s v=""/>
    <m/>
  </r>
  <r>
    <n v="3197916"/>
    <x v="39"/>
    <s v="06-10-002-000"/>
    <x v="0"/>
    <n v="0"/>
    <n v="22127.27"/>
    <n v="-22127.27"/>
    <n v="10000"/>
    <n v="100"/>
    <s v="AMPM08"/>
    <x v="47"/>
    <s v="Anul. trans. abierta"/>
    <s v="Compras"/>
    <s v="xmaltez"/>
    <s v="PMVVR00003559"/>
    <n v="5068141"/>
    <n v="1"/>
    <n v="8"/>
    <s v=""/>
    <m/>
  </r>
  <r>
    <n v="3197917"/>
    <x v="39"/>
    <s v="06-10-002-000"/>
    <x v="0"/>
    <n v="0"/>
    <n v="36014.86"/>
    <n v="-36014.86"/>
    <n v="10000"/>
    <n v="100"/>
    <s v="AMPM08"/>
    <x v="47"/>
    <s v="Anul. trans. abierta"/>
    <s v="Compras"/>
    <s v="xmaltez"/>
    <s v="PMVVR00003559"/>
    <n v="5068142"/>
    <n v="1"/>
    <n v="8"/>
    <s v=""/>
    <m/>
  </r>
  <r>
    <n v="3197918"/>
    <x v="39"/>
    <s v="06-10-002-000"/>
    <x v="0"/>
    <n v="0"/>
    <n v="57701.69"/>
    <n v="-57701.69"/>
    <n v="10000"/>
    <n v="100"/>
    <s v="AMPM69"/>
    <x v="30"/>
    <s v="Anul. trans. abierta"/>
    <s v="Compras"/>
    <s v="xmaltez"/>
    <s v="PMVVR00003559"/>
    <n v="5068143"/>
    <n v="1"/>
    <n v="85"/>
    <s v=""/>
    <m/>
  </r>
  <r>
    <n v="3197919"/>
    <x v="39"/>
    <s v="06-10-002-000"/>
    <x v="0"/>
    <n v="0"/>
    <n v="43946.46"/>
    <n v="-43946.46"/>
    <n v="10000"/>
    <n v="100"/>
    <s v="AMPM35"/>
    <x v="14"/>
    <s v="Anul. trans. abierta"/>
    <s v="Compras"/>
    <s v="xmaltez"/>
    <s v="PMVVR00003559"/>
    <n v="5068144"/>
    <n v="1"/>
    <n v="43"/>
    <s v=""/>
    <m/>
  </r>
  <r>
    <n v="3197920"/>
    <x v="39"/>
    <s v="06-10-002-000"/>
    <x v="0"/>
    <n v="0"/>
    <n v="67311.539999999994"/>
    <n v="-67311.539999999994"/>
    <n v="10000"/>
    <n v="100"/>
    <s v="AMPM74"/>
    <x v="40"/>
    <s v="Anul. trans. abierta"/>
    <s v="Compras"/>
    <s v="xmaltez"/>
    <s v="PMVVR00003559"/>
    <n v="5068145"/>
    <n v="1"/>
    <n v="90"/>
    <s v=""/>
    <m/>
  </r>
  <r>
    <n v="3197921"/>
    <x v="39"/>
    <s v="06-10-002-000"/>
    <x v="0"/>
    <n v="0"/>
    <n v="67588.22"/>
    <n v="-67588.22"/>
    <n v="10000"/>
    <n v="100"/>
    <s v="AMPM29"/>
    <x v="58"/>
    <s v="Anul. trans. abierta"/>
    <s v="Compras"/>
    <s v="xmaltez"/>
    <s v="PMVVR00003559"/>
    <n v="5068146"/>
    <n v="1"/>
    <n v="36"/>
    <s v=""/>
    <m/>
  </r>
  <r>
    <n v="3197922"/>
    <x v="39"/>
    <s v="06-10-002-000"/>
    <x v="0"/>
    <n v="0"/>
    <n v="63778.16"/>
    <n v="-63778.16"/>
    <n v="10000"/>
    <n v="100"/>
    <s v="AMPM04"/>
    <x v="26"/>
    <s v="Anul. trans. abierta"/>
    <s v="Compras"/>
    <s v="xmaltez"/>
    <s v="PMVVR00003559"/>
    <n v="5068147"/>
    <n v="1"/>
    <n v="4"/>
    <s v=""/>
    <m/>
  </r>
  <r>
    <n v="3197923"/>
    <x v="39"/>
    <s v="06-10-002-000"/>
    <x v="0"/>
    <n v="0"/>
    <n v="60488.97"/>
    <n v="-60488.97"/>
    <n v="10000"/>
    <n v="100"/>
    <s v="AMPM06"/>
    <x v="13"/>
    <s v="Anul. trans. abierta"/>
    <s v="Compras"/>
    <s v="xmaltez"/>
    <s v="PMVVR00003559"/>
    <n v="5068148"/>
    <n v="1"/>
    <n v="6"/>
    <s v=""/>
    <m/>
  </r>
  <r>
    <n v="3197924"/>
    <x v="39"/>
    <s v="06-10-002-000"/>
    <x v="0"/>
    <n v="0"/>
    <n v="67387.399999999994"/>
    <n v="-67387.399999999994"/>
    <n v="10000"/>
    <n v="100"/>
    <s v="AMPM16"/>
    <x v="43"/>
    <s v="Anul. trans. abierta"/>
    <s v="Compras"/>
    <s v="xmaltez"/>
    <s v="PMVVR00003559"/>
    <n v="5068149"/>
    <n v="1"/>
    <n v="16"/>
    <s v=""/>
    <m/>
  </r>
  <r>
    <n v="3197925"/>
    <x v="39"/>
    <s v="06-10-002-000"/>
    <x v="0"/>
    <n v="0"/>
    <n v="82331.839999999997"/>
    <n v="-82331.839999999997"/>
    <n v="10000"/>
    <n v="100"/>
    <s v="AMPM38"/>
    <x v="41"/>
    <s v="Anul. trans. abierta"/>
    <s v="Compras"/>
    <s v="xmaltez"/>
    <s v="PMVVR00003559"/>
    <n v="5068150"/>
    <n v="1"/>
    <n v="47"/>
    <s v=""/>
    <m/>
  </r>
  <r>
    <n v="3197926"/>
    <x v="39"/>
    <s v="06-10-002-000"/>
    <x v="0"/>
    <n v="0"/>
    <n v="2410.64"/>
    <n v="-2410.64"/>
    <n v="10000"/>
    <n v="100"/>
    <s v="AMPM38"/>
    <x v="41"/>
    <s v="Anul. trans. abierta"/>
    <s v="Compras"/>
    <s v="xmaltez"/>
    <s v="PMVVR00003559"/>
    <n v="5068151"/>
    <n v="1"/>
    <n v="47"/>
    <s v=""/>
    <m/>
  </r>
  <r>
    <n v="3197927"/>
    <x v="39"/>
    <s v="06-10-002-000"/>
    <x v="0"/>
    <n v="0"/>
    <n v="80468.800000000003"/>
    <n v="-80468.800000000003"/>
    <n v="10000"/>
    <n v="100"/>
    <s v="AMPM79"/>
    <x v="82"/>
    <s v="Anul. trans. abierta"/>
    <s v="Compras"/>
    <s v="xmaltez"/>
    <s v="PMVVR00003559"/>
    <n v="5068152"/>
    <n v="1"/>
    <n v="95"/>
    <s v=""/>
    <m/>
  </r>
  <r>
    <n v="3197928"/>
    <x v="39"/>
    <s v="06-10-002-000"/>
    <x v="0"/>
    <n v="0"/>
    <n v="90026.4"/>
    <n v="-90026.4"/>
    <n v="10000"/>
    <n v="100"/>
    <s v="AMPM65"/>
    <x v="78"/>
    <s v="Anul. trans. abierta"/>
    <s v="Compras"/>
    <s v="xmaltez"/>
    <s v="PMVVR00003559"/>
    <n v="5068153"/>
    <n v="1"/>
    <n v="81"/>
    <s v=""/>
    <m/>
  </r>
  <r>
    <n v="3197929"/>
    <x v="39"/>
    <s v="06-10-002-000"/>
    <x v="0"/>
    <n v="0"/>
    <n v="80456.289999999994"/>
    <n v="-80456.289999999994"/>
    <n v="10000"/>
    <n v="100"/>
    <s v="AMPM81"/>
    <x v="83"/>
    <s v="Anul. trans. abierta"/>
    <s v="Compras"/>
    <s v="xmaltez"/>
    <s v="PMVVR00003559"/>
    <n v="5068154"/>
    <n v="1"/>
    <n v="99"/>
    <s v=""/>
    <m/>
  </r>
  <r>
    <n v="3197930"/>
    <x v="39"/>
    <s v="06-10-002-000"/>
    <x v="0"/>
    <n v="0"/>
    <n v="3641.04"/>
    <n v="-3641.04"/>
    <n v="10000"/>
    <n v="100"/>
    <s v="AMPM18"/>
    <x v="55"/>
    <s v="Anul. trans. abierta"/>
    <s v="Compras"/>
    <s v="xmaltez"/>
    <s v="PMVVR00003559"/>
    <n v="5068155"/>
    <n v="1"/>
    <n v="18"/>
    <s v=""/>
    <m/>
  </r>
  <r>
    <n v="3197931"/>
    <x v="39"/>
    <s v="06-10-002-000"/>
    <x v="0"/>
    <n v="0"/>
    <n v="1971.33"/>
    <n v="-1971.33"/>
    <n v="10000"/>
    <n v="100"/>
    <s v="AMPM45"/>
    <x v="68"/>
    <s v="Anul. trans. abierta"/>
    <s v="Compras"/>
    <s v="xmaltez"/>
    <s v="PMVVR00003559"/>
    <n v="5068156"/>
    <n v="1"/>
    <n v="59"/>
    <s v=""/>
    <m/>
  </r>
  <r>
    <n v="3197932"/>
    <x v="39"/>
    <s v="06-10-002-000"/>
    <x v="0"/>
    <n v="0"/>
    <n v="68905.31"/>
    <n v="-68905.31"/>
    <n v="10000"/>
    <n v="100"/>
    <s v="AMPM32"/>
    <x v="65"/>
    <s v="Anul. trans. abierta"/>
    <s v="Compras"/>
    <s v="xmaltez"/>
    <s v="PMVVR00003559"/>
    <n v="5068157"/>
    <n v="1"/>
    <n v="40"/>
    <s v=""/>
    <m/>
  </r>
  <r>
    <n v="3197933"/>
    <x v="39"/>
    <s v="06-10-002-000"/>
    <x v="0"/>
    <n v="0"/>
    <n v="75766.570000000007"/>
    <n v="-75766.570000000007"/>
    <n v="10000"/>
    <n v="100"/>
    <s v="AMPM71"/>
    <x v="52"/>
    <s v="Anul. trans. abierta"/>
    <s v="Compras"/>
    <s v="xmaltez"/>
    <s v="PMVVR00003559"/>
    <n v="5068158"/>
    <n v="1"/>
    <n v="86"/>
    <s v=""/>
    <m/>
  </r>
  <r>
    <n v="3197934"/>
    <x v="39"/>
    <s v="06-10-002-000"/>
    <x v="0"/>
    <n v="0"/>
    <n v="72103.72"/>
    <n v="-72103.72"/>
    <n v="10000"/>
    <n v="100"/>
    <s v="AMPM82"/>
    <x v="84"/>
    <s v="Anul. trans. abierta"/>
    <s v="Compras"/>
    <s v="xmaltez"/>
    <s v="PMVVR00003559"/>
    <n v="5068159"/>
    <n v="1"/>
    <n v="96"/>
    <s v=""/>
    <m/>
  </r>
  <r>
    <n v="3197935"/>
    <x v="39"/>
    <s v="06-10-002-000"/>
    <x v="0"/>
    <n v="0"/>
    <n v="81357.91"/>
    <n v="-81357.91"/>
    <n v="10000"/>
    <n v="100"/>
    <s v="AMPM54"/>
    <x v="18"/>
    <s v="Anul. trans. abierta"/>
    <s v="Compras"/>
    <s v="xmaltez"/>
    <s v="PMVVR00003559"/>
    <n v="5068160"/>
    <n v="1"/>
    <n v="70"/>
    <s v=""/>
    <m/>
  </r>
  <r>
    <n v="3197936"/>
    <x v="39"/>
    <s v="06-10-002-000"/>
    <x v="0"/>
    <n v="0"/>
    <n v="77674.63"/>
    <n v="-77674.63"/>
    <n v="10000"/>
    <n v="100"/>
    <s v="AMPM51"/>
    <x v="71"/>
    <s v="Anul. trans. abierta"/>
    <s v="Compras"/>
    <s v="xmaltez"/>
    <s v="PMVVR00003559"/>
    <n v="5068161"/>
    <n v="1"/>
    <n v="65"/>
    <s v=""/>
    <m/>
  </r>
  <r>
    <n v="3197937"/>
    <x v="39"/>
    <s v="06-10-002-000"/>
    <x v="0"/>
    <n v="0"/>
    <n v="1822.49"/>
    <n v="-1822.49"/>
    <n v="10000"/>
    <n v="100"/>
    <s v="AMPM51"/>
    <x v="71"/>
    <s v="Anul. trans. abierta"/>
    <s v="Compras"/>
    <s v="xmaltez"/>
    <s v="PMVVR00003559"/>
    <n v="5068162"/>
    <n v="1"/>
    <n v="65"/>
    <s v=""/>
    <m/>
  </r>
  <r>
    <n v="3197938"/>
    <x v="39"/>
    <s v="06-10-002-000"/>
    <x v="0"/>
    <n v="0"/>
    <n v="71949.570000000007"/>
    <n v="-71949.570000000007"/>
    <n v="10000"/>
    <n v="100"/>
    <s v="AMPM25"/>
    <x v="62"/>
    <s v="Anul. trans. abierta"/>
    <s v="Compras"/>
    <s v="xmaltez"/>
    <s v="PMVVR00003559"/>
    <n v="5068163"/>
    <n v="1"/>
    <n v="25"/>
    <s v=""/>
    <m/>
  </r>
  <r>
    <n v="3197939"/>
    <x v="39"/>
    <s v="06-10-002-000"/>
    <x v="0"/>
    <n v="0"/>
    <n v="69093.149999999994"/>
    <n v="-69093.149999999994"/>
    <n v="10000"/>
    <n v="100"/>
    <s v="AMPM63"/>
    <x v="32"/>
    <s v="Anul. trans. abierta"/>
    <s v="Compras"/>
    <s v="xmaltez"/>
    <s v="PMVVR00003559"/>
    <n v="5068164"/>
    <n v="1"/>
    <n v="79"/>
    <s v=""/>
    <m/>
  </r>
  <r>
    <n v="3197940"/>
    <x v="39"/>
    <s v="06-10-002-000"/>
    <x v="0"/>
    <n v="0"/>
    <n v="96271.4"/>
    <n v="-96271.4"/>
    <n v="10000"/>
    <n v="100"/>
    <s v="AMPM33"/>
    <x v="11"/>
    <s v="Anul. trans. abierta"/>
    <s v="Compras"/>
    <s v="xmaltez"/>
    <s v="PMVVR00003559"/>
    <n v="5068165"/>
    <n v="1"/>
    <n v="39"/>
    <s v=""/>
    <m/>
  </r>
  <r>
    <n v="3197941"/>
    <x v="39"/>
    <s v="06-10-002-000"/>
    <x v="0"/>
    <n v="0"/>
    <n v="68354.33"/>
    <n v="-68354.33"/>
    <n v="10000"/>
    <n v="100"/>
    <s v="AMPM41"/>
    <x v="24"/>
    <s v="Anul. trans. abierta"/>
    <s v="Compras"/>
    <s v="xmaltez"/>
    <s v="PMVVR00003559"/>
    <n v="5068166"/>
    <n v="1"/>
    <n v="50"/>
    <s v=""/>
    <m/>
  </r>
  <r>
    <n v="3197942"/>
    <x v="39"/>
    <s v="06-10-002-000"/>
    <x v="0"/>
    <n v="0"/>
    <n v="81530.38"/>
    <n v="-81530.38"/>
    <n v="10000"/>
    <n v="100"/>
    <s v="AMPM78"/>
    <x v="81"/>
    <s v="Anul. trans. abierta"/>
    <s v="Compras"/>
    <s v="xmaltez"/>
    <s v="PMVVR00003559"/>
    <n v="5068167"/>
    <n v="1"/>
    <n v="94"/>
    <s v=""/>
    <m/>
  </r>
  <r>
    <n v="3197943"/>
    <x v="39"/>
    <s v="06-10-002-000"/>
    <x v="0"/>
    <n v="0"/>
    <n v="77175.92"/>
    <n v="-77175.92"/>
    <n v="10000"/>
    <n v="100"/>
    <s v="AMPM61"/>
    <x v="75"/>
    <s v="Anul. trans. abierta"/>
    <s v="Compras"/>
    <s v="xmaltez"/>
    <s v="PMVVR00003559"/>
    <n v="5068168"/>
    <n v="1"/>
    <n v="77"/>
    <s v=""/>
    <m/>
  </r>
  <r>
    <n v="3197944"/>
    <x v="39"/>
    <s v="06-10-002-000"/>
    <x v="0"/>
    <n v="0"/>
    <n v="64306.11"/>
    <n v="-64306.11"/>
    <n v="10000"/>
    <n v="100"/>
    <s v="AMPM75"/>
    <x v="36"/>
    <s v="Anul. trans. abierta"/>
    <s v="Compras"/>
    <s v="xmaltez"/>
    <s v="PMVVR00003559"/>
    <n v="5068169"/>
    <n v="1"/>
    <n v="91"/>
    <s v=""/>
    <m/>
  </r>
  <r>
    <n v="3197945"/>
    <x v="39"/>
    <s v="06-10-002-000"/>
    <x v="0"/>
    <n v="0"/>
    <n v="81029.48"/>
    <n v="-81029.48"/>
    <n v="10000"/>
    <n v="100"/>
    <s v="AMPM30"/>
    <x v="39"/>
    <s v="Anul. trans. abierta"/>
    <s v="Compras"/>
    <s v="xmaltez"/>
    <s v="PMVVR00003559"/>
    <n v="5068170"/>
    <n v="1"/>
    <n v="37"/>
    <s v=""/>
    <m/>
  </r>
  <r>
    <n v="3197946"/>
    <x v="39"/>
    <s v="06-10-002-000"/>
    <x v="0"/>
    <n v="0"/>
    <n v="65279.46"/>
    <n v="-65279.46"/>
    <n v="10000"/>
    <n v="100"/>
    <s v="AMPM84"/>
    <x v="29"/>
    <s v="Anul. trans. abierta"/>
    <s v="Compras"/>
    <s v="xmaltez"/>
    <s v="PMVVR00003559"/>
    <n v="5068171"/>
    <n v="1"/>
    <n v="100"/>
    <s v=""/>
    <m/>
  </r>
  <r>
    <n v="3197947"/>
    <x v="39"/>
    <s v="06-10-002-000"/>
    <x v="0"/>
    <n v="0"/>
    <n v="88538.5"/>
    <n v="-88538.5"/>
    <n v="10000"/>
    <n v="100"/>
    <s v="AMPM27"/>
    <x v="8"/>
    <s v="Anul. trans. abierta"/>
    <s v="Compras"/>
    <s v="xmaltez"/>
    <s v="PMVVR00003559"/>
    <n v="5068172"/>
    <n v="1"/>
    <n v="34"/>
    <s v=""/>
    <m/>
  </r>
  <r>
    <n v="3197948"/>
    <x v="39"/>
    <s v="06-10-002-000"/>
    <x v="0"/>
    <n v="0"/>
    <n v="2006.87"/>
    <n v="-2006.87"/>
    <n v="10000"/>
    <n v="100"/>
    <s v="AMPM27"/>
    <x v="8"/>
    <s v="Anul. trans. abierta"/>
    <s v="Compras"/>
    <s v="xmaltez"/>
    <s v="PMVVR00003559"/>
    <n v="5068173"/>
    <n v="1"/>
    <n v="34"/>
    <s v=""/>
    <m/>
  </r>
  <r>
    <n v="3197949"/>
    <x v="39"/>
    <s v="06-10-002-000"/>
    <x v="0"/>
    <n v="0"/>
    <n v="61181.74"/>
    <n v="-61181.74"/>
    <n v="10000"/>
    <n v="100"/>
    <s v="AMPM19"/>
    <x v="56"/>
    <s v="Anul. trans. abierta"/>
    <s v="Compras"/>
    <s v="xmaltez"/>
    <s v="PMVVR00003559"/>
    <n v="5068174"/>
    <n v="1"/>
    <n v="19"/>
    <s v=""/>
    <m/>
  </r>
  <r>
    <n v="3197950"/>
    <x v="39"/>
    <s v="06-10-002-000"/>
    <x v="0"/>
    <n v="0"/>
    <n v="61209.94"/>
    <n v="-61209.94"/>
    <n v="10000"/>
    <n v="100"/>
    <s v="AMPM10"/>
    <x v="45"/>
    <s v="Anul. trans. abierta"/>
    <s v="Compras"/>
    <s v="xmaltez"/>
    <s v="PMVVR00003559"/>
    <n v="5068175"/>
    <n v="1"/>
    <n v="10"/>
    <s v=""/>
    <m/>
  </r>
  <r>
    <n v="3197951"/>
    <x v="39"/>
    <s v="06-10-002-000"/>
    <x v="0"/>
    <n v="0"/>
    <n v="45361.98"/>
    <n v="-45361.98"/>
    <n v="10000"/>
    <n v="100"/>
    <s v="AMPM01"/>
    <x v="25"/>
    <s v="Anul. trans. abierta"/>
    <s v="Compras"/>
    <s v="xmaltez"/>
    <s v="PMVVR00003559"/>
    <n v="5068176"/>
    <n v="1"/>
    <n v="1"/>
    <s v=""/>
    <m/>
  </r>
  <r>
    <n v="3197952"/>
    <x v="39"/>
    <s v="06-10-002-000"/>
    <x v="0"/>
    <n v="0"/>
    <n v="56761.8"/>
    <n v="-56761.8"/>
    <n v="10000"/>
    <n v="100"/>
    <s v="AMPM52"/>
    <x v="16"/>
    <s v="Anul. trans. abierta"/>
    <s v="Compras"/>
    <s v="xmaltez"/>
    <s v="PMVVR00003559"/>
    <n v="5068177"/>
    <n v="1"/>
    <n v="66"/>
    <s v=""/>
    <m/>
  </r>
  <r>
    <n v="3197953"/>
    <x v="39"/>
    <s v="06-10-002-000"/>
    <x v="0"/>
    <n v="0"/>
    <n v="71791.210000000006"/>
    <n v="-71791.210000000006"/>
    <n v="10000"/>
    <n v="100"/>
    <s v="AMPM73"/>
    <x v="17"/>
    <s v="Anul. trans. abierta"/>
    <s v="Compras"/>
    <s v="xmaltez"/>
    <s v="PMVVR00003559"/>
    <n v="5068178"/>
    <n v="1"/>
    <n v="89"/>
    <s v=""/>
    <m/>
  </r>
  <r>
    <n v="3197954"/>
    <x v="39"/>
    <s v="06-10-002-000"/>
    <x v="0"/>
    <n v="0"/>
    <n v="69123.91"/>
    <n v="-69123.91"/>
    <n v="10000"/>
    <n v="100"/>
    <s v="AMPM20"/>
    <x v="57"/>
    <s v="Anul. trans. abierta"/>
    <s v="Compras"/>
    <s v="xmaltez"/>
    <s v="PMVVR00003559"/>
    <n v="5068179"/>
    <n v="1"/>
    <n v="20"/>
    <s v=""/>
    <m/>
  </r>
  <r>
    <n v="3197955"/>
    <x v="39"/>
    <s v="06-10-002-000"/>
    <x v="0"/>
    <n v="0"/>
    <n v="59144.51"/>
    <n v="-59144.51"/>
    <n v="10000"/>
    <n v="100"/>
    <s v="AMPM37"/>
    <x v="49"/>
    <s v="Anul. trans. abierta"/>
    <s v="Compras"/>
    <s v="xmaltez"/>
    <s v="PMVVR00003559"/>
    <n v="5068180"/>
    <n v="1"/>
    <n v="42"/>
    <s v=""/>
    <m/>
  </r>
  <r>
    <n v="3197956"/>
    <x v="39"/>
    <s v="06-10-002-000"/>
    <x v="0"/>
    <n v="0"/>
    <n v="85395.34"/>
    <n v="-85395.34"/>
    <n v="10000"/>
    <n v="100"/>
    <s v="AMPM34"/>
    <x v="85"/>
    <s v="Anul. trans. abierta"/>
    <s v="Compras"/>
    <s v="xmaltez"/>
    <s v="PMVVR00003559"/>
    <n v="5068181"/>
    <n v="1"/>
    <n v="41"/>
    <s v=""/>
    <m/>
  </r>
  <r>
    <n v="3197957"/>
    <x v="39"/>
    <s v="06-10-002-000"/>
    <x v="0"/>
    <n v="0"/>
    <n v="3225.54"/>
    <n v="-3225.54"/>
    <n v="10000"/>
    <n v="100"/>
    <s v="AMPM01"/>
    <x v="25"/>
    <s v="Anul. trans. abierta"/>
    <s v="Compras"/>
    <s v="xmaltez"/>
    <s v="PMVVR00003559"/>
    <n v="5068182"/>
    <n v="1"/>
    <n v="1"/>
    <s v=""/>
    <m/>
  </r>
  <r>
    <n v="3197958"/>
    <x v="39"/>
    <s v="06-10-002-000"/>
    <x v="0"/>
    <n v="0"/>
    <n v="65215.39"/>
    <n v="-65215.39"/>
    <n v="10000"/>
    <n v="100"/>
    <s v="AMPM49"/>
    <x v="72"/>
    <s v="Anul. trans. abierta"/>
    <s v="Compras"/>
    <s v="xmaltez"/>
    <s v="PMVVR00003559"/>
    <n v="5068183"/>
    <n v="1"/>
    <n v="63"/>
    <s v=""/>
    <m/>
  </r>
  <r>
    <n v="3197960"/>
    <x v="39"/>
    <s v="06-10-002-000"/>
    <x v="0"/>
    <n v="0"/>
    <n v="57507.360000000001"/>
    <n v="-57507.360000000001"/>
    <n v="10000"/>
    <n v="100"/>
    <s v="AMPM43"/>
    <x v="35"/>
    <s v="Anul. trans. abierta"/>
    <s v="Compras"/>
    <s v="xmaltez"/>
    <s v="PMVVR00003559"/>
    <n v="5068184"/>
    <n v="1"/>
    <n v="58"/>
    <s v=""/>
    <m/>
  </r>
  <r>
    <n v="3197961"/>
    <x v="39"/>
    <s v="06-10-002-000"/>
    <x v="0"/>
    <n v="0"/>
    <n v="56651.62"/>
    <n v="-56651.62"/>
    <n v="10000"/>
    <n v="100"/>
    <s v="AMPM88"/>
    <x v="9"/>
    <s v="Anul. trans. abierta"/>
    <s v="Compras"/>
    <s v="xmaltez"/>
    <s v="PMVVR00003559"/>
    <n v="5068185"/>
    <n v="1"/>
    <n v="102"/>
    <s v=""/>
    <m/>
  </r>
  <r>
    <n v="3197962"/>
    <x v="39"/>
    <s v="06-10-002-000"/>
    <x v="0"/>
    <n v="0"/>
    <n v="57212.62"/>
    <n v="-57212.62"/>
    <n v="10000"/>
    <n v="100"/>
    <s v="AMPM39"/>
    <x v="31"/>
    <s v="Anul. trans. abierta"/>
    <s v="Compras"/>
    <s v="xmaltez"/>
    <s v="PMVVR00003559"/>
    <n v="5068186"/>
    <n v="1"/>
    <n v="48"/>
    <s v=""/>
    <m/>
  </r>
  <r>
    <n v="3197963"/>
    <x v="39"/>
    <s v="06-10-002-000"/>
    <x v="0"/>
    <n v="0"/>
    <n v="82541.86"/>
    <n v="-82541.86"/>
    <n v="10000"/>
    <n v="100"/>
    <s v="AMPM12"/>
    <x v="51"/>
    <s v="Anul. trans. abierta"/>
    <s v="Compras"/>
    <s v="xmaltez"/>
    <s v="PMVVR00003559"/>
    <n v="5068187"/>
    <n v="1"/>
    <n v="12"/>
    <s v=""/>
    <m/>
  </r>
  <r>
    <n v="3197964"/>
    <x v="39"/>
    <s v="06-10-002-000"/>
    <x v="0"/>
    <n v="0"/>
    <n v="10066.02"/>
    <n v="-10066.02"/>
    <n v="10000"/>
    <n v="100"/>
    <s v="AMPM14"/>
    <x v="53"/>
    <s v="Anul. trans. abierta"/>
    <s v="Compras"/>
    <s v="xmaltez"/>
    <s v="PMVVR00003559"/>
    <n v="5068188"/>
    <n v="1"/>
    <n v="14"/>
    <s v=""/>
    <m/>
  </r>
  <r>
    <n v="3197965"/>
    <x v="39"/>
    <s v="06-10-002-000"/>
    <x v="0"/>
    <n v="0"/>
    <n v="1089.07"/>
    <n v="-1089.07"/>
    <n v="10000"/>
    <n v="100"/>
    <s v="AMPM14"/>
    <x v="53"/>
    <s v="Anul. trans. abierta"/>
    <s v="Compras"/>
    <s v="xmaltez"/>
    <s v="PMVVR00003559"/>
    <n v="5068189"/>
    <n v="1"/>
    <n v="14"/>
    <s v=""/>
    <m/>
  </r>
  <r>
    <n v="3197966"/>
    <x v="39"/>
    <s v="06-10-002-000"/>
    <x v="0"/>
    <n v="0"/>
    <n v="28686.78"/>
    <n v="-28686.78"/>
    <n v="10000"/>
    <n v="100"/>
    <s v="AMPM14"/>
    <x v="53"/>
    <s v="Anul. trans. abierta"/>
    <s v="Compras"/>
    <s v="xmaltez"/>
    <s v="PMVVR00003559"/>
    <n v="5068190"/>
    <n v="1"/>
    <n v="14"/>
    <s v=""/>
    <m/>
  </r>
  <r>
    <n v="3197967"/>
    <x v="39"/>
    <s v="06-10-002-000"/>
    <x v="0"/>
    <n v="0"/>
    <n v="64991.79"/>
    <n v="-64991.79"/>
    <n v="10000"/>
    <n v="100"/>
    <s v="AMPM03"/>
    <x v="61"/>
    <s v="Anul. trans. abierta"/>
    <s v="Compras"/>
    <s v="xmaltez"/>
    <s v="PMVVR00003559"/>
    <n v="5068191"/>
    <n v="1"/>
    <n v="3"/>
    <s v=""/>
    <m/>
  </r>
  <r>
    <n v="3197968"/>
    <x v="39"/>
    <s v="06-10-002-000"/>
    <x v="0"/>
    <n v="0"/>
    <n v="69976.28"/>
    <n v="-69976.28"/>
    <n v="10000"/>
    <n v="100"/>
    <s v="AMPM83"/>
    <x v="15"/>
    <s v="Anul. trans. abierta"/>
    <s v="Compras"/>
    <s v="xmaltez"/>
    <s v="PMVVR00003559"/>
    <n v="5068192"/>
    <n v="1"/>
    <n v="97"/>
    <s v=""/>
    <m/>
  </r>
  <r>
    <n v="3197969"/>
    <x v="39"/>
    <s v="06-10-002-000"/>
    <x v="0"/>
    <n v="0"/>
    <n v="14723.61"/>
    <n v="-14723.61"/>
    <n v="10000"/>
    <n v="100"/>
    <s v="ADMON"/>
    <x v="48"/>
    <s v="Anul. trans. abierta"/>
    <s v="Compras"/>
    <s v="xmaltez"/>
    <s v="PMVVR00003559"/>
    <n v="5068193"/>
    <n v="1"/>
    <n v="27"/>
    <s v=""/>
    <m/>
  </r>
  <r>
    <n v="3197970"/>
    <x v="39"/>
    <s v="06-10-002-000"/>
    <x v="0"/>
    <n v="0"/>
    <n v="24159.16"/>
    <n v="-24159.16"/>
    <n v="10000"/>
    <n v="100"/>
    <s v="ADMON"/>
    <x v="48"/>
    <s v="Anul. trans. abierta"/>
    <s v="Compras"/>
    <s v="xmaltez"/>
    <s v="PMVVR00003559"/>
    <n v="5068194"/>
    <n v="1"/>
    <n v="27"/>
    <s v=""/>
    <m/>
  </r>
  <r>
    <n v="3197971"/>
    <x v="39"/>
    <s v="06-10-002-000"/>
    <x v="0"/>
    <n v="0"/>
    <n v="10204.52"/>
    <n v="-10204.52"/>
    <n v="10000"/>
    <n v="100"/>
    <s v="ADMON"/>
    <x v="48"/>
    <s v="Anul. trans. abierta"/>
    <s v="Compras"/>
    <s v="xmaltez"/>
    <s v="PMVVR00003559"/>
    <n v="5068195"/>
    <n v="1"/>
    <n v="27"/>
    <s v=""/>
    <m/>
  </r>
  <r>
    <n v="3197972"/>
    <x v="39"/>
    <s v="06-10-002-000"/>
    <x v="0"/>
    <n v="0"/>
    <n v="16335.85"/>
    <n v="-16335.85"/>
    <n v="10000"/>
    <n v="100"/>
    <s v="ADMON"/>
    <x v="48"/>
    <s v="Anul. trans. abierta"/>
    <s v="Compras"/>
    <s v="xmaltez"/>
    <s v="PMVVR00003559"/>
    <n v="5068196"/>
    <n v="1"/>
    <n v="27"/>
    <s v=""/>
    <m/>
  </r>
  <r>
    <n v="3197973"/>
    <x v="39"/>
    <s v="06-10-002-000"/>
    <x v="0"/>
    <n v="0"/>
    <n v="72845.149999999994"/>
    <n v="-72845.149999999994"/>
    <n v="10000"/>
    <n v="100"/>
    <s v="AMPM45"/>
    <x v="68"/>
    <s v="Anul. trans. abierta"/>
    <s v="Compras"/>
    <s v="xmaltez"/>
    <s v="PMVVR00003559"/>
    <n v="5068197"/>
    <n v="1"/>
    <n v="59"/>
    <s v=""/>
    <m/>
  </r>
  <r>
    <n v="3197974"/>
    <x v="39"/>
    <s v="06-10-002-000"/>
    <x v="0"/>
    <n v="0"/>
    <n v="2053.81"/>
    <n v="-2053.81"/>
    <n v="10000"/>
    <n v="100"/>
    <s v="AMPM40"/>
    <x v="67"/>
    <s v="Anul. trans. abierta"/>
    <s v="Compras"/>
    <s v="xmaltez"/>
    <s v="PMVVR00003559"/>
    <n v="5068198"/>
    <n v="1"/>
    <n v="49"/>
    <s v=""/>
    <m/>
  </r>
  <r>
    <n v="3197975"/>
    <x v="39"/>
    <s v="06-10-002-000"/>
    <x v="0"/>
    <n v="0"/>
    <n v="68977.05"/>
    <n v="-68977.05"/>
    <n v="10000"/>
    <n v="100"/>
    <s v="AMPM60"/>
    <x v="76"/>
    <s v="Anul. trans. abierta"/>
    <s v="Compras"/>
    <s v="xmaltez"/>
    <s v="PMVVR00003559"/>
    <n v="5068199"/>
    <n v="1"/>
    <n v="76"/>
    <s v=""/>
    <m/>
  </r>
  <r>
    <n v="3197976"/>
    <x v="39"/>
    <s v="06-10-002-000"/>
    <x v="0"/>
    <n v="0"/>
    <n v="76969.3"/>
    <n v="-76969.3"/>
    <n v="10000"/>
    <n v="100"/>
    <s v="AMPM67"/>
    <x v="80"/>
    <s v="Anul. trans. abierta"/>
    <s v="Compras"/>
    <s v="xmaltez"/>
    <s v="PMVVR00003559"/>
    <n v="5068200"/>
    <n v="1"/>
    <n v="83"/>
    <s v=""/>
    <m/>
  </r>
  <r>
    <n v="3197977"/>
    <x v="39"/>
    <s v="06-10-002-000"/>
    <x v="0"/>
    <n v="0"/>
    <n v="60678.04"/>
    <n v="-60678.04"/>
    <n v="10000"/>
    <n v="100"/>
    <s v="AMPM05"/>
    <x v="12"/>
    <s v="Anul. trans. abierta"/>
    <s v="Compras"/>
    <s v="xmaltez"/>
    <s v="PMVVR00003559"/>
    <n v="5068201"/>
    <n v="1"/>
    <n v="5"/>
    <s v=""/>
    <m/>
  </r>
  <r>
    <n v="3197978"/>
    <x v="39"/>
    <s v="06-10-002-000"/>
    <x v="0"/>
    <n v="0"/>
    <n v="12589.16"/>
    <n v="-12589.16"/>
    <n v="10000"/>
    <n v="100"/>
    <s v="ADMON"/>
    <x v="48"/>
    <s v="Anul. trans. abierta"/>
    <s v="Compras"/>
    <s v="xmaltez"/>
    <s v="PMVVR00003559"/>
    <n v="5068202"/>
    <n v="1"/>
    <n v="27"/>
    <s v=""/>
    <m/>
  </r>
  <r>
    <n v="3197979"/>
    <x v="39"/>
    <s v="06-10-002-000"/>
    <x v="0"/>
    <n v="0"/>
    <n v="51807.5"/>
    <n v="-51807.5"/>
    <n v="10000"/>
    <n v="100"/>
    <s v="AMPM23"/>
    <x v="59"/>
    <s v="Anul. trans. abierta"/>
    <s v="Compras"/>
    <s v="xmaltez"/>
    <s v="PMVVR00003559"/>
    <n v="5068203"/>
    <n v="1"/>
    <n v="23"/>
    <s v=""/>
    <m/>
  </r>
  <r>
    <n v="3197980"/>
    <x v="39"/>
    <s v="06-10-002-000"/>
    <x v="0"/>
    <n v="0"/>
    <n v="58591.65"/>
    <n v="-58591.65"/>
    <n v="10000"/>
    <n v="100"/>
    <s v="AMPM21"/>
    <x v="50"/>
    <s v="Anul. trans. abierta"/>
    <s v="Compras"/>
    <s v="xmaltez"/>
    <s v="PMVVR00003559"/>
    <n v="5068204"/>
    <n v="1"/>
    <n v="21"/>
    <s v=""/>
    <m/>
  </r>
  <r>
    <n v="3197981"/>
    <x v="39"/>
    <s v="06-10-002-000"/>
    <x v="0"/>
    <n v="0"/>
    <n v="63731.42"/>
    <n v="-63731.42"/>
    <n v="10000"/>
    <n v="100"/>
    <s v="AMPM18"/>
    <x v="55"/>
    <s v="Anul. trans. abierta"/>
    <s v="Compras"/>
    <s v="xmaltez"/>
    <s v="PMVVR00003559"/>
    <n v="5068205"/>
    <n v="1"/>
    <n v="18"/>
    <s v=""/>
    <m/>
  </r>
  <r>
    <n v="3197982"/>
    <x v="39"/>
    <s v="06-10-002-000"/>
    <x v="0"/>
    <n v="0"/>
    <n v="317.36"/>
    <n v="-317.36"/>
    <n v="10000"/>
    <n v="100"/>
    <s v="AMPM49"/>
    <x v="72"/>
    <s v="Anul. trans. abierta"/>
    <s v="Compras"/>
    <s v="xmaltez"/>
    <s v="PMVVR00003559"/>
    <n v="5068206"/>
    <n v="1"/>
    <n v="63"/>
    <s v=""/>
    <m/>
  </r>
  <r>
    <n v="3197983"/>
    <x v="39"/>
    <s v="06-10-002-000"/>
    <x v="0"/>
    <n v="0"/>
    <n v="70959"/>
    <n v="-70959"/>
    <n v="10000"/>
    <n v="100"/>
    <s v="AMPM40"/>
    <x v="67"/>
    <s v="Anul. trans. abierta"/>
    <s v="Compras"/>
    <s v="xmaltez"/>
    <s v="PMVVR00003559"/>
    <n v="5068207"/>
    <n v="1"/>
    <n v="49"/>
    <s v=""/>
    <m/>
  </r>
  <r>
    <n v="3197984"/>
    <x v="39"/>
    <s v="06-10-002-000"/>
    <x v="0"/>
    <n v="0"/>
    <n v="61977.31"/>
    <n v="-61977.31"/>
    <n v="10000"/>
    <n v="100"/>
    <s v="AMPM85"/>
    <x v="86"/>
    <s v="Anul. trans. abierta"/>
    <s v="Compras"/>
    <s v="xmaltez"/>
    <s v="PMVVR00003559"/>
    <n v="5068208"/>
    <n v="1"/>
    <n v="101"/>
    <s v=""/>
    <m/>
  </r>
  <r>
    <n v="3197985"/>
    <x v="39"/>
    <s v="06-10-002-000"/>
    <x v="0"/>
    <n v="0"/>
    <n v="2545.69"/>
    <n v="-2545.69"/>
    <n v="10000"/>
    <n v="100"/>
    <s v="AMPM26"/>
    <x v="7"/>
    <s v="Anul. trans. abierta"/>
    <s v="Compras"/>
    <s v="xmaltez"/>
    <s v="PMVVR00003559"/>
    <n v="5068209"/>
    <n v="1"/>
    <n v="26"/>
    <s v=""/>
    <m/>
  </r>
  <r>
    <n v="3197986"/>
    <x v="39"/>
    <s v="06-10-002-000"/>
    <x v="0"/>
    <n v="0"/>
    <n v="54138.879999999997"/>
    <n v="-54138.879999999997"/>
    <n v="10000"/>
    <n v="100"/>
    <s v="AMPM36"/>
    <x v="66"/>
    <s v="Anul. trans. abierta"/>
    <s v="Compras"/>
    <s v="xmaltez"/>
    <s v="PMVVR00003559"/>
    <n v="5068210"/>
    <n v="1"/>
    <n v="44"/>
    <s v=""/>
    <m/>
  </r>
  <r>
    <n v="3197987"/>
    <x v="39"/>
    <s v="06-10-002-000"/>
    <x v="0"/>
    <n v="0"/>
    <n v="103.75"/>
    <n v="-103.75"/>
    <n v="10000"/>
    <n v="100"/>
    <s v="AMPM36"/>
    <x v="66"/>
    <s v="Anul. trans. abierta"/>
    <s v="Compras"/>
    <s v="xmaltez"/>
    <s v="PMVVR00003559"/>
    <n v="5068211"/>
    <n v="1"/>
    <n v="44"/>
    <s v=""/>
    <m/>
  </r>
  <r>
    <n v="3197988"/>
    <x v="39"/>
    <s v="06-10-002-000"/>
    <x v="0"/>
    <n v="0"/>
    <n v="55876.12"/>
    <n v="-55876.12"/>
    <n v="10000"/>
    <n v="100"/>
    <s v="AMPM77"/>
    <x v="33"/>
    <s v="Anul. trans. abierta"/>
    <s v="Compras"/>
    <s v="xmaltez"/>
    <s v="PMVVR00003559"/>
    <n v="5068212"/>
    <n v="1"/>
    <n v="92"/>
    <s v=""/>
    <m/>
  </r>
  <r>
    <n v="3197989"/>
    <x v="39"/>
    <s v="06-10-002-000"/>
    <x v="0"/>
    <n v="0"/>
    <n v="59083.040000000001"/>
    <n v="-59083.040000000001"/>
    <n v="10000"/>
    <n v="100"/>
    <s v="AMPM26"/>
    <x v="7"/>
    <s v="Anul. trans. abierta"/>
    <s v="Compras"/>
    <s v="xmaltez"/>
    <s v="PMVVR00003559"/>
    <n v="5068213"/>
    <n v="1"/>
    <n v="26"/>
    <s v=""/>
    <m/>
  </r>
  <r>
    <n v="3197990"/>
    <x v="39"/>
    <s v="06-10-002-000"/>
    <x v="0"/>
    <n v="0"/>
    <n v="59360.79"/>
    <n v="-59360.79"/>
    <n v="10000"/>
    <n v="100"/>
    <s v="AMPM62"/>
    <x v="77"/>
    <s v="Anul. trans. abierta"/>
    <s v="Compras"/>
    <s v="xmaltez"/>
    <s v="PMVVR00003559"/>
    <n v="5068214"/>
    <n v="1"/>
    <n v="78"/>
    <s v=""/>
    <m/>
  </r>
  <r>
    <n v="3197991"/>
    <x v="39"/>
    <s v="06-10-002-000"/>
    <x v="0"/>
    <n v="0"/>
    <n v="66720.67"/>
    <n v="-66720.67"/>
    <n v="10000"/>
    <n v="100"/>
    <s v="AMPM48"/>
    <x v="69"/>
    <s v="Anul. trans. abierta"/>
    <s v="Compras"/>
    <s v="xmaltez"/>
    <s v="PMVVR00003559"/>
    <n v="5068215"/>
    <n v="1"/>
    <n v="62"/>
    <s v=""/>
    <m/>
  </r>
  <r>
    <n v="3197992"/>
    <x v="39"/>
    <s v="06-10-002-000"/>
    <x v="0"/>
    <n v="0"/>
    <n v="56486.86"/>
    <n v="-56486.86"/>
    <n v="10000"/>
    <n v="100"/>
    <s v="AMPM70"/>
    <x v="22"/>
    <s v="Anul. trans. abierta"/>
    <s v="Compras"/>
    <s v="xmaltez"/>
    <s v="PMVVR00003559"/>
    <n v="5068216"/>
    <n v="1"/>
    <n v="87"/>
    <s v=""/>
    <m/>
  </r>
  <r>
    <n v="3197993"/>
    <x v="39"/>
    <s v="06-10-002-000"/>
    <x v="0"/>
    <n v="0"/>
    <n v="50103.09"/>
    <n v="-50103.09"/>
    <n v="10000"/>
    <n v="100"/>
    <s v="AMPM42"/>
    <x v="21"/>
    <s v="Anul. trans. abierta"/>
    <s v="Compras"/>
    <s v="xmaltez"/>
    <s v="PMVVR00003559"/>
    <n v="5068217"/>
    <n v="1"/>
    <n v="51"/>
    <s v=""/>
    <m/>
  </r>
  <r>
    <n v="3197994"/>
    <x v="39"/>
    <s v="06-10-002-000"/>
    <x v="0"/>
    <n v="0"/>
    <n v="889.94"/>
    <n v="-889.94"/>
    <n v="10000"/>
    <n v="100"/>
    <s v="AMPM42"/>
    <x v="21"/>
    <s v="Anul. trans. abierta"/>
    <s v="Compras"/>
    <s v="xmaltez"/>
    <s v="PMVVR00003559"/>
    <n v="5068218"/>
    <n v="1"/>
    <n v="51"/>
    <s v=""/>
    <m/>
  </r>
  <r>
    <n v="3197995"/>
    <x v="39"/>
    <s v="06-10-002-000"/>
    <x v="0"/>
    <n v="0"/>
    <n v="79025.86"/>
    <n v="-79025.86"/>
    <n v="10000"/>
    <n v="100"/>
    <s v="AMPM66"/>
    <x v="79"/>
    <s v="Anul. trans. abierta"/>
    <s v="Compras"/>
    <s v="xmaltez"/>
    <s v="PMVVR00003559"/>
    <n v="5068219"/>
    <n v="1"/>
    <n v="82"/>
    <s v=""/>
    <m/>
  </r>
  <r>
    <n v="3197996"/>
    <x v="39"/>
    <s v="06-10-002-000"/>
    <x v="0"/>
    <n v="0"/>
    <n v="41069.269999999997"/>
    <n v="-41069.269999999997"/>
    <n v="10000"/>
    <n v="100"/>
    <s v="AMPM31"/>
    <x v="64"/>
    <s v="Anul. trans. abierta"/>
    <s v="Compras"/>
    <s v="xmaltez"/>
    <s v="PMVVR00003559"/>
    <n v="5068220"/>
    <n v="1"/>
    <n v="38"/>
    <s v=""/>
    <m/>
  </r>
  <r>
    <n v="3197997"/>
    <x v="39"/>
    <s v="06-10-002-000"/>
    <x v="0"/>
    <n v="0"/>
    <n v="61754.9"/>
    <n v="-61754.9"/>
    <n v="10000"/>
    <n v="100"/>
    <s v="AMPM53"/>
    <x v="20"/>
    <s v="Anul. trans. abierta"/>
    <s v="Compras"/>
    <s v="xmaltez"/>
    <s v="PMVVR00003559"/>
    <n v="5068221"/>
    <n v="1"/>
    <n v="64"/>
    <s v=""/>
    <m/>
  </r>
  <r>
    <n v="3197998"/>
    <x v="39"/>
    <s v="06-10-002-000"/>
    <x v="0"/>
    <n v="0"/>
    <n v="61417.35"/>
    <n v="-61417.35"/>
    <n v="10000"/>
    <n v="100"/>
    <s v="AMPM56"/>
    <x v="23"/>
    <s v="Anul. trans. abierta"/>
    <s v="Compras"/>
    <s v="xmaltez"/>
    <s v="PMVVR00003559"/>
    <n v="5068222"/>
    <n v="1"/>
    <n v="72"/>
    <s v=""/>
    <m/>
  </r>
  <r>
    <n v="3197999"/>
    <x v="39"/>
    <s v="06-10-002-000"/>
    <x v="0"/>
    <n v="0"/>
    <n v="61386.05"/>
    <n v="-61386.05"/>
    <n v="10000"/>
    <n v="100"/>
    <s v="AMPM72"/>
    <x v="27"/>
    <s v="Anul. trans. abierta"/>
    <s v="Compras"/>
    <s v="xmaltez"/>
    <s v="PMVVR00003559"/>
    <n v="5068223"/>
    <n v="1"/>
    <n v="88"/>
    <s v=""/>
    <m/>
  </r>
  <r>
    <n v="3198000"/>
    <x v="39"/>
    <s v="06-10-002-000"/>
    <x v="0"/>
    <n v="0"/>
    <n v="50857.96"/>
    <n v="-50857.96"/>
    <n v="10000"/>
    <n v="100"/>
    <s v="AMPM59"/>
    <x v="74"/>
    <s v="Anul. trans. abierta"/>
    <s v="Compras"/>
    <s v="xmaltez"/>
    <s v="PMVVR00003559"/>
    <n v="5068224"/>
    <n v="1"/>
    <n v="75"/>
    <s v=""/>
    <m/>
  </r>
  <r>
    <n v="3198001"/>
    <x v="39"/>
    <s v="06-10-002-000"/>
    <x v="0"/>
    <n v="0"/>
    <n v="81554.080000000002"/>
    <n v="-81554.080000000002"/>
    <n v="10000"/>
    <n v="100"/>
    <s v="AMPM09"/>
    <x v="42"/>
    <s v="Anul. trans. abierta"/>
    <s v="Compras"/>
    <s v="xmaltez"/>
    <s v="PMVVR00003559"/>
    <n v="5068225"/>
    <n v="1"/>
    <n v="9"/>
    <s v=""/>
    <m/>
  </r>
  <r>
    <n v="3198144"/>
    <x v="39"/>
    <s v="06-10-002-000"/>
    <x v="0"/>
    <n v="70765.600000000006"/>
    <n v="0"/>
    <n v="70765.600000000006"/>
    <n v="10000"/>
    <n v="100"/>
    <s v="AMPM87"/>
    <x v="89"/>
    <s v="A-87-ENERGIA-ABRIL"/>
    <s v="Compras"/>
    <s v="xmaltez"/>
    <s v="PMTRX00087486"/>
    <n v="5067833"/>
    <n v="1"/>
    <n v="103"/>
    <s v=""/>
    <m/>
  </r>
  <r>
    <n v="3198145"/>
    <x v="39"/>
    <s v="06-10-002-000"/>
    <x v="0"/>
    <n v="3056.78"/>
    <n v="0"/>
    <n v="3056.78"/>
    <n v="10000"/>
    <n v="100"/>
    <s v="AMPM47"/>
    <x v="60"/>
    <s v="A-47-ENERGIA-ABRIL"/>
    <s v="Compras"/>
    <s v="xmaltez"/>
    <s v="PMTRX00087486"/>
    <n v="5067834"/>
    <n v="1"/>
    <n v="61"/>
    <s v=""/>
    <m/>
  </r>
  <r>
    <n v="3198146"/>
    <x v="39"/>
    <s v="06-10-002-000"/>
    <x v="0"/>
    <n v="63051.55"/>
    <n v="0"/>
    <n v="63051.55"/>
    <n v="10000"/>
    <n v="100"/>
    <s v="AMPM44"/>
    <x v="38"/>
    <s v="A-44-ENERGIA-ABRIL"/>
    <s v="Compras"/>
    <s v="xmaltez"/>
    <s v="PMTRX00087486"/>
    <n v="5067835"/>
    <n v="1"/>
    <n v="57"/>
    <s v=""/>
    <m/>
  </r>
  <r>
    <n v="3198147"/>
    <x v="39"/>
    <s v="06-10-002-000"/>
    <x v="0"/>
    <n v="62318.43"/>
    <n v="0"/>
    <n v="62318.43"/>
    <n v="10000"/>
    <n v="100"/>
    <s v="AMPM47"/>
    <x v="60"/>
    <s v="A-47-ENERGIA-ABRIL"/>
    <s v="Compras"/>
    <s v="xmaltez"/>
    <s v="PMTRX00087486"/>
    <n v="5067836"/>
    <n v="1"/>
    <n v="61"/>
    <s v=""/>
    <m/>
  </r>
  <r>
    <n v="3198148"/>
    <x v="39"/>
    <s v="06-10-002-000"/>
    <x v="0"/>
    <n v="71171.34"/>
    <n v="0"/>
    <n v="71171.34"/>
    <n v="10000"/>
    <n v="100"/>
    <s v="AMPM55"/>
    <x v="37"/>
    <s v="A-55-ENERGIA-ABRIL"/>
    <s v="Compras"/>
    <s v="xmaltez"/>
    <s v="PMTRX00087486"/>
    <n v="5067837"/>
    <n v="1"/>
    <n v="71"/>
    <s v=""/>
    <m/>
  </r>
  <r>
    <n v="3198149"/>
    <x v="39"/>
    <s v="06-10-002-000"/>
    <x v="0"/>
    <n v="64362.47"/>
    <n v="0"/>
    <n v="64362.47"/>
    <n v="10000"/>
    <n v="100"/>
    <s v="AMPM46"/>
    <x v="34"/>
    <s v="A-46-ENERGIA-ABRIL"/>
    <s v="Compras"/>
    <s v="xmaltez"/>
    <s v="PMTRX00087486"/>
    <n v="5067838"/>
    <n v="1"/>
    <n v="60"/>
    <s v=""/>
    <m/>
  </r>
  <r>
    <n v="3198150"/>
    <x v="39"/>
    <s v="06-10-002-000"/>
    <x v="0"/>
    <n v="48503.71"/>
    <n v="0"/>
    <n v="48503.71"/>
    <n v="10000"/>
    <n v="100"/>
    <s v="AMPM64"/>
    <x v="19"/>
    <s v="A-64-ENERGIA-ABRIL"/>
    <s v="Compras"/>
    <s v="xmaltez"/>
    <s v="PMTRX00087486"/>
    <n v="5067839"/>
    <n v="1"/>
    <n v="80"/>
    <s v=""/>
    <m/>
  </r>
  <r>
    <n v="3198151"/>
    <x v="39"/>
    <s v="06-10-002-000"/>
    <x v="0"/>
    <n v="55165.74"/>
    <n v="0"/>
    <n v="55165.74"/>
    <n v="10000"/>
    <n v="100"/>
    <s v="AMPM50"/>
    <x v="70"/>
    <s v="A-50-ENERGIA-ABRIL"/>
    <s v="Compras"/>
    <s v="xmaltez"/>
    <s v="PMTRX00087486"/>
    <n v="5067840"/>
    <n v="1"/>
    <n v="28"/>
    <s v=""/>
    <m/>
  </r>
  <r>
    <n v="3198152"/>
    <x v="39"/>
    <s v="06-10-002-000"/>
    <x v="0"/>
    <n v="69155.22"/>
    <n v="0"/>
    <n v="69155.22"/>
    <n v="10000"/>
    <n v="100"/>
    <s v="AMPM58"/>
    <x v="46"/>
    <s v="A-58-ENERGIA-ABRIL"/>
    <s v="Compras"/>
    <s v="xmaltez"/>
    <s v="PMTRX00087486"/>
    <n v="5067841"/>
    <n v="1"/>
    <n v="74"/>
    <s v=""/>
    <m/>
  </r>
  <r>
    <n v="3198153"/>
    <x v="39"/>
    <s v="06-10-002-000"/>
    <x v="0"/>
    <n v="2362.42"/>
    <n v="0"/>
    <n v="2362.42"/>
    <n v="10000"/>
    <n v="100"/>
    <s v="AMPM41"/>
    <x v="24"/>
    <s v="A-41-ENERGIA-ABRIL"/>
    <s v="Compras"/>
    <s v="xmaltez"/>
    <s v="PMTRX00087486"/>
    <n v="5067842"/>
    <n v="1"/>
    <n v="50"/>
    <s v=""/>
    <m/>
  </r>
  <r>
    <n v="3198154"/>
    <x v="39"/>
    <s v="06-10-002-000"/>
    <x v="0"/>
    <n v="68905.31"/>
    <n v="0"/>
    <n v="68905.31"/>
    <n v="10000"/>
    <n v="100"/>
    <s v="AMPM32"/>
    <x v="65"/>
    <s v="A-32-ENERGIA-ABRIL"/>
    <s v="Compras"/>
    <s v="xmaltez"/>
    <s v="PMTRX00087486"/>
    <n v="5067843"/>
    <n v="1"/>
    <n v="40"/>
    <s v=""/>
    <m/>
  </r>
  <r>
    <n v="3198155"/>
    <x v="39"/>
    <s v="06-10-002-000"/>
    <x v="0"/>
    <n v="75766.570000000007"/>
    <n v="0"/>
    <n v="75766.570000000007"/>
    <n v="10000"/>
    <n v="100"/>
    <s v="AMPM71"/>
    <x v="52"/>
    <s v="A-71-ENERGIA-ABRIL"/>
    <s v="Compras"/>
    <s v="xmaltez"/>
    <s v="PMTRX00087486"/>
    <n v="5067844"/>
    <n v="1"/>
    <n v="86"/>
    <s v=""/>
    <m/>
  </r>
  <r>
    <n v="3198156"/>
    <x v="39"/>
    <s v="06-10-002-000"/>
    <x v="0"/>
    <n v="72103.72"/>
    <n v="0"/>
    <n v="72103.72"/>
    <n v="10000"/>
    <n v="100"/>
    <s v="AMPM82"/>
    <x v="84"/>
    <s v="A-82-ENERGIA-ABRIL"/>
    <s v="Compras"/>
    <s v="xmaltez"/>
    <s v="PMTRX00087486"/>
    <n v="5067845"/>
    <n v="1"/>
    <n v="96"/>
    <s v=""/>
    <m/>
  </r>
  <r>
    <n v="3198157"/>
    <x v="39"/>
    <s v="06-10-002-000"/>
    <x v="0"/>
    <n v="81357.91"/>
    <n v="0"/>
    <n v="81357.91"/>
    <n v="10000"/>
    <n v="100"/>
    <s v="AMPM54"/>
    <x v="18"/>
    <s v="A-54-ENERGIA-ABRIL"/>
    <s v="Compras"/>
    <s v="xmaltez"/>
    <s v="PMTRX00087486"/>
    <n v="5067846"/>
    <n v="1"/>
    <n v="70"/>
    <s v=""/>
    <m/>
  </r>
  <r>
    <n v="3198158"/>
    <x v="39"/>
    <s v="06-10-002-000"/>
    <x v="0"/>
    <n v="77674.63"/>
    <n v="0"/>
    <n v="77674.63"/>
    <n v="10000"/>
    <n v="100"/>
    <s v="AMPM51"/>
    <x v="71"/>
    <s v="A-51-ENERGIA-ABRIL"/>
    <s v="Compras"/>
    <s v="xmaltez"/>
    <s v="PMTRX00087486"/>
    <n v="5067847"/>
    <n v="1"/>
    <n v="65"/>
    <s v=""/>
    <m/>
  </r>
  <r>
    <n v="3198159"/>
    <x v="39"/>
    <s v="06-10-002-000"/>
    <x v="0"/>
    <n v="1822.49"/>
    <n v="0"/>
    <n v="1822.49"/>
    <n v="10000"/>
    <n v="100"/>
    <s v="AMPM51"/>
    <x v="71"/>
    <s v="A-51-ENERGIA-ABRIL"/>
    <s v="Compras"/>
    <s v="xmaltez"/>
    <s v="PMTRX00087486"/>
    <n v="5067848"/>
    <n v="1"/>
    <n v="65"/>
    <s v=""/>
    <m/>
  </r>
  <r>
    <n v="3198160"/>
    <x v="39"/>
    <s v="06-10-002-000"/>
    <x v="0"/>
    <n v="71949.570000000007"/>
    <n v="0"/>
    <n v="71949.570000000007"/>
    <n v="10000"/>
    <n v="100"/>
    <s v="AMPM25"/>
    <x v="62"/>
    <s v="A-25-ENERGIA-ABRIL"/>
    <s v="Compras"/>
    <s v="xmaltez"/>
    <s v="PMTRX00087486"/>
    <n v="5067849"/>
    <n v="1"/>
    <n v="25"/>
    <s v=""/>
    <m/>
  </r>
  <r>
    <n v="3198161"/>
    <x v="39"/>
    <s v="06-10-002-000"/>
    <x v="0"/>
    <n v="69093.149999999994"/>
    <n v="0"/>
    <n v="69093.149999999994"/>
    <n v="10000"/>
    <n v="100"/>
    <s v="AMPM63"/>
    <x v="32"/>
    <s v="A-63-ENERGIA-ABRIL"/>
    <s v="Compras"/>
    <s v="xmaltez"/>
    <s v="PMTRX00087486"/>
    <n v="5067850"/>
    <n v="1"/>
    <n v="79"/>
    <s v=""/>
    <m/>
  </r>
  <r>
    <n v="3198162"/>
    <x v="39"/>
    <s v="06-10-002-000"/>
    <x v="0"/>
    <n v="96271.4"/>
    <n v="0"/>
    <n v="96271.4"/>
    <n v="10000"/>
    <n v="100"/>
    <s v="AMPM33"/>
    <x v="11"/>
    <s v="A-33-ENERGIA-ABRIL"/>
    <s v="Compras"/>
    <s v="xmaltez"/>
    <s v="PMTRX00087486"/>
    <n v="5067851"/>
    <n v="1"/>
    <n v="39"/>
    <s v=""/>
    <m/>
  </r>
  <r>
    <n v="3198163"/>
    <x v="39"/>
    <s v="06-10-002-000"/>
    <x v="0"/>
    <n v="68354.33"/>
    <n v="0"/>
    <n v="68354.33"/>
    <n v="10000"/>
    <n v="100"/>
    <s v="AMPM41"/>
    <x v="24"/>
    <s v="A-41-ENERGIA-ABRIL"/>
    <s v="Compras"/>
    <s v="xmaltez"/>
    <s v="PMTRX00087486"/>
    <n v="5067852"/>
    <n v="1"/>
    <n v="50"/>
    <s v=""/>
    <m/>
  </r>
  <r>
    <n v="3198164"/>
    <x v="39"/>
    <s v="06-10-002-000"/>
    <x v="0"/>
    <n v="81530.38"/>
    <n v="0"/>
    <n v="81530.38"/>
    <n v="10000"/>
    <n v="100"/>
    <s v="AMPM78"/>
    <x v="81"/>
    <s v="A-78-ENERGIA-ABRIL"/>
    <s v="Compras"/>
    <s v="xmaltez"/>
    <s v="PMTRX00087486"/>
    <n v="5067853"/>
    <n v="1"/>
    <n v="94"/>
    <s v=""/>
    <m/>
  </r>
  <r>
    <n v="3198165"/>
    <x v="39"/>
    <s v="06-10-002-000"/>
    <x v="0"/>
    <n v="77175.92"/>
    <n v="0"/>
    <n v="77175.92"/>
    <n v="10000"/>
    <n v="100"/>
    <s v="AMPM61"/>
    <x v="75"/>
    <s v="A-61-ENERGIA-ABRIL"/>
    <s v="Compras"/>
    <s v="xmaltez"/>
    <s v="PMTRX00087486"/>
    <n v="5067854"/>
    <n v="1"/>
    <n v="77"/>
    <s v=""/>
    <m/>
  </r>
  <r>
    <n v="3198166"/>
    <x v="39"/>
    <s v="06-10-002-000"/>
    <x v="0"/>
    <n v="64306.11"/>
    <n v="0"/>
    <n v="64306.11"/>
    <n v="10000"/>
    <n v="100"/>
    <s v="AMPM75"/>
    <x v="36"/>
    <s v="A-75-ENERGIA-ABRIL"/>
    <s v="Compras"/>
    <s v="xmaltez"/>
    <s v="PMTRX00087486"/>
    <n v="5067855"/>
    <n v="1"/>
    <n v="91"/>
    <s v=""/>
    <m/>
  </r>
  <r>
    <n v="3198167"/>
    <x v="39"/>
    <s v="06-10-002-000"/>
    <x v="0"/>
    <n v="81029.48"/>
    <n v="0"/>
    <n v="81029.48"/>
    <n v="10000"/>
    <n v="100"/>
    <s v="AMPM30"/>
    <x v="39"/>
    <s v="A-30-ENERGIA-ABRIL"/>
    <s v="Compras"/>
    <s v="xmaltez"/>
    <s v="PMTRX00087486"/>
    <n v="5067856"/>
    <n v="1"/>
    <n v="37"/>
    <s v=""/>
    <m/>
  </r>
  <r>
    <n v="3198168"/>
    <x v="39"/>
    <s v="06-10-002-000"/>
    <x v="0"/>
    <n v="65279.46"/>
    <n v="0"/>
    <n v="65279.46"/>
    <n v="10000"/>
    <n v="100"/>
    <s v="AMPM84"/>
    <x v="29"/>
    <s v="A-84-ENERGIA-ABRIL"/>
    <s v="Compras"/>
    <s v="xmaltez"/>
    <s v="PMTRX00087486"/>
    <n v="5067857"/>
    <n v="1"/>
    <n v="100"/>
    <s v=""/>
    <m/>
  </r>
  <r>
    <n v="3198169"/>
    <x v="39"/>
    <s v="06-10-002-000"/>
    <x v="0"/>
    <n v="88538.5"/>
    <n v="0"/>
    <n v="88538.5"/>
    <n v="10000"/>
    <n v="100"/>
    <s v="AMPM27"/>
    <x v="8"/>
    <s v="A-27-ENERGIA-ABRIL"/>
    <s v="Compras"/>
    <s v="xmaltez"/>
    <s v="PMTRX00087486"/>
    <n v="5067858"/>
    <n v="1"/>
    <n v="34"/>
    <s v=""/>
    <m/>
  </r>
  <r>
    <n v="3198170"/>
    <x v="39"/>
    <s v="06-10-002-000"/>
    <x v="0"/>
    <n v="2006.87"/>
    <n v="0"/>
    <n v="2006.87"/>
    <n v="10000"/>
    <n v="100"/>
    <s v="AMPM27"/>
    <x v="8"/>
    <s v="A-27-ENERGIA-ABRIL"/>
    <s v="Compras"/>
    <s v="xmaltez"/>
    <s v="PMTRX00087486"/>
    <n v="5067859"/>
    <n v="1"/>
    <n v="34"/>
    <s v=""/>
    <m/>
  </r>
  <r>
    <n v="3198171"/>
    <x v="39"/>
    <s v="06-10-002-000"/>
    <x v="0"/>
    <n v="56761.8"/>
    <n v="0"/>
    <n v="56761.8"/>
    <n v="10000"/>
    <n v="100"/>
    <s v="AMPM52"/>
    <x v="16"/>
    <s v="A-52-ENERGIA-ABRIL"/>
    <s v="Compras"/>
    <s v="xmaltez"/>
    <s v="PMTRX00087486"/>
    <n v="5067860"/>
    <n v="1"/>
    <n v="66"/>
    <s v=""/>
    <m/>
  </r>
  <r>
    <n v="3198172"/>
    <x v="39"/>
    <s v="06-10-002-000"/>
    <x v="0"/>
    <n v="71791.210000000006"/>
    <n v="0"/>
    <n v="71791.210000000006"/>
    <n v="10000"/>
    <n v="100"/>
    <s v="AMPM73"/>
    <x v="17"/>
    <s v="A-73-ENERGIA-ABRIL"/>
    <s v="Compras"/>
    <s v="xmaltez"/>
    <s v="PMTRX00087486"/>
    <n v="5067861"/>
    <n v="1"/>
    <n v="89"/>
    <s v=""/>
    <m/>
  </r>
  <r>
    <n v="3198173"/>
    <x v="39"/>
    <s v="06-10-002-000"/>
    <x v="0"/>
    <n v="69123.91"/>
    <n v="0"/>
    <n v="69123.91"/>
    <n v="10000"/>
    <n v="100"/>
    <s v="AMPM20"/>
    <x v="57"/>
    <s v="A-20-ENERGIA-ABRIL"/>
    <s v="Compras"/>
    <s v="xmaltez"/>
    <s v="PMTRX00087486"/>
    <n v="5067862"/>
    <n v="1"/>
    <n v="20"/>
    <s v=""/>
    <m/>
  </r>
  <r>
    <n v="3198174"/>
    <x v="39"/>
    <s v="06-10-002-000"/>
    <x v="0"/>
    <n v="59144.51"/>
    <n v="0"/>
    <n v="59144.51"/>
    <n v="10000"/>
    <n v="100"/>
    <s v="AMPM37"/>
    <x v="49"/>
    <s v="A-37-ENERGIA-ABRIL"/>
    <s v="Compras"/>
    <s v="xmaltez"/>
    <s v="PMTRX00087486"/>
    <n v="5067863"/>
    <n v="1"/>
    <n v="42"/>
    <s v=""/>
    <m/>
  </r>
  <r>
    <n v="3198175"/>
    <x v="39"/>
    <s v="06-10-002-000"/>
    <x v="0"/>
    <n v="85395.34"/>
    <n v="0"/>
    <n v="85395.34"/>
    <n v="10000"/>
    <n v="100"/>
    <s v="AMPM34"/>
    <x v="85"/>
    <s v="A-34-ENERGIA-ABRIL"/>
    <s v="Compras"/>
    <s v="xmaltez"/>
    <s v="PMTRX00087486"/>
    <n v="5067864"/>
    <n v="1"/>
    <n v="41"/>
    <s v=""/>
    <m/>
  </r>
  <r>
    <n v="3198176"/>
    <x v="39"/>
    <s v="06-10-002-000"/>
    <x v="0"/>
    <n v="56651.62"/>
    <n v="0"/>
    <n v="56651.62"/>
    <n v="10000"/>
    <n v="100"/>
    <s v="AMPM88"/>
    <x v="9"/>
    <s v="A-88-ENERGIA-ABRIL"/>
    <s v="Compras"/>
    <s v="xmaltez"/>
    <s v="PMTRX00087486"/>
    <n v="5067865"/>
    <n v="1"/>
    <n v="102"/>
    <s v=""/>
    <m/>
  </r>
  <r>
    <n v="3198177"/>
    <x v="39"/>
    <s v="06-10-002-000"/>
    <x v="0"/>
    <n v="183"/>
    <n v="0"/>
    <n v="183"/>
    <n v="10000"/>
    <n v="100"/>
    <s v="AMPM29"/>
    <x v="58"/>
    <s v="A-29-ENERGIA-ABRIL"/>
    <s v="Compras"/>
    <s v="xmaltez"/>
    <s v="PMTRX00087486"/>
    <n v="5067866"/>
    <n v="1"/>
    <n v="36"/>
    <s v=""/>
    <m/>
  </r>
  <r>
    <n v="3198178"/>
    <x v="39"/>
    <s v="06-10-002-000"/>
    <x v="0"/>
    <n v="846.92"/>
    <n v="0"/>
    <n v="846.92"/>
    <n v="10000"/>
    <n v="100"/>
    <s v="AMPM91"/>
    <x v="90"/>
    <s v="A-91-ENERGIA-ABRIL"/>
    <s v="Compras"/>
    <s v="xmaltez"/>
    <s v="PMTRX00087486"/>
    <n v="5067867"/>
    <n v="1"/>
    <n v="106"/>
    <s v=""/>
    <m/>
  </r>
  <r>
    <n v="3198179"/>
    <x v="39"/>
    <s v="06-10-002-000"/>
    <x v="0"/>
    <n v="664.36"/>
    <n v="0"/>
    <n v="664.36"/>
    <n v="10000"/>
    <n v="100"/>
    <s v="AMPM91"/>
    <x v="90"/>
    <s v="A-91-ENERGIA-ABRIL"/>
    <s v="Compras"/>
    <s v="xmaltez"/>
    <s v="PMTRX00087486"/>
    <n v="5067868"/>
    <n v="1"/>
    <n v="106"/>
    <s v=""/>
    <m/>
  </r>
  <r>
    <n v="3198180"/>
    <x v="39"/>
    <s v="06-10-002-000"/>
    <x v="0"/>
    <n v="2160.38"/>
    <n v="0"/>
    <n v="2160.38"/>
    <n v="10000"/>
    <n v="100"/>
    <s v="AMPM39"/>
    <x v="31"/>
    <s v="A-39-ENERGIA-ABRIL"/>
    <s v="Compras"/>
    <s v="xmaltez"/>
    <s v="PMTRX00087486"/>
    <n v="5067869"/>
    <n v="1"/>
    <n v="48"/>
    <s v=""/>
    <m/>
  </r>
  <r>
    <n v="3198181"/>
    <x v="39"/>
    <s v="06-10-002-000"/>
    <x v="0"/>
    <n v="68088.44"/>
    <n v="0"/>
    <n v="68088.44"/>
    <n v="10000"/>
    <n v="100"/>
    <s v="AMPM89"/>
    <x v="87"/>
    <s v="A-89-ENERGIA-ABRIL"/>
    <s v="Compras"/>
    <s v="xmaltez"/>
    <s v="PMTRX00087486"/>
    <n v="5067870"/>
    <n v="1"/>
    <n v="105"/>
    <s v=""/>
    <m/>
  </r>
  <r>
    <n v="3198182"/>
    <x v="39"/>
    <s v="06-10-002-000"/>
    <x v="0"/>
    <n v="396.76"/>
    <n v="0"/>
    <n v="396.76"/>
    <n v="10000"/>
    <n v="100"/>
    <s v="OPERACIONES"/>
    <x v="10"/>
    <s v="OPERACIONES-ENERGIA-ABRIL"/>
    <s v="Compras"/>
    <s v="xmaltez"/>
    <s v="PMTRX00087486"/>
    <n v="5067871"/>
    <n v="1"/>
    <n v="31"/>
    <s v=""/>
    <m/>
  </r>
  <r>
    <n v="3198183"/>
    <x v="39"/>
    <s v="06-10-002-000"/>
    <x v="0"/>
    <n v="555.55999999999995"/>
    <n v="0"/>
    <n v="555.55999999999995"/>
    <n v="10000"/>
    <n v="100"/>
    <s v="AMPM49"/>
    <x v="72"/>
    <s v="A-49-ENERGIA-ABRIL"/>
    <s v="Compras"/>
    <s v="xmaltez"/>
    <s v="PMTRX00087486"/>
    <n v="5067872"/>
    <n v="1"/>
    <n v="63"/>
    <s v=""/>
    <m/>
  </r>
  <r>
    <n v="3198184"/>
    <x v="39"/>
    <s v="06-10-002-000"/>
    <x v="0"/>
    <n v="525.03"/>
    <n v="0"/>
    <n v="525.03"/>
    <n v="10000"/>
    <n v="100"/>
    <s v="AMPM49"/>
    <x v="72"/>
    <s v="A-49-ENERGIA-ABRIL"/>
    <s v="Compras"/>
    <s v="xmaltez"/>
    <s v="PMTRX00087486"/>
    <n v="5067873"/>
    <n v="1"/>
    <n v="63"/>
    <s v=""/>
    <m/>
  </r>
  <r>
    <n v="3198185"/>
    <x v="39"/>
    <s v="06-10-002-000"/>
    <x v="0"/>
    <n v="50368.18"/>
    <n v="0"/>
    <n v="50368.18"/>
    <n v="10000"/>
    <n v="100"/>
    <s v="AMPM86"/>
    <x v="88"/>
    <s v="A-86-ENERGIA-ABRIL"/>
    <s v="Compras"/>
    <s v="xmaltez"/>
    <s v="PMTRX00087486"/>
    <n v="5067874"/>
    <n v="1"/>
    <n v="104"/>
    <s v=""/>
    <m/>
  </r>
  <r>
    <n v="3198186"/>
    <x v="39"/>
    <s v="06-10-002-000"/>
    <x v="0"/>
    <n v="535.07000000000005"/>
    <n v="0"/>
    <n v="535.07000000000005"/>
    <n v="10000"/>
    <n v="100"/>
    <s v="AMPM03"/>
    <x v="61"/>
    <s v="A-03-ENERGIA-ABRIL"/>
    <s v="Compras"/>
    <s v="xmaltez"/>
    <s v="PMTRX00087486"/>
    <n v="5067875"/>
    <n v="1"/>
    <n v="3"/>
    <s v=""/>
    <m/>
  </r>
  <r>
    <n v="3198187"/>
    <x v="39"/>
    <s v="06-10-002-000"/>
    <x v="0"/>
    <n v="1979.01"/>
    <n v="0"/>
    <n v="1979.01"/>
    <n v="10000"/>
    <n v="100"/>
    <s v="AMPM35"/>
    <x v="14"/>
    <s v="A-35-ENERGIA-ABRIL"/>
    <s v="Compras"/>
    <s v="xmaltez"/>
    <s v="PMTRX00087486"/>
    <n v="5067876"/>
    <n v="1"/>
    <n v="43"/>
    <s v=""/>
    <m/>
  </r>
  <r>
    <n v="3198188"/>
    <x v="39"/>
    <s v="06-10-002-000"/>
    <x v="0"/>
    <n v="2256.33"/>
    <n v="0"/>
    <n v="2256.33"/>
    <n v="10000"/>
    <n v="100"/>
    <s v="AMPM67"/>
    <x v="80"/>
    <s v="A-67-ENERGIA-ABRIL"/>
    <s v="Compras"/>
    <s v="xmaltez"/>
    <s v="PMTRX00087486"/>
    <n v="5067877"/>
    <n v="1"/>
    <n v="83"/>
    <s v=""/>
    <m/>
  </r>
  <r>
    <n v="3198189"/>
    <x v="39"/>
    <s v="06-10-002-000"/>
    <x v="0"/>
    <n v="1889.87"/>
    <n v="0"/>
    <n v="1889.87"/>
    <n v="10000"/>
    <n v="100"/>
    <s v="AMPM12"/>
    <x v="51"/>
    <s v="A-12-ENERGIA-ABRIL"/>
    <s v="Compras"/>
    <s v="xmaltez"/>
    <s v="PMTRX00087486"/>
    <n v="5067878"/>
    <n v="1"/>
    <n v="12"/>
    <s v=""/>
    <m/>
  </r>
  <r>
    <n v="3198190"/>
    <x v="39"/>
    <s v="06-10-002-000"/>
    <x v="0"/>
    <n v="2086.7399999999998"/>
    <n v="0"/>
    <n v="2086.7399999999998"/>
    <n v="10000"/>
    <n v="100"/>
    <s v="AMPM13"/>
    <x v="54"/>
    <s v="A-13-ENERGIA-ABRIL"/>
    <s v="Compras"/>
    <s v="xmaltez"/>
    <s v="PMTRX00087486"/>
    <n v="5067879"/>
    <n v="1"/>
    <n v="13"/>
    <s v=""/>
    <m/>
  </r>
  <r>
    <n v="3198191"/>
    <x v="39"/>
    <s v="06-10-002-000"/>
    <x v="0"/>
    <n v="80092.88"/>
    <n v="0"/>
    <n v="80092.88"/>
    <n v="10000"/>
    <n v="100"/>
    <s v="AMPM13"/>
    <x v="54"/>
    <s v="A-13-ENERGIA-ABRIL"/>
    <s v="Compras"/>
    <s v="xmaltez"/>
    <s v="PMTRX00087486"/>
    <n v="5067880"/>
    <n v="1"/>
    <n v="13"/>
    <s v=""/>
    <m/>
  </r>
  <r>
    <n v="3198192"/>
    <x v="39"/>
    <s v="06-10-002-000"/>
    <x v="0"/>
    <n v="134.13999999999999"/>
    <n v="0"/>
    <n v="134.13999999999999"/>
    <n v="10000"/>
    <n v="100"/>
    <s v="AMPM28"/>
    <x v="2"/>
    <s v="A-28-ENERGIA-ABRIL"/>
    <s v="Compras"/>
    <s v="xmaltez"/>
    <s v="PMTRX00087486"/>
    <n v="5067881"/>
    <n v="1"/>
    <n v="35"/>
    <s v=""/>
    <m/>
  </r>
  <r>
    <n v="3198193"/>
    <x v="39"/>
    <s v="06-10-002-000"/>
    <x v="0"/>
    <n v="55534.62"/>
    <n v="0"/>
    <n v="55534.62"/>
    <n v="10000"/>
    <n v="100"/>
    <s v="AMPM28"/>
    <x v="2"/>
    <s v="A-28-ENERGIA-ABRIL"/>
    <s v="Compras"/>
    <s v="xmaltez"/>
    <s v="PMTRX00087486"/>
    <n v="5067882"/>
    <n v="1"/>
    <n v="35"/>
    <s v=""/>
    <m/>
  </r>
  <r>
    <n v="3198194"/>
    <x v="39"/>
    <s v="06-10-002-000"/>
    <x v="0"/>
    <n v="305.14"/>
    <n v="0"/>
    <n v="305.14"/>
    <n v="10000"/>
    <n v="100"/>
    <s v="AMPM01"/>
    <x v="25"/>
    <s v="A-01-ENERGIA-ABRIL"/>
    <s v="Compras"/>
    <s v="xmaltez"/>
    <s v="PMTRX00087486"/>
    <n v="5067883"/>
    <n v="1"/>
    <n v="1"/>
    <s v=""/>
    <m/>
  </r>
  <r>
    <n v="3198195"/>
    <x v="39"/>
    <s v="06-10-002-000"/>
    <x v="0"/>
    <n v="470.04"/>
    <n v="0"/>
    <n v="470.04"/>
    <n v="10000"/>
    <n v="100"/>
    <s v="AMPM07"/>
    <x v="44"/>
    <s v="A-07-ENERGIA-ABRIL"/>
    <s v="Compras"/>
    <s v="xmaltez"/>
    <s v="PMTRX00087486"/>
    <n v="5067884"/>
    <n v="1"/>
    <n v="7"/>
    <s v=""/>
    <m/>
  </r>
  <r>
    <n v="3198196"/>
    <x v="39"/>
    <s v="06-10-002-000"/>
    <x v="0"/>
    <n v="56933.11"/>
    <n v="0"/>
    <n v="56933.11"/>
    <n v="10000"/>
    <n v="100"/>
    <s v="AMPM02"/>
    <x v="28"/>
    <s v="A-02-ENERGIA-ABRIL"/>
    <s v="Compras"/>
    <s v="xmaltez"/>
    <s v="PMTRX00087486"/>
    <n v="5067885"/>
    <n v="1"/>
    <n v="2"/>
    <s v=""/>
    <m/>
  </r>
  <r>
    <n v="3198197"/>
    <x v="39"/>
    <s v="06-10-002-000"/>
    <x v="0"/>
    <n v="50095.44"/>
    <n v="0"/>
    <n v="50095.44"/>
    <n v="10000"/>
    <n v="100"/>
    <s v="AMPM15"/>
    <x v="1"/>
    <s v="A-15-ENERGIA-ABRIL"/>
    <s v="Compras"/>
    <s v="xmaltez"/>
    <s v="PMTRX00087486"/>
    <n v="5067886"/>
    <n v="1"/>
    <n v="15"/>
    <s v=""/>
    <m/>
  </r>
  <r>
    <n v="3198198"/>
    <x v="39"/>
    <s v="06-10-002-000"/>
    <x v="0"/>
    <n v="950.57"/>
    <n v="0"/>
    <n v="950.57"/>
    <n v="10000"/>
    <n v="100"/>
    <s v="AMPM15"/>
    <x v="1"/>
    <s v="A-15-ENERGIA-ABRIL"/>
    <s v="Compras"/>
    <s v="xmaltez"/>
    <s v="PMTRX00087486"/>
    <n v="5067887"/>
    <n v="1"/>
    <n v="15"/>
    <s v=""/>
    <m/>
  </r>
  <r>
    <n v="3198199"/>
    <x v="39"/>
    <s v="06-10-002-000"/>
    <x v="0"/>
    <n v="76880.89"/>
    <n v="0"/>
    <n v="76880.89"/>
    <n v="10000"/>
    <n v="100"/>
    <s v="AMPM07"/>
    <x v="44"/>
    <s v="A-07-ENERGIA-ABRIL"/>
    <s v="Compras"/>
    <s v="xmaltez"/>
    <s v="PMTRX00087486"/>
    <n v="5067888"/>
    <n v="1"/>
    <n v="7"/>
    <s v=""/>
    <m/>
  </r>
  <r>
    <n v="3198200"/>
    <x v="39"/>
    <s v="06-10-002-000"/>
    <x v="0"/>
    <n v="22127.27"/>
    <n v="0"/>
    <n v="22127.27"/>
    <n v="10000"/>
    <n v="100"/>
    <s v="AMPM08"/>
    <x v="47"/>
    <s v="A-08-ENERGIA-ABRIL"/>
    <s v="Compras"/>
    <s v="xmaltez"/>
    <s v="PMTRX00087486"/>
    <n v="5067889"/>
    <n v="1"/>
    <n v="8"/>
    <s v=""/>
    <m/>
  </r>
  <r>
    <n v="3198201"/>
    <x v="39"/>
    <s v="06-10-002-000"/>
    <x v="0"/>
    <n v="36014.86"/>
    <n v="0"/>
    <n v="36014.86"/>
    <n v="10000"/>
    <n v="100"/>
    <s v="AMPM08"/>
    <x v="47"/>
    <s v="A-08-ENERGIA-ABRIL"/>
    <s v="Compras"/>
    <s v="xmaltez"/>
    <s v="PMTRX00087486"/>
    <n v="5067890"/>
    <n v="1"/>
    <n v="8"/>
    <s v=""/>
    <m/>
  </r>
  <r>
    <n v="3198202"/>
    <x v="39"/>
    <s v="06-10-002-000"/>
    <x v="0"/>
    <n v="57701.69"/>
    <n v="0"/>
    <n v="57701.69"/>
    <n v="10000"/>
    <n v="100"/>
    <s v="AMPM69"/>
    <x v="30"/>
    <s v="A-69-ENERGIA-ABRIL"/>
    <s v="Compras"/>
    <s v="xmaltez"/>
    <s v="PMTRX00087486"/>
    <n v="5067891"/>
    <n v="1"/>
    <n v="85"/>
    <s v=""/>
    <m/>
  </r>
  <r>
    <n v="3198203"/>
    <x v="39"/>
    <s v="06-10-002-000"/>
    <x v="0"/>
    <n v="43946.46"/>
    <n v="0"/>
    <n v="43946.46"/>
    <n v="10000"/>
    <n v="100"/>
    <s v="AMPM35"/>
    <x v="14"/>
    <s v="A-35-ENERGIA-ABRIL"/>
    <s v="Compras"/>
    <s v="xmaltez"/>
    <s v="PMTRX00087486"/>
    <n v="5067892"/>
    <n v="1"/>
    <n v="43"/>
    <s v=""/>
    <m/>
  </r>
  <r>
    <n v="3198204"/>
    <x v="39"/>
    <s v="06-10-002-000"/>
    <x v="0"/>
    <n v="67311.539999999994"/>
    <n v="0"/>
    <n v="67311.539999999994"/>
    <n v="10000"/>
    <n v="100"/>
    <s v="AMPM74"/>
    <x v="40"/>
    <s v="A-74-ENERGIA-ABRIL"/>
    <s v="Compras"/>
    <s v="xmaltez"/>
    <s v="PMTRX00087486"/>
    <n v="5067893"/>
    <n v="1"/>
    <n v="90"/>
    <s v=""/>
    <m/>
  </r>
  <r>
    <n v="3198205"/>
    <x v="39"/>
    <s v="06-10-002-000"/>
    <x v="0"/>
    <n v="67588.22"/>
    <n v="0"/>
    <n v="67588.22"/>
    <n v="10000"/>
    <n v="100"/>
    <s v="AMPM29"/>
    <x v="58"/>
    <s v="A-29-ENERGIA-ABRIL"/>
    <s v="Compras"/>
    <s v="xmaltez"/>
    <s v="PMTRX00087486"/>
    <n v="5067894"/>
    <n v="1"/>
    <n v="36"/>
    <s v=""/>
    <m/>
  </r>
  <r>
    <n v="3198206"/>
    <x v="39"/>
    <s v="06-10-002-000"/>
    <x v="0"/>
    <n v="45458.400000000001"/>
    <n v="0"/>
    <n v="45458.400000000001"/>
    <n v="10000"/>
    <n v="100"/>
    <s v="MONITOREO"/>
    <x v="63"/>
    <s v="MONITOREO-ENERGIA-ABRIL"/>
    <s v="Compras"/>
    <s v="xmaltez"/>
    <s v="PMTRX00087486"/>
    <n v="5067895"/>
    <n v="1"/>
    <n v="30"/>
    <s v=""/>
    <m/>
  </r>
  <r>
    <n v="3198207"/>
    <x v="39"/>
    <s v="06-10-002-000"/>
    <x v="0"/>
    <n v="63778.16"/>
    <n v="0"/>
    <n v="63778.16"/>
    <n v="10000"/>
    <n v="100"/>
    <s v="AMPM04"/>
    <x v="26"/>
    <s v="A-04-ENERGIA-ABRIL"/>
    <s v="Compras"/>
    <s v="xmaltez"/>
    <s v="PMTRX00087486"/>
    <n v="5067896"/>
    <n v="1"/>
    <n v="4"/>
    <s v=""/>
    <m/>
  </r>
  <r>
    <n v="3198208"/>
    <x v="39"/>
    <s v="06-10-002-000"/>
    <x v="0"/>
    <n v="60488.97"/>
    <n v="0"/>
    <n v="60488.97"/>
    <n v="10000"/>
    <n v="100"/>
    <s v="AMPM06"/>
    <x v="13"/>
    <s v="A-06-ENERGIA-ABRIL"/>
    <s v="Compras"/>
    <s v="xmaltez"/>
    <s v="PMTRX00087486"/>
    <n v="5067897"/>
    <n v="1"/>
    <n v="6"/>
    <s v=""/>
    <m/>
  </r>
  <r>
    <n v="3198209"/>
    <x v="39"/>
    <s v="06-10-002-000"/>
    <x v="0"/>
    <n v="67387.399999999994"/>
    <n v="0"/>
    <n v="67387.399999999994"/>
    <n v="10000"/>
    <n v="100"/>
    <s v="AMPM16"/>
    <x v="43"/>
    <s v="A-16-ENERGIA-ABRIL"/>
    <s v="Compras"/>
    <s v="xmaltez"/>
    <s v="PMTRX00087486"/>
    <n v="5067898"/>
    <n v="1"/>
    <n v="16"/>
    <s v=""/>
    <m/>
  </r>
  <r>
    <n v="3198210"/>
    <x v="39"/>
    <s v="06-10-002-000"/>
    <x v="0"/>
    <n v="82331.839999999997"/>
    <n v="0"/>
    <n v="82331.839999999997"/>
    <n v="10000"/>
    <n v="100"/>
    <s v="AMPM38"/>
    <x v="41"/>
    <s v="A-38-ENERGIA-ABRIL"/>
    <s v="Compras"/>
    <s v="xmaltez"/>
    <s v="PMTRX00087486"/>
    <n v="5067899"/>
    <n v="1"/>
    <n v="47"/>
    <s v=""/>
    <m/>
  </r>
  <r>
    <n v="3198211"/>
    <x v="39"/>
    <s v="06-10-002-000"/>
    <x v="0"/>
    <n v="2410.64"/>
    <n v="0"/>
    <n v="2410.64"/>
    <n v="10000"/>
    <n v="100"/>
    <s v="AMPM38"/>
    <x v="41"/>
    <s v="A-38-ENERGIA-ABRIL"/>
    <s v="Compras"/>
    <s v="xmaltez"/>
    <s v="PMTRX00087486"/>
    <n v="5067900"/>
    <n v="1"/>
    <n v="47"/>
    <s v=""/>
    <m/>
  </r>
  <r>
    <n v="3198212"/>
    <x v="39"/>
    <s v="06-10-002-000"/>
    <x v="0"/>
    <n v="80468.800000000003"/>
    <n v="0"/>
    <n v="80468.800000000003"/>
    <n v="10000"/>
    <n v="100"/>
    <s v="AMPM79"/>
    <x v="82"/>
    <s v="A-79-ENERGIA-ABRIL"/>
    <s v="Compras"/>
    <s v="xmaltez"/>
    <s v="PMTRX00087486"/>
    <n v="5067901"/>
    <n v="1"/>
    <n v="95"/>
    <s v=""/>
    <m/>
  </r>
  <r>
    <n v="3198213"/>
    <x v="39"/>
    <s v="06-10-002-000"/>
    <x v="0"/>
    <n v="90026.4"/>
    <n v="0"/>
    <n v="90026.4"/>
    <n v="10000"/>
    <n v="100"/>
    <s v="AMPM65"/>
    <x v="78"/>
    <s v="A-65-ENERGIA-ABRIL"/>
    <s v="Compras"/>
    <s v="xmaltez"/>
    <s v="PMTRX00087486"/>
    <n v="5067902"/>
    <n v="1"/>
    <n v="81"/>
    <s v=""/>
    <m/>
  </r>
  <r>
    <n v="3198214"/>
    <x v="39"/>
    <s v="06-10-002-000"/>
    <x v="0"/>
    <n v="80456.289999999994"/>
    <n v="0"/>
    <n v="80456.289999999994"/>
    <n v="10000"/>
    <n v="100"/>
    <s v="AMPM81"/>
    <x v="83"/>
    <s v="A-81-ENERGIA-ABRIL"/>
    <s v="Compras"/>
    <s v="xmaltez"/>
    <s v="PMTRX00087486"/>
    <n v="5067903"/>
    <n v="1"/>
    <n v="99"/>
    <s v=""/>
    <m/>
  </r>
  <r>
    <n v="3198215"/>
    <x v="39"/>
    <s v="06-10-002-000"/>
    <x v="0"/>
    <n v="3641.04"/>
    <n v="0"/>
    <n v="3641.04"/>
    <n v="10000"/>
    <n v="100"/>
    <s v="AMPM18"/>
    <x v="55"/>
    <s v="A-18-ENERGIA-ABRIL"/>
    <s v="Compras"/>
    <s v="xmaltez"/>
    <s v="PMTRX00087486"/>
    <n v="5067904"/>
    <n v="1"/>
    <n v="18"/>
    <s v=""/>
    <m/>
  </r>
  <r>
    <n v="3198216"/>
    <x v="39"/>
    <s v="06-10-002-000"/>
    <x v="0"/>
    <n v="1971.33"/>
    <n v="0"/>
    <n v="1971.33"/>
    <n v="10000"/>
    <n v="100"/>
    <s v="AMPM45"/>
    <x v="68"/>
    <s v="A-45-ENERGIA-ABRIL"/>
    <s v="Compras"/>
    <s v="xmaltez"/>
    <s v="PMTRX00087486"/>
    <n v="5067905"/>
    <n v="1"/>
    <n v="59"/>
    <s v=""/>
    <m/>
  </r>
  <r>
    <n v="3198217"/>
    <x v="39"/>
    <s v="06-10-002-000"/>
    <x v="0"/>
    <n v="61181.74"/>
    <n v="0"/>
    <n v="61181.74"/>
    <n v="10000"/>
    <n v="100"/>
    <s v="AMPM19"/>
    <x v="56"/>
    <s v="A-19-ENERGIA-ABRIL"/>
    <s v="Compras"/>
    <s v="xmaltez"/>
    <s v="PMTRX00087486"/>
    <n v="5067906"/>
    <n v="1"/>
    <n v="19"/>
    <s v=""/>
    <m/>
  </r>
  <r>
    <n v="3198218"/>
    <x v="39"/>
    <s v="06-10-002-000"/>
    <x v="0"/>
    <n v="61209.94"/>
    <n v="0"/>
    <n v="61209.94"/>
    <n v="10000"/>
    <n v="100"/>
    <s v="AMPM10"/>
    <x v="45"/>
    <s v="A-10-ENERGIA-ABRIL"/>
    <s v="Compras"/>
    <s v="xmaltez"/>
    <s v="PMTRX00087486"/>
    <n v="5067907"/>
    <n v="1"/>
    <n v="10"/>
    <s v=""/>
    <m/>
  </r>
  <r>
    <n v="3198219"/>
    <x v="39"/>
    <s v="06-10-002-000"/>
    <x v="0"/>
    <n v="45361.98"/>
    <n v="0"/>
    <n v="45361.98"/>
    <n v="10000"/>
    <n v="100"/>
    <s v="AMPM01"/>
    <x v="25"/>
    <s v="A-01-ENERGIA-ABRIL"/>
    <s v="Compras"/>
    <s v="xmaltez"/>
    <s v="PMTRX00087486"/>
    <n v="5067908"/>
    <n v="1"/>
    <n v="1"/>
    <s v=""/>
    <m/>
  </r>
  <r>
    <n v="3198220"/>
    <x v="39"/>
    <s v="06-10-002-000"/>
    <x v="0"/>
    <n v="136.28"/>
    <n v="0"/>
    <n v="136.28"/>
    <n v="10000"/>
    <n v="100"/>
    <s v="AMPM19"/>
    <x v="56"/>
    <s v="A-19-ENERGIA-ABRIL"/>
    <s v="Compras"/>
    <s v="xmaltez"/>
    <s v="PMTRX00087486"/>
    <n v="5067909"/>
    <n v="1"/>
    <n v="19"/>
    <s v=""/>
    <m/>
  </r>
  <r>
    <n v="3198221"/>
    <x v="39"/>
    <s v="06-10-002-000"/>
    <x v="0"/>
    <n v="102847.44"/>
    <n v="0"/>
    <n v="102847.44"/>
    <n v="10000"/>
    <n v="100"/>
    <s v="AMPM91"/>
    <x v="90"/>
    <s v="A-91-ENERGIA-ABRIL"/>
    <s v="Compras"/>
    <s v="xmaltez"/>
    <s v="PMTRX00087486"/>
    <n v="5067910"/>
    <n v="1"/>
    <n v="106"/>
    <s v=""/>
    <m/>
  </r>
  <r>
    <n v="3198222"/>
    <x v="39"/>
    <s v="06-10-002-000"/>
    <x v="0"/>
    <n v="3225.54"/>
    <n v="0"/>
    <n v="3225.54"/>
    <n v="10000"/>
    <n v="100"/>
    <s v="AMPM01"/>
    <x v="25"/>
    <s v="A-01-ENERGIA-ABRIL"/>
    <s v="Compras"/>
    <s v="xmaltez"/>
    <s v="PMTRX00087486"/>
    <n v="5067911"/>
    <n v="1"/>
    <n v="1"/>
    <s v=""/>
    <m/>
  </r>
  <r>
    <n v="3198223"/>
    <x v="39"/>
    <s v="06-10-002-000"/>
    <x v="0"/>
    <n v="65215.39"/>
    <n v="0"/>
    <n v="65215.39"/>
    <n v="10000"/>
    <n v="100"/>
    <s v="AMPM49"/>
    <x v="72"/>
    <s v="A-49-ENERGIA-ABRIL"/>
    <s v="Compras"/>
    <s v="xmaltez"/>
    <s v="PMTRX00087486"/>
    <n v="5067912"/>
    <n v="1"/>
    <n v="63"/>
    <s v=""/>
    <m/>
  </r>
  <r>
    <n v="3198224"/>
    <x v="39"/>
    <s v="06-10-002-000"/>
    <x v="0"/>
    <n v="57507.360000000001"/>
    <n v="0"/>
    <n v="57507.360000000001"/>
    <n v="10000"/>
    <n v="100"/>
    <s v="AMPM43"/>
    <x v="35"/>
    <s v="A-43-ENERGIA-ABRIL"/>
    <s v="Compras"/>
    <s v="xmaltez"/>
    <s v="PMTRX00087486"/>
    <n v="5067913"/>
    <n v="1"/>
    <n v="58"/>
    <s v=""/>
    <m/>
  </r>
  <r>
    <n v="3198225"/>
    <x v="39"/>
    <s v="06-10-002-000"/>
    <x v="0"/>
    <n v="57212.62"/>
    <n v="0"/>
    <n v="57212.62"/>
    <n v="10000"/>
    <n v="100"/>
    <s v="AMPM39"/>
    <x v="31"/>
    <s v="A-39-ENERGIA-ABRIL"/>
    <s v="Compras"/>
    <s v="xmaltez"/>
    <s v="PMTRX00087486"/>
    <n v="5067914"/>
    <n v="1"/>
    <n v="48"/>
    <s v=""/>
    <m/>
  </r>
  <r>
    <n v="3198226"/>
    <x v="39"/>
    <s v="06-10-002-000"/>
    <x v="0"/>
    <n v="28034.43"/>
    <n v="0"/>
    <n v="28034.43"/>
    <n v="10000"/>
    <n v="100"/>
    <s v="AMPM99"/>
    <x v="73"/>
    <s v="CEDI-ENERGIA-ABRIL"/>
    <s v="Compras"/>
    <s v="xmaltez"/>
    <s v="PMTRX00087486"/>
    <n v="5067915"/>
    <n v="1"/>
    <n v="33"/>
    <s v=""/>
    <m/>
  </r>
  <r>
    <n v="3198227"/>
    <x v="39"/>
    <s v="06-10-002-000"/>
    <x v="0"/>
    <n v="82541.86"/>
    <n v="0"/>
    <n v="82541.86"/>
    <n v="10000"/>
    <n v="100"/>
    <s v="AMPM12"/>
    <x v="51"/>
    <s v="A-12-ENERGIA-ABRIL"/>
    <s v="Compras"/>
    <s v="xmaltez"/>
    <s v="PMTRX00087486"/>
    <n v="5067916"/>
    <n v="1"/>
    <n v="12"/>
    <s v=""/>
    <m/>
  </r>
  <r>
    <n v="3198228"/>
    <x v="39"/>
    <s v="06-10-002-000"/>
    <x v="0"/>
    <n v="10066.02"/>
    <n v="0"/>
    <n v="10066.02"/>
    <n v="10000"/>
    <n v="100"/>
    <s v="AMPM14"/>
    <x v="53"/>
    <s v="A-14-ENERGIA-ABRIL"/>
    <s v="Compras"/>
    <s v="xmaltez"/>
    <s v="PMTRX00087486"/>
    <n v="5067917"/>
    <n v="1"/>
    <n v="14"/>
    <s v=""/>
    <m/>
  </r>
  <r>
    <n v="3198229"/>
    <x v="39"/>
    <s v="06-10-002-000"/>
    <x v="0"/>
    <n v="1089.07"/>
    <n v="0"/>
    <n v="1089.07"/>
    <n v="10000"/>
    <n v="100"/>
    <s v="AMPM14"/>
    <x v="53"/>
    <s v="A-14-ENERGIA-ABRIL"/>
    <s v="Compras"/>
    <s v="xmaltez"/>
    <s v="PMTRX00087486"/>
    <n v="5067918"/>
    <n v="1"/>
    <n v="14"/>
    <s v=""/>
    <m/>
  </r>
  <r>
    <n v="3198230"/>
    <x v="39"/>
    <s v="06-10-002-000"/>
    <x v="0"/>
    <n v="28686.78"/>
    <n v="0"/>
    <n v="28686.78"/>
    <n v="10000"/>
    <n v="100"/>
    <s v="AMPM14"/>
    <x v="53"/>
    <s v="A-14-ENERGIA-ABRIL"/>
    <s v="Compras"/>
    <s v="xmaltez"/>
    <s v="PMTRX00087486"/>
    <n v="5067919"/>
    <n v="1"/>
    <n v="14"/>
    <s v=""/>
    <m/>
  </r>
  <r>
    <n v="3198231"/>
    <x v="39"/>
    <s v="06-10-002-000"/>
    <x v="0"/>
    <n v="64991.79"/>
    <n v="0"/>
    <n v="64991.79"/>
    <n v="10000"/>
    <n v="100"/>
    <s v="AMPM03"/>
    <x v="61"/>
    <s v="A-03-ENERGIA-ABRIL"/>
    <s v="Compras"/>
    <s v="xmaltez"/>
    <s v="PMTRX00087486"/>
    <n v="5067920"/>
    <n v="1"/>
    <n v="3"/>
    <s v=""/>
    <m/>
  </r>
  <r>
    <n v="3198232"/>
    <x v="39"/>
    <s v="06-10-002-000"/>
    <x v="0"/>
    <n v="69976.28"/>
    <n v="0"/>
    <n v="69976.28"/>
    <n v="10000"/>
    <n v="100"/>
    <s v="AMPM83"/>
    <x v="15"/>
    <s v="A-83-ENERGIA-ABRIL"/>
    <s v="Compras"/>
    <s v="xmaltez"/>
    <s v="PMTRX00087486"/>
    <n v="5067921"/>
    <n v="1"/>
    <n v="97"/>
    <s v=""/>
    <m/>
  </r>
  <r>
    <n v="3198233"/>
    <x v="39"/>
    <s v="06-10-002-000"/>
    <x v="0"/>
    <n v="14723.61"/>
    <n v="0"/>
    <n v="14723.61"/>
    <n v="10000"/>
    <n v="100"/>
    <s v="ADMON"/>
    <x v="48"/>
    <s v="ADMON-ENERGIA-ABRIL"/>
    <s v="Compras"/>
    <s v="xmaltez"/>
    <s v="PMTRX00087486"/>
    <n v="5067922"/>
    <n v="1"/>
    <n v="27"/>
    <s v=""/>
    <m/>
  </r>
  <r>
    <n v="3198234"/>
    <x v="39"/>
    <s v="06-10-002-000"/>
    <x v="0"/>
    <n v="24159.16"/>
    <n v="0"/>
    <n v="24159.16"/>
    <n v="10000"/>
    <n v="100"/>
    <s v="ADMON"/>
    <x v="48"/>
    <s v="ADMON-ENERGIA-ABRIL"/>
    <s v="Compras"/>
    <s v="xmaltez"/>
    <s v="PMTRX00087486"/>
    <n v="5067923"/>
    <n v="1"/>
    <n v="27"/>
    <s v=""/>
    <m/>
  </r>
  <r>
    <n v="3198235"/>
    <x v="39"/>
    <s v="06-10-002-000"/>
    <x v="0"/>
    <n v="10204.52"/>
    <n v="0"/>
    <n v="10204.52"/>
    <n v="10000"/>
    <n v="100"/>
    <s v="ADMON"/>
    <x v="48"/>
    <s v="ADMON-ENERGIA-ABRIL"/>
    <s v="Compras"/>
    <s v="xmaltez"/>
    <s v="PMTRX00087486"/>
    <n v="5067924"/>
    <n v="1"/>
    <n v="27"/>
    <s v=""/>
    <m/>
  </r>
  <r>
    <n v="3198236"/>
    <x v="39"/>
    <s v="06-10-002-000"/>
    <x v="0"/>
    <n v="16335.85"/>
    <n v="0"/>
    <n v="16335.85"/>
    <n v="10000"/>
    <n v="100"/>
    <s v="ADMON"/>
    <x v="48"/>
    <s v="ADMON-ENERGIA-ABRIL"/>
    <s v="Compras"/>
    <s v="xmaltez"/>
    <s v="PMTRX00087486"/>
    <n v="5067925"/>
    <n v="1"/>
    <n v="27"/>
    <s v=""/>
    <m/>
  </r>
  <r>
    <n v="3198237"/>
    <x v="39"/>
    <s v="06-10-002-000"/>
    <x v="0"/>
    <n v="72845.149999999994"/>
    <n v="0"/>
    <n v="72845.149999999994"/>
    <n v="10000"/>
    <n v="100"/>
    <s v="AMPM45"/>
    <x v="68"/>
    <s v="A-45-ENERGIA-ABRIL"/>
    <s v="Compras"/>
    <s v="xmaltez"/>
    <s v="PMTRX00087486"/>
    <n v="5067926"/>
    <n v="1"/>
    <n v="59"/>
    <s v=""/>
    <m/>
  </r>
  <r>
    <n v="3198238"/>
    <x v="39"/>
    <s v="06-10-002-000"/>
    <x v="0"/>
    <n v="2053.81"/>
    <n v="0"/>
    <n v="2053.81"/>
    <n v="10000"/>
    <n v="100"/>
    <s v="AMPM40"/>
    <x v="67"/>
    <s v="A-40-ENERGIA-ABRIL"/>
    <s v="Compras"/>
    <s v="xmaltez"/>
    <s v="PMTRX00087486"/>
    <n v="5067927"/>
    <n v="1"/>
    <n v="49"/>
    <s v=""/>
    <m/>
  </r>
  <r>
    <n v="3198239"/>
    <x v="39"/>
    <s v="06-10-002-000"/>
    <x v="0"/>
    <n v="68977.05"/>
    <n v="0"/>
    <n v="68977.05"/>
    <n v="10000"/>
    <n v="100"/>
    <s v="AMPM60"/>
    <x v="76"/>
    <s v="A-60-ENERGIA-ABRIL"/>
    <s v="Compras"/>
    <s v="xmaltez"/>
    <s v="PMTRX00087486"/>
    <n v="5067928"/>
    <n v="1"/>
    <n v="76"/>
    <s v=""/>
    <m/>
  </r>
  <r>
    <n v="3198240"/>
    <x v="39"/>
    <s v="06-10-002-000"/>
    <x v="0"/>
    <n v="76969.3"/>
    <n v="0"/>
    <n v="76969.3"/>
    <n v="10000"/>
    <n v="100"/>
    <s v="AMPM67"/>
    <x v="80"/>
    <s v="A-67-ENERGIA-ABRIL"/>
    <s v="Compras"/>
    <s v="xmaltez"/>
    <s v="PMTRX00087486"/>
    <n v="5067929"/>
    <n v="1"/>
    <n v="83"/>
    <s v=""/>
    <m/>
  </r>
  <r>
    <n v="3198241"/>
    <x v="39"/>
    <s v="06-10-002-000"/>
    <x v="0"/>
    <n v="60678.04"/>
    <n v="0"/>
    <n v="60678.04"/>
    <n v="10000"/>
    <n v="100"/>
    <s v="AMPM05"/>
    <x v="12"/>
    <s v="A-05-ENERGIA-ABRIL"/>
    <s v="Compras"/>
    <s v="xmaltez"/>
    <s v="PMTRX00087486"/>
    <n v="5067930"/>
    <n v="1"/>
    <n v="5"/>
    <s v=""/>
    <m/>
  </r>
  <r>
    <n v="3198242"/>
    <x v="39"/>
    <s v="06-10-002-000"/>
    <x v="0"/>
    <n v="12589.16"/>
    <n v="0"/>
    <n v="12589.16"/>
    <n v="10000"/>
    <n v="100"/>
    <s v="ADMON"/>
    <x v="48"/>
    <s v="ADMON-ENERGIA-ABRIL"/>
    <s v="Compras"/>
    <s v="xmaltez"/>
    <s v="PMTRX00087486"/>
    <n v="5067931"/>
    <n v="1"/>
    <n v="27"/>
    <s v=""/>
    <m/>
  </r>
  <r>
    <n v="3198243"/>
    <x v="39"/>
    <s v="06-10-002-000"/>
    <x v="0"/>
    <n v="51807.5"/>
    <n v="0"/>
    <n v="51807.5"/>
    <n v="10000"/>
    <n v="100"/>
    <s v="AMPM23"/>
    <x v="59"/>
    <s v="A-23-ENERGIA-ABRIL"/>
    <s v="Compras"/>
    <s v="xmaltez"/>
    <s v="PMTRX00087486"/>
    <n v="5067932"/>
    <n v="1"/>
    <n v="23"/>
    <s v=""/>
    <m/>
  </r>
  <r>
    <n v="3198244"/>
    <x v="39"/>
    <s v="06-10-002-000"/>
    <x v="0"/>
    <n v="58591.65"/>
    <n v="0"/>
    <n v="58591.65"/>
    <n v="10000"/>
    <n v="100"/>
    <s v="AMPM21"/>
    <x v="50"/>
    <s v="A-21-ENERGIA-ABRIL"/>
    <s v="Compras"/>
    <s v="xmaltez"/>
    <s v="PMTRX00087486"/>
    <n v="5067933"/>
    <n v="1"/>
    <n v="21"/>
    <s v=""/>
    <m/>
  </r>
  <r>
    <n v="3198245"/>
    <x v="39"/>
    <s v="06-10-002-000"/>
    <x v="0"/>
    <n v="63731.42"/>
    <n v="0"/>
    <n v="63731.42"/>
    <n v="10000"/>
    <n v="100"/>
    <s v="AMPM18"/>
    <x v="55"/>
    <s v="A-18-ENERGIA-ABRIL"/>
    <s v="Compras"/>
    <s v="xmaltez"/>
    <s v="PMTRX00087486"/>
    <n v="5067934"/>
    <n v="1"/>
    <n v="18"/>
    <s v=""/>
    <m/>
  </r>
  <r>
    <n v="3198246"/>
    <x v="39"/>
    <s v="06-10-002-000"/>
    <x v="0"/>
    <n v="317.36"/>
    <n v="0"/>
    <n v="317.36"/>
    <n v="10000"/>
    <n v="100"/>
    <s v="AMPM49"/>
    <x v="72"/>
    <s v="A-49-ENERGIA-ABRIL"/>
    <s v="Compras"/>
    <s v="xmaltez"/>
    <s v="PMTRX00087486"/>
    <n v="5067935"/>
    <n v="1"/>
    <n v="63"/>
    <s v=""/>
    <m/>
  </r>
  <r>
    <n v="3198247"/>
    <x v="39"/>
    <s v="06-10-002-000"/>
    <x v="0"/>
    <n v="70959"/>
    <n v="0"/>
    <n v="70959"/>
    <n v="10000"/>
    <n v="100"/>
    <s v="AMPM40"/>
    <x v="67"/>
    <s v="A-40-ENERGIA-ABRIL"/>
    <s v="Compras"/>
    <s v="xmaltez"/>
    <s v="PMTRX00087486"/>
    <n v="5067936"/>
    <n v="1"/>
    <n v="49"/>
    <s v=""/>
    <m/>
  </r>
  <r>
    <n v="3198248"/>
    <x v="39"/>
    <s v="06-10-002-000"/>
    <x v="0"/>
    <n v="61977.31"/>
    <n v="0"/>
    <n v="61977.31"/>
    <n v="10000"/>
    <n v="100"/>
    <s v="AMPM85"/>
    <x v="86"/>
    <s v="A-85-ENERGIA-ABRIL"/>
    <s v="Compras"/>
    <s v="xmaltez"/>
    <s v="PMTRX00087486"/>
    <n v="5067937"/>
    <n v="1"/>
    <n v="101"/>
    <s v=""/>
    <m/>
  </r>
  <r>
    <n v="3198249"/>
    <x v="39"/>
    <s v="06-10-002-000"/>
    <x v="0"/>
    <n v="2545.69"/>
    <n v="0"/>
    <n v="2545.69"/>
    <n v="10000"/>
    <n v="100"/>
    <s v="AMPM26"/>
    <x v="7"/>
    <s v="A-26-ENERGIA-ABRIL"/>
    <s v="Compras"/>
    <s v="xmaltez"/>
    <s v="PMTRX00087486"/>
    <n v="5067938"/>
    <n v="1"/>
    <n v="26"/>
    <s v=""/>
    <m/>
  </r>
  <r>
    <n v="3198250"/>
    <x v="39"/>
    <s v="06-10-002-000"/>
    <x v="0"/>
    <n v="54138.879999999997"/>
    <n v="0"/>
    <n v="54138.879999999997"/>
    <n v="10000"/>
    <n v="100"/>
    <s v="AMPM36"/>
    <x v="66"/>
    <s v="A-36-ENERGIA-ABRIL"/>
    <s v="Compras"/>
    <s v="xmaltez"/>
    <s v="PMTRX00087486"/>
    <n v="5067939"/>
    <n v="1"/>
    <n v="44"/>
    <s v=""/>
    <m/>
  </r>
  <r>
    <n v="3198251"/>
    <x v="39"/>
    <s v="06-10-002-000"/>
    <x v="0"/>
    <n v="103.75"/>
    <n v="0"/>
    <n v="103.75"/>
    <n v="10000"/>
    <n v="100"/>
    <s v="AMPM36"/>
    <x v="66"/>
    <s v="A-36-ENERGIA-ABRIL"/>
    <s v="Compras"/>
    <s v="xmaltez"/>
    <s v="PMTRX00087486"/>
    <n v="5067940"/>
    <n v="1"/>
    <n v="44"/>
    <s v=""/>
    <m/>
  </r>
  <r>
    <n v="3198252"/>
    <x v="39"/>
    <s v="06-10-002-000"/>
    <x v="0"/>
    <n v="55876.12"/>
    <n v="0"/>
    <n v="55876.12"/>
    <n v="10000"/>
    <n v="100"/>
    <s v="AMPM77"/>
    <x v="33"/>
    <s v="A-77-ENERGIA-ABRIL"/>
    <s v="Compras"/>
    <s v="xmaltez"/>
    <s v="PMTRX00087486"/>
    <n v="5067941"/>
    <n v="1"/>
    <n v="92"/>
    <s v=""/>
    <m/>
  </r>
  <r>
    <n v="3198253"/>
    <x v="39"/>
    <s v="06-10-002-000"/>
    <x v="0"/>
    <n v="59083.040000000001"/>
    <n v="0"/>
    <n v="59083.040000000001"/>
    <n v="10000"/>
    <n v="100"/>
    <s v="AMPM26"/>
    <x v="7"/>
    <s v="A-26-ENERGIA-ABRIL"/>
    <s v="Compras"/>
    <s v="xmaltez"/>
    <s v="PMTRX00087486"/>
    <n v="5067942"/>
    <n v="1"/>
    <n v="26"/>
    <s v=""/>
    <m/>
  </r>
  <r>
    <n v="3198254"/>
    <x v="39"/>
    <s v="06-10-002-000"/>
    <x v="0"/>
    <n v="59360.79"/>
    <n v="0"/>
    <n v="59360.79"/>
    <n v="10000"/>
    <n v="100"/>
    <s v="AMPM62"/>
    <x v="77"/>
    <s v="A-62-ENERGIA-ABRIL"/>
    <s v="Compras"/>
    <s v="xmaltez"/>
    <s v="PMTRX00087486"/>
    <n v="5067943"/>
    <n v="1"/>
    <n v="78"/>
    <s v=""/>
    <m/>
  </r>
  <r>
    <n v="3198255"/>
    <x v="39"/>
    <s v="06-10-002-000"/>
    <x v="0"/>
    <n v="66720.67"/>
    <n v="0"/>
    <n v="66720.67"/>
    <n v="10000"/>
    <n v="100"/>
    <s v="AMPM48"/>
    <x v="69"/>
    <s v="A-48-ENERGIA-ABRIL"/>
    <s v="Compras"/>
    <s v="xmaltez"/>
    <s v="PMTRX00087486"/>
    <n v="5067944"/>
    <n v="1"/>
    <n v="62"/>
    <s v=""/>
    <m/>
  </r>
  <r>
    <n v="3198256"/>
    <x v="39"/>
    <s v="06-10-002-000"/>
    <x v="0"/>
    <n v="56486.86"/>
    <n v="0"/>
    <n v="56486.86"/>
    <n v="10000"/>
    <n v="100"/>
    <s v="AMPM70"/>
    <x v="22"/>
    <s v="A-70-ENERGIA-ABRIL"/>
    <s v="Compras"/>
    <s v="xmaltez"/>
    <s v="PMTRX00087486"/>
    <n v="5067945"/>
    <n v="1"/>
    <n v="87"/>
    <s v=""/>
    <m/>
  </r>
  <r>
    <n v="3198257"/>
    <x v="39"/>
    <s v="06-10-002-000"/>
    <x v="0"/>
    <n v="50103.09"/>
    <n v="0"/>
    <n v="50103.09"/>
    <n v="10000"/>
    <n v="100"/>
    <s v="AMPM42"/>
    <x v="21"/>
    <s v="A-42-ENERGIA-ABRIL"/>
    <s v="Compras"/>
    <s v="xmaltez"/>
    <s v="PMTRX00087486"/>
    <n v="5067946"/>
    <n v="1"/>
    <n v="51"/>
    <s v=""/>
    <m/>
  </r>
  <r>
    <n v="3198258"/>
    <x v="39"/>
    <s v="06-10-002-000"/>
    <x v="0"/>
    <n v="889.94"/>
    <n v="0"/>
    <n v="889.94"/>
    <n v="10000"/>
    <n v="100"/>
    <s v="AMPM42"/>
    <x v="21"/>
    <s v="A-42-ENERGIA-ABRIL"/>
    <s v="Compras"/>
    <s v="xmaltez"/>
    <s v="PMTRX00087486"/>
    <n v="5067947"/>
    <n v="1"/>
    <n v="51"/>
    <s v=""/>
    <m/>
  </r>
  <r>
    <n v="3198259"/>
    <x v="39"/>
    <s v="06-10-002-000"/>
    <x v="0"/>
    <n v="79025.86"/>
    <n v="0"/>
    <n v="79025.86"/>
    <n v="10000"/>
    <n v="100"/>
    <s v="AMPM66"/>
    <x v="79"/>
    <s v="A-66-ENERGIA-ABRIL"/>
    <s v="Compras"/>
    <s v="xmaltez"/>
    <s v="PMTRX00087486"/>
    <n v="5067948"/>
    <n v="1"/>
    <n v="82"/>
    <s v=""/>
    <m/>
  </r>
  <r>
    <n v="3198260"/>
    <x v="39"/>
    <s v="06-10-002-000"/>
    <x v="0"/>
    <n v="41069.269999999997"/>
    <n v="0"/>
    <n v="41069.269999999997"/>
    <n v="10000"/>
    <n v="100"/>
    <s v="AMPM31"/>
    <x v="64"/>
    <s v="A-31-ENERGIA-ABRIL"/>
    <s v="Compras"/>
    <s v="xmaltez"/>
    <s v="PMTRX00087486"/>
    <n v="5067949"/>
    <n v="1"/>
    <n v="38"/>
    <s v=""/>
    <m/>
  </r>
  <r>
    <n v="3198261"/>
    <x v="39"/>
    <s v="06-10-002-000"/>
    <x v="0"/>
    <n v="61754.9"/>
    <n v="0"/>
    <n v="61754.9"/>
    <n v="10000"/>
    <n v="100"/>
    <s v="AMPM53"/>
    <x v="20"/>
    <s v="A-53-ENERGIA-ABRIL"/>
    <s v="Compras"/>
    <s v="xmaltez"/>
    <s v="PMTRX00087486"/>
    <n v="5067950"/>
    <n v="1"/>
    <n v="64"/>
    <s v=""/>
    <m/>
  </r>
  <r>
    <n v="3198262"/>
    <x v="39"/>
    <s v="06-10-002-000"/>
    <x v="0"/>
    <n v="61417.35"/>
    <n v="0"/>
    <n v="61417.35"/>
    <n v="10000"/>
    <n v="100"/>
    <s v="AMPM56"/>
    <x v="23"/>
    <s v="A-56-ENERGIA-ABRIL"/>
    <s v="Compras"/>
    <s v="xmaltez"/>
    <s v="PMTRX00087486"/>
    <n v="5067951"/>
    <n v="1"/>
    <n v="72"/>
    <s v=""/>
    <m/>
  </r>
  <r>
    <n v="3198263"/>
    <x v="39"/>
    <s v="06-10-002-000"/>
    <x v="0"/>
    <n v="61386.05"/>
    <n v="0"/>
    <n v="61386.05"/>
    <n v="10000"/>
    <n v="100"/>
    <s v="AMPM72"/>
    <x v="27"/>
    <s v="A-72-ENERGIA-ABRIL"/>
    <s v="Compras"/>
    <s v="xmaltez"/>
    <s v="PMTRX00087486"/>
    <n v="5067952"/>
    <n v="1"/>
    <n v="88"/>
    <s v=""/>
    <m/>
  </r>
  <r>
    <n v="3198264"/>
    <x v="39"/>
    <s v="06-10-002-000"/>
    <x v="0"/>
    <n v="50857.96"/>
    <n v="0"/>
    <n v="50857.96"/>
    <n v="10000"/>
    <n v="100"/>
    <s v="AMPM59"/>
    <x v="74"/>
    <s v="A-59-ENERGIA-ABRIL"/>
    <s v="Compras"/>
    <s v="xmaltez"/>
    <s v="PMTRX00087486"/>
    <n v="5067953"/>
    <n v="1"/>
    <n v="75"/>
    <s v=""/>
    <m/>
  </r>
  <r>
    <n v="3198265"/>
    <x v="39"/>
    <s v="06-10-002-000"/>
    <x v="0"/>
    <n v="81554.080000000002"/>
    <n v="0"/>
    <n v="81554.080000000002"/>
    <n v="10000"/>
    <n v="100"/>
    <s v="AMPM09"/>
    <x v="42"/>
    <s v="A-09-ENERGIA-ABRIL"/>
    <s v="Compras"/>
    <s v="xmaltez"/>
    <s v="PMTRX00087486"/>
    <n v="5067954"/>
    <n v="1"/>
    <n v="9"/>
    <s v=""/>
    <m/>
  </r>
  <r>
    <n v="3200114"/>
    <x v="39"/>
    <s v="06-10-002-000"/>
    <x v="0"/>
    <n v="0"/>
    <n v="21945.23"/>
    <n v="-21945.23"/>
    <n v="10000"/>
    <n v="100"/>
    <s v="AMPM91"/>
    <x v="90"/>
    <s v="ENERGIA ABRIL-DEPO GARANTI A91"/>
    <s v="ENERGIA ABRIL-DEPO GARANTI A91"/>
    <s v="xmaltez"/>
    <s v="GLTRX01005192"/>
    <n v="5069928"/>
    <n v="1"/>
    <n v="106"/>
    <s v=""/>
    <m/>
  </r>
  <r>
    <n v="3207242"/>
    <x v="40"/>
    <s v="06-10-002-000"/>
    <x v="0"/>
    <n v="548.77"/>
    <n v="0"/>
    <n v="548.77"/>
    <n v="10000"/>
    <n v="100"/>
    <s v="AMPM27"/>
    <x v="8"/>
    <s v="ALQUILER A27 MAYO"/>
    <s v="ENERGIA 27 MAYO"/>
    <s v="xmaltez"/>
    <s v="PMTRX00087764"/>
    <n v="5074990"/>
    <n v="1"/>
    <n v="34"/>
    <s v=""/>
    <m/>
  </r>
  <r>
    <n v="3209570"/>
    <x v="40"/>
    <s v="06-10-002-000"/>
    <x v="0"/>
    <n v="2746.82"/>
    <n v="0"/>
    <n v="2746.82"/>
    <n v="10000"/>
    <n v="100"/>
    <s v="AMPM15"/>
    <x v="1"/>
    <s v="ALQUILER A15 MAYO"/>
    <s v="ENERGIA A15 MAYO"/>
    <s v="xmaltez"/>
    <s v="PMTRX00087762"/>
    <n v="5074930"/>
    <n v="1"/>
    <n v="15"/>
    <s v=""/>
    <m/>
  </r>
  <r>
    <n v="3209578"/>
    <x v="41"/>
    <s v="06-10-002-000"/>
    <x v="0"/>
    <n v="1517.71"/>
    <n v="0"/>
    <n v="1517.71"/>
    <n v="10000"/>
    <n v="100"/>
    <s v="AMPM28"/>
    <x v="2"/>
    <s v="ALQUILER A28 MAYO"/>
    <s v="ENERGIA PLANTA ELECTRICA A28"/>
    <s v="xmaltez"/>
    <s v="PMTRX00087762"/>
    <n v="5074936"/>
    <n v="1"/>
    <n v="35"/>
    <s v=""/>
    <m/>
  </r>
  <r>
    <n v="3210028"/>
    <x v="40"/>
    <s v="06-10-002-000"/>
    <x v="0"/>
    <n v="30456.14"/>
    <n v="0"/>
    <n v="30456.14"/>
    <n v="10000"/>
    <n v="100"/>
    <s v="PANADE"/>
    <x v="0"/>
    <s v="ENERGIA  PANADERIA MAYO"/>
    <s v="ENERGIA  PANADERIA MAYO"/>
    <s v="xmaltez"/>
    <s v="PMTRX00087783"/>
    <n v="5075145"/>
    <n v="1"/>
    <n v="32"/>
    <s v=""/>
    <m/>
  </r>
  <r>
    <n v="3229476"/>
    <x v="42"/>
    <s v="06-10-002-000"/>
    <x v="0"/>
    <n v="13158.01"/>
    <n v="0"/>
    <n v="13158.01"/>
    <n v="10000"/>
    <n v="100"/>
    <s v="AMPM26"/>
    <x v="7"/>
    <s v="CONSUMO AGUA-LUZ A33-MAYO"/>
    <s v="CONSUMO A26-MAYO"/>
    <s v="jlopez"/>
    <s v="PMTRX00088123"/>
    <n v="5092826"/>
    <n v="1"/>
    <n v="26"/>
    <s v=""/>
    <m/>
  </r>
  <r>
    <n v="3237238"/>
    <x v="43"/>
    <s v="06-10-002-000"/>
    <x v="0"/>
    <n v="2545.09"/>
    <n v="0"/>
    <n v="2545.09"/>
    <n v="10000"/>
    <n v="100"/>
    <s v="AMPM15"/>
    <x v="1"/>
    <s v="AGUA-LUZ MAYO A15"/>
    <s v="ENERGIA MAYO A15"/>
    <s v="jlopez"/>
    <s v="PMTRX00088280"/>
    <n v="5099787"/>
    <n v="1"/>
    <n v="15"/>
    <s v=""/>
    <m/>
  </r>
  <r>
    <n v="3267560"/>
    <x v="41"/>
    <s v="06-10-002-000"/>
    <x v="0"/>
    <n v="0"/>
    <n v="43578.11"/>
    <n v="-43578.11"/>
    <n v="10000"/>
    <n v="100"/>
    <s v="AMPM68"/>
    <x v="5"/>
    <s v="ENERGIA A68-ABRIL"/>
    <s v="ENERGIA A68-ABRIL"/>
    <s v="jlopez"/>
    <s v="PMTRX00088800"/>
    <n v="5127270"/>
    <n v="1"/>
    <n v="84"/>
    <s v=""/>
    <m/>
  </r>
  <r>
    <n v="3267562"/>
    <x v="41"/>
    <s v="06-10-002-000"/>
    <x v="0"/>
    <n v="66282.47"/>
    <n v="0"/>
    <n v="66282.47"/>
    <n v="10000"/>
    <n v="100"/>
    <s v="AMPM68"/>
    <x v="5"/>
    <s v="ENERGIA ABRIL A68."/>
    <s v="ENERGIA A68-ABRIL"/>
    <s v="jlopez"/>
    <s v="PMTRX00088800"/>
    <n v="5127271"/>
    <n v="1"/>
    <n v="84"/>
    <s v=""/>
    <m/>
  </r>
  <r>
    <n v="3268327"/>
    <x v="44"/>
    <s v="06-10-002-000"/>
    <x v="0"/>
    <n v="56487.16"/>
    <n v="0"/>
    <n v="56487.16"/>
    <n v="10000"/>
    <n v="100"/>
    <s v="AMPM80"/>
    <x v="3"/>
    <s v="ENERGIA A80-MAYO 2026"/>
    <s v="ENERGIA A80-MAYO 2026"/>
    <s v="jlopez"/>
    <s v="PMTRX00088800"/>
    <n v="5127272"/>
    <n v="1"/>
    <n v="98"/>
    <s v=""/>
    <m/>
  </r>
  <r>
    <n v="3268329"/>
    <x v="44"/>
    <s v="06-10-002-000"/>
    <x v="0"/>
    <n v="4693.54"/>
    <n v="0"/>
    <n v="4693.54"/>
    <n v="10000"/>
    <n v="100"/>
    <s v="AMPM57"/>
    <x v="4"/>
    <s v="ENERGIA A57-MAYO"/>
    <s v="ENERGIA A57-MAYO"/>
    <s v="jlopez"/>
    <s v="PMTRX00088800"/>
    <n v="5127273"/>
    <n v="1"/>
    <n v="73"/>
    <s v=""/>
    <m/>
  </r>
  <r>
    <n v="3268330"/>
    <x v="44"/>
    <s v="06-10-002-000"/>
    <x v="0"/>
    <n v="50673.49"/>
    <n v="0"/>
    <n v="50673.49"/>
    <n v="10000"/>
    <n v="100"/>
    <s v="AMPM57"/>
    <x v="4"/>
    <s v="ENERGIA A57-MAYO"/>
    <s v="ENERGIA A57-MAYO"/>
    <s v="jlopez"/>
    <s v="PMTRX00088800"/>
    <n v="5127274"/>
    <n v="1"/>
    <n v="73"/>
    <s v=""/>
    <m/>
  </r>
  <r>
    <n v="3268331"/>
    <x v="45"/>
    <s v="06-10-002-000"/>
    <x v="0"/>
    <n v="79311"/>
    <n v="0"/>
    <n v="79311"/>
    <n v="10000"/>
    <n v="100"/>
    <s v="AMPM68"/>
    <x v="5"/>
    <s v="ENERGIA A68-MAYO"/>
    <s v="ENERGIA A68-MAYO"/>
    <s v="jlopez"/>
    <s v="PMTRX00088800"/>
    <n v="5127275"/>
    <n v="1"/>
    <n v="84"/>
    <s v=""/>
    <m/>
  </r>
  <r>
    <n v="3268333"/>
    <x v="45"/>
    <s v="06-10-002-000"/>
    <x v="0"/>
    <n v="54286.36"/>
    <n v="0"/>
    <n v="54286.36"/>
    <n v="10000"/>
    <n v="100"/>
    <s v="AMPM76"/>
    <x v="6"/>
    <s v="ENERGIA A76-MAYO"/>
    <s v="ENERGIA A76-MAYO"/>
    <s v="jlopez"/>
    <s v="PMTRX00088800"/>
    <n v="5127276"/>
    <n v="1"/>
    <n v="93"/>
    <s v=""/>
    <m/>
  </r>
  <r>
    <n v="3282226"/>
    <x v="46"/>
    <s v="06-10-002-000"/>
    <x v="0"/>
    <n v="659.23"/>
    <n v="0"/>
    <n v="659.23"/>
    <n v="10000"/>
    <n v="100"/>
    <s v="AMPM15"/>
    <x v="1"/>
    <s v="PLANTA ELECTRICA A15"/>
    <s v="Compras"/>
    <s v="xmaltez"/>
    <s v="PMTRX00089271"/>
    <n v="5138689"/>
    <n v="1"/>
    <n v="15"/>
    <s v=""/>
    <m/>
  </r>
  <r>
    <n v="3282267"/>
    <x v="46"/>
    <s v="06-10-002-000"/>
    <x v="0"/>
    <n v="0"/>
    <n v="21945.23"/>
    <n v="-21945.23"/>
    <n v="10000"/>
    <n v="100"/>
    <s v="AMPM91"/>
    <x v="90"/>
    <s v="ENERGIA A91 ABRIL"/>
    <s v="ENERGIA A91 ABRIL"/>
    <s v="xmaltez"/>
    <s v="GLTRX01028958"/>
    <n v="5138721"/>
    <n v="1"/>
    <n v="106"/>
    <s v=""/>
    <m/>
  </r>
  <r>
    <n v="3282270"/>
    <x v="46"/>
    <s v="06-10-002-000"/>
    <x v="0"/>
    <n v="3455.35"/>
    <n v="0"/>
    <n v="3455.35"/>
    <n v="10000"/>
    <n v="100"/>
    <s v="AMPM90"/>
    <x v="91"/>
    <s v="ENERGIA A90 ABRIL"/>
    <s v="F41185990 A90"/>
    <s v="xmaltez"/>
    <s v="PMTRX00089278"/>
    <n v="5138724"/>
    <n v="1"/>
    <n v="107"/>
    <s v=""/>
    <m/>
  </r>
  <r>
    <n v="3296514"/>
    <x v="47"/>
    <s v="06-10-002-000"/>
    <x v="0"/>
    <n v="3047.13"/>
    <n v="0"/>
    <n v="3047.13"/>
    <n v="10000"/>
    <n v="100"/>
    <s v="AMPM47"/>
    <x v="60"/>
    <s v="ENERGIA MAYOAMPM47"/>
    <s v="Compras"/>
    <s v="xmaltez"/>
    <s v="PMTRX00089499"/>
    <n v="5150827"/>
    <n v="1"/>
    <n v="61"/>
    <s v=""/>
    <m/>
  </r>
  <r>
    <n v="3296515"/>
    <x v="47"/>
    <s v="06-10-002-000"/>
    <x v="0"/>
    <n v="396.76"/>
    <n v="0"/>
    <n v="396.76"/>
    <n v="10000"/>
    <n v="100"/>
    <s v="OPERACIONES"/>
    <x v="10"/>
    <s v="ENERGIA MAYOOPERACIONES"/>
    <s v="Compras"/>
    <s v="xmaltez"/>
    <s v="PMTRX00089499"/>
    <n v="5150828"/>
    <n v="1"/>
    <n v="31"/>
    <s v=""/>
    <m/>
  </r>
  <r>
    <n v="3296516"/>
    <x v="47"/>
    <s v="06-10-002-000"/>
    <x v="0"/>
    <n v="411.95"/>
    <n v="0"/>
    <n v="411.95"/>
    <n v="10000"/>
    <n v="100"/>
    <s v="AMPM03"/>
    <x v="61"/>
    <s v="ENERGIA MAYOAMPM03"/>
    <s v="Compras"/>
    <s v="xmaltez"/>
    <s v="PMTRX00089499"/>
    <n v="5150829"/>
    <n v="1"/>
    <n v="3"/>
    <s v=""/>
    <m/>
  </r>
  <r>
    <n v="3296517"/>
    <x v="47"/>
    <s v="06-10-002-000"/>
    <x v="0"/>
    <n v="1763.56"/>
    <n v="0"/>
    <n v="1763.56"/>
    <n v="10000"/>
    <n v="100"/>
    <s v="AMPM35"/>
    <x v="14"/>
    <s v="ENERGIA MAYOAMPM35"/>
    <s v="Compras"/>
    <s v="xmaltez"/>
    <s v="PMTRX00089499"/>
    <n v="5150830"/>
    <n v="1"/>
    <n v="43"/>
    <s v=""/>
    <m/>
  </r>
  <r>
    <n v="3296518"/>
    <x v="47"/>
    <s v="06-10-002-000"/>
    <x v="0"/>
    <n v="64816.69"/>
    <n v="0"/>
    <n v="64816.69"/>
    <n v="10000"/>
    <n v="100"/>
    <s v="AMPM44"/>
    <x v="38"/>
    <s v="ENERGIA MAYOAMPM44"/>
    <s v="Compras"/>
    <s v="xmaltez"/>
    <s v="PMTRX00089499"/>
    <n v="5150831"/>
    <n v="1"/>
    <n v="57"/>
    <s v=""/>
    <m/>
  </r>
  <r>
    <n v="3296519"/>
    <x v="47"/>
    <s v="06-10-002-000"/>
    <x v="0"/>
    <n v="63129"/>
    <n v="0"/>
    <n v="63129"/>
    <n v="10000"/>
    <n v="100"/>
    <s v="AMPM47"/>
    <x v="60"/>
    <s v="ENERGIA MAYOAMPM47"/>
    <s v="Compras"/>
    <s v="xmaltez"/>
    <s v="PMTRX00089499"/>
    <n v="5150832"/>
    <n v="1"/>
    <n v="61"/>
    <s v=""/>
    <m/>
  </r>
  <r>
    <n v="3296520"/>
    <x v="47"/>
    <s v="06-10-002-000"/>
    <x v="0"/>
    <n v="66616.53"/>
    <n v="0"/>
    <n v="66616.53"/>
    <n v="10000"/>
    <n v="100"/>
    <s v="AMPM55"/>
    <x v="37"/>
    <s v="ENERGIA MAYOAMPM55"/>
    <s v="Compras"/>
    <s v="xmaltez"/>
    <s v="PMTRX00089499"/>
    <n v="5150833"/>
    <n v="1"/>
    <n v="71"/>
    <s v=""/>
    <m/>
  </r>
  <r>
    <n v="3296521"/>
    <x v="47"/>
    <s v="06-10-002-000"/>
    <x v="0"/>
    <n v="64353.35"/>
    <n v="0"/>
    <n v="64353.35"/>
    <n v="10000"/>
    <n v="100"/>
    <s v="AMPM46"/>
    <x v="34"/>
    <s v="ENERGIA MAYOAMPM46"/>
    <s v="Compras"/>
    <s v="xmaltez"/>
    <s v="PMTRX00089499"/>
    <n v="5150834"/>
    <n v="1"/>
    <n v="60"/>
    <s v=""/>
    <m/>
  </r>
  <r>
    <n v="3296522"/>
    <x v="47"/>
    <s v="06-10-002-000"/>
    <x v="0"/>
    <n v="44443.56"/>
    <n v="0"/>
    <n v="44443.56"/>
    <n v="10000"/>
    <n v="100"/>
    <s v="AMPM64"/>
    <x v="19"/>
    <s v="ENERGIA MAYOAMPM64"/>
    <s v="Compras"/>
    <s v="xmaltez"/>
    <s v="PMTRX00089499"/>
    <n v="5150835"/>
    <n v="1"/>
    <n v="80"/>
    <s v=""/>
    <m/>
  </r>
  <r>
    <n v="3296523"/>
    <x v="47"/>
    <s v="06-10-002-000"/>
    <x v="0"/>
    <n v="72104.17"/>
    <n v="0"/>
    <n v="72104.17"/>
    <n v="10000"/>
    <n v="100"/>
    <s v="AMPM87"/>
    <x v="89"/>
    <s v="ENERGIA MAYOAMPM87"/>
    <s v="Compras"/>
    <s v="xmaltez"/>
    <s v="PMTRX00089499"/>
    <n v="5150836"/>
    <n v="1"/>
    <n v="103"/>
    <s v=""/>
    <m/>
  </r>
  <r>
    <n v="3296524"/>
    <x v="47"/>
    <s v="06-10-002-000"/>
    <x v="0"/>
    <n v="53352.82"/>
    <n v="0"/>
    <n v="53352.82"/>
    <n v="10000"/>
    <n v="100"/>
    <s v="AMPM50"/>
    <x v="70"/>
    <s v="ENERGIA MAYOAMPM50"/>
    <s v="Compras"/>
    <s v="xmaltez"/>
    <s v="PMTRX00089499"/>
    <n v="5150837"/>
    <n v="1"/>
    <n v="28"/>
    <s v=""/>
    <m/>
  </r>
  <r>
    <n v="3296525"/>
    <x v="47"/>
    <s v="06-10-002-000"/>
    <x v="0"/>
    <n v="65545.86"/>
    <n v="0"/>
    <n v="65545.86"/>
    <n v="10000"/>
    <n v="100"/>
    <s v="AMPM58"/>
    <x v="46"/>
    <s v="ENERGIA MAYOAMPM58"/>
    <s v="Compras"/>
    <s v="xmaltez"/>
    <s v="PMTRX00089499"/>
    <n v="5150838"/>
    <n v="1"/>
    <n v="74"/>
    <s v=""/>
    <m/>
  </r>
  <r>
    <n v="3296526"/>
    <x v="47"/>
    <s v="06-10-002-000"/>
    <x v="0"/>
    <n v="2188.8200000000002"/>
    <n v="0"/>
    <n v="2188.8200000000002"/>
    <n v="10000"/>
    <n v="100"/>
    <s v="AMPM67"/>
    <x v="80"/>
    <s v="ENERGIA MAYOAMPM67"/>
    <s v="Compras"/>
    <s v="xmaltez"/>
    <s v="PMTRX00089499"/>
    <n v="5150839"/>
    <n v="1"/>
    <n v="83"/>
    <s v=""/>
    <m/>
  </r>
  <r>
    <n v="3296527"/>
    <x v="47"/>
    <s v="06-10-002-000"/>
    <x v="0"/>
    <n v="2169.54"/>
    <n v="0"/>
    <n v="2169.54"/>
    <n v="10000"/>
    <n v="100"/>
    <s v="AMPM41"/>
    <x v="24"/>
    <s v="ENERGIA MAYOAMPM41"/>
    <s v="Compras"/>
    <s v="xmaltez"/>
    <s v="PMTRX00089499"/>
    <n v="5150840"/>
    <n v="1"/>
    <n v="50"/>
    <s v=""/>
    <m/>
  </r>
  <r>
    <n v="3296528"/>
    <x v="47"/>
    <s v="06-10-002-000"/>
    <x v="0"/>
    <n v="2066.56"/>
    <n v="0"/>
    <n v="2066.56"/>
    <n v="10000"/>
    <n v="100"/>
    <s v="AMPM39"/>
    <x v="31"/>
    <s v="ENERGIA MAYOAMPM39"/>
    <s v="Compras"/>
    <s v="xmaltez"/>
    <s v="PMTRX00089499"/>
    <n v="5150841"/>
    <n v="1"/>
    <n v="48"/>
    <s v=""/>
    <m/>
  </r>
  <r>
    <n v="3296529"/>
    <x v="47"/>
    <s v="06-10-002-000"/>
    <x v="0"/>
    <n v="1841.65"/>
    <n v="0"/>
    <n v="1841.65"/>
    <n v="10000"/>
    <n v="100"/>
    <s v="AMPM12"/>
    <x v="51"/>
    <s v="ENERGIA MAYOAMPM12"/>
    <s v="Compras"/>
    <s v="xmaltez"/>
    <s v="PMTRX00089499"/>
    <n v="5150842"/>
    <n v="1"/>
    <n v="12"/>
    <s v=""/>
    <m/>
  </r>
  <r>
    <n v="3296530"/>
    <x v="47"/>
    <s v="06-10-002-000"/>
    <x v="0"/>
    <n v="2032.88"/>
    <n v="0"/>
    <n v="2032.88"/>
    <n v="10000"/>
    <n v="100"/>
    <s v="AMPM13"/>
    <x v="54"/>
    <s v="ENERGIA MAYOAMPM13"/>
    <s v="Compras"/>
    <s v="xmaltez"/>
    <s v="PMTRX00089499"/>
    <n v="5150843"/>
    <n v="1"/>
    <n v="13"/>
    <s v=""/>
    <m/>
  </r>
  <r>
    <n v="3296531"/>
    <x v="47"/>
    <s v="06-10-002-000"/>
    <x v="0"/>
    <n v="80197.05"/>
    <n v="0"/>
    <n v="80197.05"/>
    <n v="10000"/>
    <n v="100"/>
    <s v="AMPM13"/>
    <x v="54"/>
    <s v="ENERGIA MAYOAMPM13"/>
    <s v="Compras"/>
    <s v="xmaltez"/>
    <s v="PMTRX00089499"/>
    <n v="5150844"/>
    <n v="1"/>
    <n v="13"/>
    <s v=""/>
    <m/>
  </r>
  <r>
    <n v="3296532"/>
    <x v="47"/>
    <s v="06-10-002-000"/>
    <x v="0"/>
    <n v="128.03"/>
    <n v="0"/>
    <n v="128.03"/>
    <n v="10000"/>
    <n v="100"/>
    <s v="AMPM28"/>
    <x v="2"/>
    <s v="ENERGIA MAYOAMPM28"/>
    <s v="Compras"/>
    <s v="xmaltez"/>
    <s v="PMTRX00089499"/>
    <n v="5150845"/>
    <n v="1"/>
    <n v="35"/>
    <s v=""/>
    <m/>
  </r>
  <r>
    <n v="3296533"/>
    <x v="47"/>
    <s v="06-10-002-000"/>
    <x v="0"/>
    <n v="57901.07"/>
    <n v="0"/>
    <n v="57901.07"/>
    <n v="10000"/>
    <n v="100"/>
    <s v="AMPM28"/>
    <x v="2"/>
    <s v="ENERGIA MAYOAMPM28"/>
    <s v="Compras"/>
    <s v="xmaltez"/>
    <s v="PMTRX00089499"/>
    <n v="5150846"/>
    <n v="1"/>
    <n v="35"/>
    <s v=""/>
    <m/>
  </r>
  <r>
    <n v="3296534"/>
    <x v="47"/>
    <s v="06-10-002-000"/>
    <x v="0"/>
    <n v="451.73"/>
    <n v="0"/>
    <n v="451.73"/>
    <n v="10000"/>
    <n v="100"/>
    <s v="AMPM07"/>
    <x v="44"/>
    <s v="ENERGIA MAYOAMPM07"/>
    <s v="Compras"/>
    <s v="xmaltez"/>
    <s v="PMTRX00089499"/>
    <n v="5150847"/>
    <n v="1"/>
    <n v="7"/>
    <s v=""/>
    <m/>
  </r>
  <r>
    <n v="3296535"/>
    <x v="47"/>
    <s v="06-10-002-000"/>
    <x v="0"/>
    <n v="58469.08"/>
    <n v="0"/>
    <n v="58469.08"/>
    <n v="10000"/>
    <n v="100"/>
    <s v="AMPM02"/>
    <x v="28"/>
    <s v="ENERGIA MAYOAMPM02"/>
    <s v="Compras"/>
    <s v="xmaltez"/>
    <s v="PMTRX00089499"/>
    <n v="5150848"/>
    <n v="1"/>
    <n v="2"/>
    <s v=""/>
    <m/>
  </r>
  <r>
    <n v="3296536"/>
    <x v="47"/>
    <s v="06-10-002-000"/>
    <x v="0"/>
    <n v="51922.53"/>
    <n v="0"/>
    <n v="51922.53"/>
    <n v="10000"/>
    <n v="100"/>
    <s v="AMPM15"/>
    <x v="1"/>
    <s v="ENERGIA MAYOAMPM15"/>
    <s v="Compras"/>
    <s v="xmaltez"/>
    <s v="PMTRX00089499"/>
    <n v="5150849"/>
    <n v="1"/>
    <n v="15"/>
    <s v=""/>
    <m/>
  </r>
  <r>
    <n v="3296537"/>
    <x v="47"/>
    <s v="06-10-002-000"/>
    <x v="0"/>
    <n v="812.07"/>
    <n v="0"/>
    <n v="812.07"/>
    <n v="10000"/>
    <n v="100"/>
    <s v="AMPM15"/>
    <x v="1"/>
    <s v="ENERGIA MAYOAMPM15"/>
    <s v="Compras"/>
    <s v="xmaltez"/>
    <s v="PMTRX00089499"/>
    <n v="5150850"/>
    <n v="1"/>
    <n v="15"/>
    <s v=""/>
    <m/>
  </r>
  <r>
    <n v="3296538"/>
    <x v="47"/>
    <s v="06-10-002-000"/>
    <x v="0"/>
    <n v="292.93"/>
    <n v="0"/>
    <n v="292.93"/>
    <n v="10000"/>
    <n v="100"/>
    <s v="AMPM01"/>
    <x v="25"/>
    <s v="ENERGIA MAYOAMPM01"/>
    <s v="Compras"/>
    <s v="xmaltez"/>
    <s v="PMTRX00089499"/>
    <n v="5150851"/>
    <n v="1"/>
    <n v="1"/>
    <s v=""/>
    <m/>
  </r>
  <r>
    <n v="3296539"/>
    <x v="47"/>
    <s v="06-10-002-000"/>
    <x v="0"/>
    <n v="77227.199999999997"/>
    <n v="0"/>
    <n v="77227.199999999997"/>
    <n v="10000"/>
    <n v="100"/>
    <s v="AMPM07"/>
    <x v="44"/>
    <s v="ENERGIA MAYOAMPM07"/>
    <s v="Compras"/>
    <s v="xmaltez"/>
    <s v="PMTRX00089499"/>
    <n v="5150852"/>
    <n v="1"/>
    <n v="7"/>
    <s v=""/>
    <m/>
  </r>
  <r>
    <n v="3296540"/>
    <x v="47"/>
    <s v="06-10-002-000"/>
    <x v="0"/>
    <n v="23370.16"/>
    <n v="0"/>
    <n v="23370.16"/>
    <n v="10000"/>
    <n v="100"/>
    <s v="AMPM08"/>
    <x v="47"/>
    <s v="ENERGIA MAYOAMPM08"/>
    <s v="Compras"/>
    <s v="xmaltez"/>
    <s v="PMTRX00089499"/>
    <n v="5150853"/>
    <n v="1"/>
    <n v="8"/>
    <s v=""/>
    <m/>
  </r>
  <r>
    <n v="3296541"/>
    <x v="47"/>
    <s v="06-10-002-000"/>
    <x v="0"/>
    <n v="33484.629999999997"/>
    <n v="0"/>
    <n v="33484.629999999997"/>
    <n v="10000"/>
    <n v="100"/>
    <s v="AMPM08"/>
    <x v="47"/>
    <s v="ENERGIA MAYOAMPM08"/>
    <s v="Compras"/>
    <s v="xmaltez"/>
    <s v="PMTRX00089499"/>
    <n v="5150854"/>
    <n v="1"/>
    <n v="8"/>
    <s v=""/>
    <m/>
  </r>
  <r>
    <n v="3296542"/>
    <x v="47"/>
    <s v="06-10-002-000"/>
    <x v="0"/>
    <n v="57717.98"/>
    <n v="0"/>
    <n v="57717.98"/>
    <n v="10000"/>
    <n v="100"/>
    <s v="AMPM69"/>
    <x v="30"/>
    <s v="ENERGIA MAYOAMPM69"/>
    <s v="Compras"/>
    <s v="xmaltez"/>
    <s v="PMTRX00089499"/>
    <n v="5150855"/>
    <n v="1"/>
    <n v="85"/>
    <s v=""/>
    <m/>
  </r>
  <r>
    <n v="3296544"/>
    <x v="47"/>
    <s v="06-10-002-000"/>
    <x v="0"/>
    <n v="45113.37"/>
    <n v="0"/>
    <n v="45113.37"/>
    <n v="10000"/>
    <n v="100"/>
    <s v="AMPM35"/>
    <x v="14"/>
    <s v="ENERGIA MAYOAMPM35"/>
    <s v="Compras"/>
    <s v="xmaltez"/>
    <s v="PMTRX00089499"/>
    <n v="5150856"/>
    <n v="1"/>
    <n v="43"/>
    <s v=""/>
    <m/>
  </r>
  <r>
    <n v="3296545"/>
    <x v="47"/>
    <s v="06-10-002-000"/>
    <x v="0"/>
    <n v="65085.919999999998"/>
    <n v="0"/>
    <n v="65085.919999999998"/>
    <n v="10000"/>
    <n v="100"/>
    <s v="AMPM74"/>
    <x v="40"/>
    <s v="ENERGIA MAYOAMPM74"/>
    <s v="Compras"/>
    <s v="xmaltez"/>
    <s v="PMTRX00089499"/>
    <n v="5150857"/>
    <n v="1"/>
    <n v="90"/>
    <s v=""/>
    <m/>
  </r>
  <r>
    <n v="3296546"/>
    <x v="47"/>
    <s v="06-10-002-000"/>
    <x v="0"/>
    <n v="140.25"/>
    <n v="0"/>
    <n v="140.25"/>
    <n v="10000"/>
    <n v="100"/>
    <s v="AMPM29"/>
    <x v="58"/>
    <s v="ENERGIA MAYOAMPM29"/>
    <s v="Compras"/>
    <s v="xmaltez"/>
    <s v="PMTRX00089499"/>
    <n v="5150858"/>
    <n v="1"/>
    <n v="36"/>
    <s v=""/>
    <m/>
  </r>
  <r>
    <n v="3296547"/>
    <x v="47"/>
    <s v="06-10-002-000"/>
    <x v="0"/>
    <n v="72253.55"/>
    <n v="0"/>
    <n v="72253.55"/>
    <n v="10000"/>
    <n v="100"/>
    <s v="AMPM29"/>
    <x v="58"/>
    <s v="ENERGIA MAYOAMPM29"/>
    <s v="Compras"/>
    <s v="xmaltez"/>
    <s v="PMTRX00089499"/>
    <n v="5150859"/>
    <n v="1"/>
    <n v="36"/>
    <s v=""/>
    <m/>
  </r>
  <r>
    <n v="3296548"/>
    <x v="47"/>
    <s v="06-10-002-000"/>
    <x v="0"/>
    <n v="47681.83"/>
    <n v="0"/>
    <n v="47681.83"/>
    <n v="10000"/>
    <n v="100"/>
    <s v="MONITOREO"/>
    <x v="63"/>
    <s v="ENERGIA MAYOMONITOREO"/>
    <s v="Compras"/>
    <s v="xmaltez"/>
    <s v="PMTRX00089499"/>
    <n v="5150860"/>
    <n v="1"/>
    <n v="30"/>
    <s v=""/>
    <m/>
  </r>
  <r>
    <n v="3296549"/>
    <x v="47"/>
    <s v="06-10-002-000"/>
    <x v="0"/>
    <n v="63337.49"/>
    <n v="0"/>
    <n v="63337.49"/>
    <n v="10000"/>
    <n v="100"/>
    <s v="AMPM04"/>
    <x v="26"/>
    <s v="ENERGIA MAYOAMPM04"/>
    <s v="Compras"/>
    <s v="xmaltez"/>
    <s v="PMTRX00089499"/>
    <n v="5150861"/>
    <n v="1"/>
    <n v="4"/>
    <s v=""/>
    <m/>
  </r>
  <r>
    <n v="3296550"/>
    <x v="47"/>
    <s v="06-10-002-000"/>
    <x v="0"/>
    <n v="61029.61"/>
    <n v="0"/>
    <n v="61029.61"/>
    <n v="10000"/>
    <n v="100"/>
    <s v="AMPM06"/>
    <x v="13"/>
    <s v="ENERGIA MAYOAMPM06"/>
    <s v="Compras"/>
    <s v="xmaltez"/>
    <s v="PMTRX00089499"/>
    <n v="5150862"/>
    <n v="1"/>
    <n v="6"/>
    <s v=""/>
    <m/>
  </r>
  <r>
    <n v="3296551"/>
    <x v="47"/>
    <s v="06-10-002-000"/>
    <x v="0"/>
    <n v="68234.09"/>
    <n v="0"/>
    <n v="68234.09"/>
    <n v="10000"/>
    <n v="100"/>
    <s v="AMPM16"/>
    <x v="43"/>
    <s v="ENERGIA MAYOAMPM16"/>
    <s v="Compras"/>
    <s v="xmaltez"/>
    <s v="PMTRX00089499"/>
    <n v="5150863"/>
    <n v="1"/>
    <n v="16"/>
    <s v=""/>
    <m/>
  </r>
  <r>
    <n v="3296552"/>
    <x v="47"/>
    <s v="06-10-002-000"/>
    <x v="0"/>
    <n v="83643.28"/>
    <n v="0"/>
    <n v="83643.28"/>
    <n v="10000"/>
    <n v="100"/>
    <s v="AMPM38"/>
    <x v="41"/>
    <s v="ENERGIA MAYOAMPM38"/>
    <s v="Compras"/>
    <s v="xmaltez"/>
    <s v="PMTRX00089499"/>
    <n v="5150864"/>
    <n v="1"/>
    <n v="47"/>
    <s v=""/>
    <m/>
  </r>
  <r>
    <n v="3296553"/>
    <x v="47"/>
    <s v="06-10-002-000"/>
    <x v="0"/>
    <n v="2304.56"/>
    <n v="0"/>
    <n v="2304.56"/>
    <n v="10000"/>
    <n v="100"/>
    <s v="AMPM38"/>
    <x v="41"/>
    <s v="ENERGIA MAYOAMPM38"/>
    <s v="Compras"/>
    <s v="xmaltez"/>
    <s v="PMTRX00089499"/>
    <n v="5150865"/>
    <n v="1"/>
    <n v="47"/>
    <s v=""/>
    <m/>
  </r>
  <r>
    <n v="3296554"/>
    <x v="47"/>
    <s v="06-10-002-000"/>
    <x v="0"/>
    <n v="77791.839999999997"/>
    <n v="0"/>
    <n v="77791.839999999997"/>
    <n v="10000"/>
    <n v="100"/>
    <s v="AMPM79"/>
    <x v="82"/>
    <s v="ENERGIA MAYOAMPM79"/>
    <s v="Compras"/>
    <s v="xmaltez"/>
    <s v="PMTRX00089499"/>
    <n v="5150866"/>
    <n v="1"/>
    <n v="95"/>
    <s v=""/>
    <m/>
  </r>
  <r>
    <n v="3296555"/>
    <x v="47"/>
    <s v="06-10-002-000"/>
    <x v="0"/>
    <n v="89327.99"/>
    <n v="0"/>
    <n v="89327.99"/>
    <n v="10000"/>
    <n v="100"/>
    <s v="AMPM65"/>
    <x v="78"/>
    <s v="ENERGIA MAYOAMPM65"/>
    <s v="Compras"/>
    <s v="xmaltez"/>
    <s v="PMTRX00089499"/>
    <n v="5150867"/>
    <n v="1"/>
    <n v="81"/>
    <s v=""/>
    <m/>
  </r>
  <r>
    <n v="3296556"/>
    <x v="47"/>
    <s v="06-10-002-000"/>
    <x v="0"/>
    <n v="84447.039999999994"/>
    <n v="0"/>
    <n v="84447.039999999994"/>
    <n v="10000"/>
    <n v="100"/>
    <s v="AMPM81"/>
    <x v="83"/>
    <s v="ENERGIA MAYOAMPM81"/>
    <s v="Compras"/>
    <s v="xmaltez"/>
    <s v="PMTRX00089499"/>
    <n v="5150868"/>
    <n v="1"/>
    <n v="99"/>
    <s v=""/>
    <m/>
  </r>
  <r>
    <n v="3296557"/>
    <x v="47"/>
    <s v="06-10-002-000"/>
    <x v="0"/>
    <n v="44957.81"/>
    <n v="0"/>
    <n v="44957.81"/>
    <n v="10000"/>
    <n v="100"/>
    <s v="AMPM90"/>
    <x v="91"/>
    <s v="ENERGIA MAYOAMPM90"/>
    <s v="Compras"/>
    <s v="xmaltez"/>
    <s v="PMTRX00089499"/>
    <n v="5150869"/>
    <n v="1"/>
    <n v="107"/>
    <s v=""/>
    <m/>
  </r>
  <r>
    <n v="3296558"/>
    <x v="47"/>
    <s v="06-10-002-000"/>
    <x v="0"/>
    <n v="3194.76"/>
    <n v="0"/>
    <n v="3194.76"/>
    <n v="10000"/>
    <n v="100"/>
    <s v="AMPM18"/>
    <x v="55"/>
    <s v="ENERGIA MAYOAMPM18"/>
    <s v="Compras"/>
    <s v="xmaltez"/>
    <s v="PMTRX00089499"/>
    <n v="5150870"/>
    <n v="1"/>
    <n v="18"/>
    <s v=""/>
    <m/>
  </r>
  <r>
    <n v="3296559"/>
    <x v="47"/>
    <s v="06-10-002-000"/>
    <x v="0"/>
    <n v="1663.53"/>
    <n v="0"/>
    <n v="1663.53"/>
    <n v="10000"/>
    <n v="100"/>
    <s v="AMPM45"/>
    <x v="68"/>
    <s v="ENERGIA MAYOAMPM45"/>
    <s v="Compras"/>
    <s v="xmaltez"/>
    <s v="PMTRX00089499"/>
    <n v="5150871"/>
    <n v="1"/>
    <n v="59"/>
    <s v=""/>
    <m/>
  </r>
  <r>
    <n v="3296560"/>
    <x v="47"/>
    <s v="06-10-002-000"/>
    <x v="0"/>
    <n v="72564.75"/>
    <n v="0"/>
    <n v="72564.75"/>
    <n v="10000"/>
    <n v="100"/>
    <s v="AMPM32"/>
    <x v="65"/>
    <s v="ENERGIA MAYOAMPM32"/>
    <s v="Compras"/>
    <s v="xmaltez"/>
    <s v="PMTRX00089499"/>
    <n v="5150872"/>
    <n v="1"/>
    <n v="40"/>
    <s v=""/>
    <m/>
  </r>
  <r>
    <n v="3296561"/>
    <x v="47"/>
    <s v="06-10-002-000"/>
    <x v="0"/>
    <n v="73296.78"/>
    <n v="0"/>
    <n v="73296.78"/>
    <n v="10000"/>
    <n v="100"/>
    <s v="AMPM71"/>
    <x v="52"/>
    <s v="ENERGIA MAYOAMPM71"/>
    <s v="Compras"/>
    <s v="xmaltez"/>
    <s v="PMTRX00089499"/>
    <n v="5150873"/>
    <n v="1"/>
    <n v="86"/>
    <s v=""/>
    <m/>
  </r>
  <r>
    <n v="3296562"/>
    <x v="47"/>
    <s v="06-10-002-000"/>
    <x v="0"/>
    <n v="74476.75"/>
    <n v="0"/>
    <n v="74476.75"/>
    <n v="10000"/>
    <n v="100"/>
    <s v="AMPM82"/>
    <x v="84"/>
    <s v="ENERGIA MAYOAMPM82"/>
    <s v="Compras"/>
    <s v="xmaltez"/>
    <s v="PMTRX00089499"/>
    <n v="5150874"/>
    <n v="1"/>
    <n v="96"/>
    <s v=""/>
    <m/>
  </r>
  <r>
    <n v="3296563"/>
    <x v="47"/>
    <s v="06-10-002-000"/>
    <x v="0"/>
    <n v="79723.72"/>
    <n v="0"/>
    <n v="79723.72"/>
    <n v="10000"/>
    <n v="100"/>
    <s v="AMPM54"/>
    <x v="18"/>
    <s v="ENERGIA MAYOAMPM54"/>
    <s v="Compras"/>
    <s v="xmaltez"/>
    <s v="PMTRX00089499"/>
    <n v="5150875"/>
    <n v="1"/>
    <n v="70"/>
    <s v=""/>
    <m/>
  </r>
  <r>
    <n v="3296564"/>
    <x v="47"/>
    <s v="06-10-002-000"/>
    <x v="0"/>
    <n v="1710.69"/>
    <n v="0"/>
    <n v="1710.69"/>
    <n v="10000"/>
    <n v="100"/>
    <s v="AMPM51"/>
    <x v="71"/>
    <s v="ENERGIA MAYOAMPM51"/>
    <s v="Compras"/>
    <s v="xmaltez"/>
    <s v="PMTRX00089499"/>
    <n v="5150876"/>
    <n v="1"/>
    <n v="65"/>
    <s v=""/>
    <m/>
  </r>
  <r>
    <n v="3296565"/>
    <x v="47"/>
    <s v="06-10-002-000"/>
    <x v="0"/>
    <n v="70970.66"/>
    <n v="0"/>
    <n v="70970.66"/>
    <n v="10000"/>
    <n v="100"/>
    <s v="AMPM25"/>
    <x v="62"/>
    <s v="ENERGIA MAYOAMPM25"/>
    <s v="Compras"/>
    <s v="xmaltez"/>
    <s v="PMTRX00089499"/>
    <n v="5150877"/>
    <n v="1"/>
    <n v="25"/>
    <s v=""/>
    <m/>
  </r>
  <r>
    <n v="3296566"/>
    <x v="47"/>
    <s v="06-10-002-000"/>
    <x v="0"/>
    <n v="66338.179999999993"/>
    <n v="0"/>
    <n v="66338.179999999993"/>
    <n v="10000"/>
    <n v="100"/>
    <s v="AMPM63"/>
    <x v="32"/>
    <s v="ENERGIA MAYOAMPM63"/>
    <s v="Compras"/>
    <s v="xmaltez"/>
    <s v="PMTRX00089499"/>
    <n v="5150878"/>
    <n v="1"/>
    <n v="79"/>
    <s v=""/>
    <m/>
  </r>
  <r>
    <n v="3296567"/>
    <x v="47"/>
    <s v="06-10-002-000"/>
    <x v="0"/>
    <n v="89171.66"/>
    <n v="0"/>
    <n v="89171.66"/>
    <n v="10000"/>
    <n v="100"/>
    <s v="AMPM33"/>
    <x v="11"/>
    <s v="ENERGIA MAYOAMPM33"/>
    <s v="Compras"/>
    <s v="xmaltez"/>
    <s v="PMTRX00089499"/>
    <n v="5150879"/>
    <n v="1"/>
    <n v="39"/>
    <s v=""/>
    <m/>
  </r>
  <r>
    <n v="3296568"/>
    <x v="47"/>
    <s v="06-10-002-000"/>
    <x v="0"/>
    <n v="67703.14"/>
    <n v="0"/>
    <n v="67703.14"/>
    <n v="10000"/>
    <n v="100"/>
    <s v="AMPM41"/>
    <x v="24"/>
    <s v="ENERGIA MAYOAMPM41"/>
    <s v="Compras"/>
    <s v="xmaltez"/>
    <s v="PMTRX00089499"/>
    <n v="5150880"/>
    <n v="1"/>
    <n v="50"/>
    <s v=""/>
    <m/>
  </r>
  <r>
    <n v="3296569"/>
    <x v="47"/>
    <s v="06-10-002-000"/>
    <x v="0"/>
    <n v="74295.73"/>
    <n v="0"/>
    <n v="74295.73"/>
    <n v="10000"/>
    <n v="100"/>
    <s v="AMPM78"/>
    <x v="81"/>
    <s v="ENERGIA MAYOAMPM78"/>
    <s v="Compras"/>
    <s v="xmaltez"/>
    <s v="PMTRX00089499"/>
    <n v="5150881"/>
    <n v="1"/>
    <n v="94"/>
    <s v=""/>
    <m/>
  </r>
  <r>
    <n v="3296570"/>
    <x v="47"/>
    <s v="06-10-002-000"/>
    <x v="0"/>
    <n v="74984.47"/>
    <n v="0"/>
    <n v="74984.47"/>
    <n v="10000"/>
    <n v="100"/>
    <s v="AMPM61"/>
    <x v="75"/>
    <s v="ENERGIA MAYOAMPM61"/>
    <s v="Compras"/>
    <s v="xmaltez"/>
    <s v="PMTRX00089499"/>
    <n v="5150882"/>
    <n v="1"/>
    <n v="77"/>
    <s v=""/>
    <m/>
  </r>
  <r>
    <n v="3296571"/>
    <x v="47"/>
    <s v="06-10-002-000"/>
    <x v="0"/>
    <n v="65808.820000000007"/>
    <n v="0"/>
    <n v="65808.820000000007"/>
    <n v="10000"/>
    <n v="100"/>
    <s v="AMPM75"/>
    <x v="36"/>
    <s v="ENERGIA MAYOAMPM75"/>
    <s v="Compras"/>
    <s v="xmaltez"/>
    <s v="PMTRX00089499"/>
    <n v="5150883"/>
    <n v="1"/>
    <n v="91"/>
    <s v=""/>
    <m/>
  </r>
  <r>
    <n v="3296572"/>
    <x v="47"/>
    <s v="06-10-002-000"/>
    <x v="0"/>
    <n v="78553.41"/>
    <n v="0"/>
    <n v="78553.41"/>
    <n v="10000"/>
    <n v="100"/>
    <s v="AMPM30"/>
    <x v="39"/>
    <s v="ENERGIA MAYOAMPM30"/>
    <s v="Compras"/>
    <s v="xmaltez"/>
    <s v="PMTRX00089499"/>
    <n v="5150884"/>
    <n v="1"/>
    <n v="37"/>
    <s v=""/>
    <m/>
  </r>
  <r>
    <n v="3296573"/>
    <x v="47"/>
    <s v="06-10-002-000"/>
    <x v="0"/>
    <n v="66309.73"/>
    <n v="0"/>
    <n v="66309.73"/>
    <n v="10000"/>
    <n v="100"/>
    <s v="AMPM84"/>
    <x v="29"/>
    <s v="ENERGIA MAYOAMPM84"/>
    <s v="Compras"/>
    <s v="xmaltez"/>
    <s v="PMTRX00089499"/>
    <n v="5150885"/>
    <n v="1"/>
    <n v="100"/>
    <s v=""/>
    <m/>
  </r>
  <r>
    <n v="3296574"/>
    <x v="47"/>
    <s v="06-10-002-000"/>
    <x v="0"/>
    <n v="84243.82"/>
    <n v="0"/>
    <n v="84243.82"/>
    <n v="10000"/>
    <n v="100"/>
    <s v="AMPM27"/>
    <x v="8"/>
    <s v="ENERGIA MAYOAMPM27"/>
    <s v="Compras"/>
    <s v="xmaltez"/>
    <s v="PMTRX00089499"/>
    <n v="5150886"/>
    <n v="1"/>
    <n v="34"/>
    <s v=""/>
    <m/>
  </r>
  <r>
    <n v="3296575"/>
    <x v="47"/>
    <s v="06-10-002-000"/>
    <x v="0"/>
    <n v="1998.35"/>
    <n v="0"/>
    <n v="1998.35"/>
    <n v="10000"/>
    <n v="100"/>
    <s v="AMPM27"/>
    <x v="8"/>
    <s v="ENERGIA MAYOAMPM27"/>
    <s v="Compras"/>
    <s v="xmaltez"/>
    <s v="PMTRX00089499"/>
    <n v="5150887"/>
    <n v="1"/>
    <n v="34"/>
    <s v=""/>
    <m/>
  </r>
  <r>
    <n v="3296576"/>
    <x v="47"/>
    <s v="06-10-002-000"/>
    <x v="0"/>
    <n v="48445.8"/>
    <n v="0"/>
    <n v="48445.8"/>
    <n v="10000"/>
    <n v="100"/>
    <s v="AMPM01"/>
    <x v="25"/>
    <s v="ENERGIA MAYOAMPM01"/>
    <s v="Compras"/>
    <s v="xmaltez"/>
    <s v="PMTRX00089499"/>
    <n v="5150888"/>
    <n v="1"/>
    <n v="1"/>
    <s v=""/>
    <m/>
  </r>
  <r>
    <n v="3296577"/>
    <x v="47"/>
    <s v="06-10-002-000"/>
    <x v="0"/>
    <n v="54170.18"/>
    <n v="0"/>
    <n v="54170.18"/>
    <n v="10000"/>
    <n v="100"/>
    <s v="AMPM52"/>
    <x v="16"/>
    <s v="ENERGIA MAYOAMPM52"/>
    <s v="Compras"/>
    <s v="xmaltez"/>
    <s v="PMTRX00089499"/>
    <n v="5150889"/>
    <n v="1"/>
    <n v="66"/>
    <s v=""/>
    <m/>
  </r>
  <r>
    <n v="3296578"/>
    <x v="47"/>
    <s v="06-10-002-000"/>
    <x v="0"/>
    <n v="69844.5"/>
    <n v="0"/>
    <n v="69844.5"/>
    <n v="10000"/>
    <n v="100"/>
    <s v="AMPM73"/>
    <x v="17"/>
    <s v="ENERGIA MAYOAMPM73"/>
    <s v="Compras"/>
    <s v="xmaltez"/>
    <s v="PMTRX00089499"/>
    <n v="5150890"/>
    <n v="1"/>
    <n v="89"/>
    <s v=""/>
    <m/>
  </r>
  <r>
    <n v="3296579"/>
    <x v="47"/>
    <s v="06-10-002-000"/>
    <x v="0"/>
    <n v="68046.960000000006"/>
    <n v="0"/>
    <n v="68046.960000000006"/>
    <n v="10000"/>
    <n v="100"/>
    <s v="AMPM20"/>
    <x v="57"/>
    <s v="ENERGIA MAYOAMPM20"/>
    <s v="Compras"/>
    <s v="xmaltez"/>
    <s v="PMTRX00089499"/>
    <n v="5150891"/>
    <n v="1"/>
    <n v="20"/>
    <s v=""/>
    <m/>
  </r>
  <r>
    <n v="3296580"/>
    <x v="47"/>
    <s v="06-10-002-000"/>
    <x v="0"/>
    <n v="65594.64"/>
    <n v="0"/>
    <n v="65594.64"/>
    <n v="10000"/>
    <n v="100"/>
    <s v="AMPM89"/>
    <x v="87"/>
    <s v="ENERGIA MAYOAMPM89"/>
    <s v="Compras"/>
    <s v="xmaltez"/>
    <s v="PMTRX00089499"/>
    <n v="5150892"/>
    <n v="1"/>
    <n v="105"/>
    <s v=""/>
    <m/>
  </r>
  <r>
    <n v="3296581"/>
    <x v="47"/>
    <s v="06-10-002-000"/>
    <x v="0"/>
    <n v="56311.54"/>
    <n v="0"/>
    <n v="56311.54"/>
    <n v="10000"/>
    <n v="100"/>
    <s v="AMPM37"/>
    <x v="49"/>
    <s v="ENERGIA MAYOAMPM37"/>
    <s v="Compras"/>
    <s v="xmaltez"/>
    <s v="PMTRX00089499"/>
    <n v="5150893"/>
    <n v="1"/>
    <n v="42"/>
    <s v=""/>
    <m/>
  </r>
  <r>
    <n v="3296582"/>
    <x v="47"/>
    <s v="06-10-002-000"/>
    <x v="0"/>
    <n v="56377.56"/>
    <n v="0"/>
    <n v="56377.56"/>
    <n v="10000"/>
    <n v="100"/>
    <s v="AMPM09"/>
    <x v="42"/>
    <s v="ENERGIA MAYOAMPM09"/>
    <s v="Compras"/>
    <s v="xmaltez"/>
    <s v="PMTRX00089499"/>
    <n v="5150894"/>
    <n v="1"/>
    <n v="9"/>
    <s v=""/>
    <m/>
  </r>
  <r>
    <n v="3296583"/>
    <x v="47"/>
    <s v="06-10-002-000"/>
    <x v="0"/>
    <n v="63452.51"/>
    <n v="0"/>
    <n v="63452.51"/>
    <n v="10000"/>
    <n v="100"/>
    <s v="AMPM19"/>
    <x v="56"/>
    <s v="ENERGIA MAYOAMPM19"/>
    <s v="Compras"/>
    <s v="xmaltez"/>
    <s v="PMTRX00089499"/>
    <n v="5150895"/>
    <n v="1"/>
    <n v="19"/>
    <s v=""/>
    <m/>
  </r>
  <r>
    <n v="3296584"/>
    <x v="47"/>
    <s v="06-10-002-000"/>
    <x v="0"/>
    <n v="134.94999999999999"/>
    <n v="0"/>
    <n v="134.94999999999999"/>
    <n v="10000"/>
    <n v="100"/>
    <s v="AMPM19"/>
    <x v="56"/>
    <s v="ENERGIA MAYOAMPM19"/>
    <s v="Compras"/>
    <s v="xmaltez"/>
    <s v="PMTRX00089499"/>
    <n v="5150896"/>
    <n v="1"/>
    <n v="19"/>
    <s v=""/>
    <m/>
  </r>
  <r>
    <n v="3296585"/>
    <x v="47"/>
    <s v="06-10-002-000"/>
    <x v="0"/>
    <n v="82668.820000000007"/>
    <n v="0"/>
    <n v="82668.820000000007"/>
    <n v="10000"/>
    <n v="100"/>
    <s v="AMPM34"/>
    <x v="85"/>
    <s v="ENERGIA MAYOAMPM34"/>
    <s v="Compras"/>
    <s v="xmaltez"/>
    <s v="PMTRX00089499"/>
    <n v="5150897"/>
    <n v="1"/>
    <n v="41"/>
    <s v=""/>
    <m/>
  </r>
  <r>
    <n v="3296586"/>
    <x v="47"/>
    <s v="06-10-002-000"/>
    <x v="0"/>
    <n v="63755.4"/>
    <n v="0"/>
    <n v="63755.4"/>
    <n v="10000"/>
    <n v="100"/>
    <s v="AMPM10"/>
    <x v="45"/>
    <s v="ENERGIA MAYOAMPM10"/>
    <s v="Compras"/>
    <s v="xmaltez"/>
    <s v="PMTRX00089499"/>
    <n v="5150898"/>
    <n v="1"/>
    <n v="10"/>
    <s v=""/>
    <m/>
  </r>
  <r>
    <n v="3296587"/>
    <x v="47"/>
    <s v="06-10-002-000"/>
    <x v="0"/>
    <n v="2617.67"/>
    <n v="0"/>
    <n v="2617.67"/>
    <n v="10000"/>
    <n v="100"/>
    <s v="AMPM01"/>
    <x v="25"/>
    <s v="ENERGIA MAYOAMPM01"/>
    <s v="Compras"/>
    <s v="xmaltez"/>
    <s v="PMTRX00089499"/>
    <n v="5150899"/>
    <n v="1"/>
    <n v="1"/>
    <s v=""/>
    <m/>
  </r>
  <r>
    <n v="3296588"/>
    <x v="47"/>
    <s v="06-10-002-000"/>
    <x v="0"/>
    <n v="67921.41"/>
    <n v="0"/>
    <n v="67921.41"/>
    <n v="10000"/>
    <n v="100"/>
    <s v="AMPM49"/>
    <x v="72"/>
    <s v="ENERGIA MAYOAMPM49"/>
    <s v="Compras"/>
    <s v="xmaltez"/>
    <s v="PMTRX00089499"/>
    <n v="5150900"/>
    <n v="1"/>
    <n v="63"/>
    <s v=""/>
    <m/>
  </r>
  <r>
    <n v="3296589"/>
    <x v="47"/>
    <s v="06-10-002-000"/>
    <x v="0"/>
    <n v="48.67"/>
    <n v="0"/>
    <n v="48.67"/>
    <n v="10000"/>
    <n v="100"/>
    <s v="AMPM49"/>
    <x v="72"/>
    <s v="ENERGIA MAYOAMPM49"/>
    <s v="Compras"/>
    <s v="xmaltez"/>
    <s v="PMTRX00089499"/>
    <n v="5150901"/>
    <n v="1"/>
    <n v="63"/>
    <s v=""/>
    <m/>
  </r>
  <r>
    <n v="3296590"/>
    <x v="47"/>
    <s v="06-10-002-000"/>
    <x v="0"/>
    <n v="60939.61"/>
    <n v="0"/>
    <n v="60939.61"/>
    <n v="10000"/>
    <n v="100"/>
    <s v="AMPM43"/>
    <x v="35"/>
    <s v="ENERGIA MAYOAMPM43"/>
    <s v="Compras"/>
    <s v="xmaltez"/>
    <s v="PMTRX00089499"/>
    <n v="5150902"/>
    <n v="1"/>
    <n v="58"/>
    <s v=""/>
    <m/>
  </r>
  <r>
    <n v="3296591"/>
    <x v="47"/>
    <s v="06-10-002-000"/>
    <x v="0"/>
    <n v="49933.98"/>
    <n v="0"/>
    <n v="49933.98"/>
    <n v="10000"/>
    <n v="100"/>
    <s v="AMPM86"/>
    <x v="88"/>
    <s v="ENERGIA MAYOAMPM86"/>
    <s v="Compras"/>
    <s v="xmaltez"/>
    <s v="PMTRX00089499"/>
    <n v="5150903"/>
    <n v="1"/>
    <n v="104"/>
    <s v=""/>
    <m/>
  </r>
  <r>
    <n v="3296592"/>
    <x v="47"/>
    <s v="06-10-002-000"/>
    <x v="0"/>
    <n v="57241.42"/>
    <n v="0"/>
    <n v="57241.42"/>
    <n v="10000"/>
    <n v="100"/>
    <s v="AMPM88"/>
    <x v="9"/>
    <s v="ENERGIA MAYOAMPM88"/>
    <s v="Compras"/>
    <s v="xmaltez"/>
    <s v="PMTRX00089499"/>
    <n v="5150904"/>
    <n v="1"/>
    <n v="102"/>
    <s v=""/>
    <m/>
  </r>
  <r>
    <n v="3296593"/>
    <x v="47"/>
    <s v="06-10-002-000"/>
    <x v="0"/>
    <n v="60339.86"/>
    <n v="0"/>
    <n v="60339.86"/>
    <n v="10000"/>
    <n v="100"/>
    <s v="AMPM39"/>
    <x v="31"/>
    <s v="ENERGIA MAYOAMPM39"/>
    <s v="Compras"/>
    <s v="xmaltez"/>
    <s v="PMTRX00089499"/>
    <n v="5150905"/>
    <n v="1"/>
    <n v="48"/>
    <s v=""/>
    <m/>
  </r>
  <r>
    <n v="3296594"/>
    <x v="47"/>
    <s v="06-10-002-000"/>
    <x v="0"/>
    <n v="30088.59"/>
    <n v="0"/>
    <n v="30088.59"/>
    <n v="10000"/>
    <n v="100"/>
    <s v="AMPM99"/>
    <x v="73"/>
    <s v="ENERGIA MAYOCEDI"/>
    <s v="Compras"/>
    <s v="xmaltez"/>
    <s v="PMTRX00089499"/>
    <n v="5150906"/>
    <n v="1"/>
    <n v="33"/>
    <s v=""/>
    <m/>
  </r>
  <r>
    <n v="3296595"/>
    <x v="47"/>
    <s v="06-10-002-000"/>
    <x v="0"/>
    <n v="80662.91"/>
    <n v="0"/>
    <n v="80662.91"/>
    <n v="10000"/>
    <n v="100"/>
    <s v="AMPM12"/>
    <x v="51"/>
    <s v="ENERGIA MAYOAMPM12"/>
    <s v="Compras"/>
    <s v="xmaltez"/>
    <s v="PMTRX00089499"/>
    <n v="5150907"/>
    <n v="1"/>
    <n v="12"/>
    <s v=""/>
    <m/>
  </r>
  <r>
    <n v="3296596"/>
    <x v="47"/>
    <s v="06-10-002-000"/>
    <x v="0"/>
    <n v="9681.2800000000007"/>
    <n v="0"/>
    <n v="9681.2800000000007"/>
    <n v="10000"/>
    <n v="100"/>
    <s v="AMPM14"/>
    <x v="53"/>
    <s v="ENERGIA MAYOAMPM14"/>
    <s v="Compras"/>
    <s v="xmaltez"/>
    <s v="PMTRX00089499"/>
    <n v="5150908"/>
    <n v="1"/>
    <n v="14"/>
    <s v=""/>
    <m/>
  </r>
  <r>
    <n v="3296597"/>
    <x v="47"/>
    <s v="06-10-002-000"/>
    <x v="0"/>
    <n v="1004.43"/>
    <n v="0"/>
    <n v="1004.43"/>
    <n v="10000"/>
    <n v="100"/>
    <s v="AMPM14"/>
    <x v="53"/>
    <s v="ENERGIA MAYOAMPM14"/>
    <s v="Compras"/>
    <s v="xmaltez"/>
    <s v="PMTRX00089499"/>
    <n v="5150909"/>
    <n v="1"/>
    <n v="14"/>
    <s v=""/>
    <m/>
  </r>
  <r>
    <n v="3296598"/>
    <x v="47"/>
    <s v="06-10-002-000"/>
    <x v="0"/>
    <n v="29239.32"/>
    <n v="0"/>
    <n v="29239.32"/>
    <n v="10000"/>
    <n v="100"/>
    <s v="AMPM14"/>
    <x v="53"/>
    <s v="ENERGIA MAYOAMPM14"/>
    <s v="Compras"/>
    <s v="xmaltez"/>
    <s v="PMTRX00089499"/>
    <n v="5150910"/>
    <n v="1"/>
    <n v="14"/>
    <s v=""/>
    <m/>
  </r>
  <r>
    <n v="3296599"/>
    <x v="47"/>
    <s v="06-10-002-000"/>
    <x v="0"/>
    <n v="65676.710000000006"/>
    <n v="0"/>
    <n v="65676.710000000006"/>
    <n v="10000"/>
    <n v="100"/>
    <s v="AMPM03"/>
    <x v="61"/>
    <s v="ENERGIA MAYOAMPM03"/>
    <s v="Compras"/>
    <s v="xmaltez"/>
    <s v="PMTRX00089499"/>
    <n v="5150911"/>
    <n v="1"/>
    <n v="3"/>
    <s v=""/>
    <m/>
  </r>
  <r>
    <n v="3296600"/>
    <x v="47"/>
    <s v="06-10-002-000"/>
    <x v="0"/>
    <n v="60749.64"/>
    <n v="0"/>
    <n v="60749.64"/>
    <n v="10000"/>
    <n v="100"/>
    <s v="AMPM85"/>
    <x v="86"/>
    <s v="ENERGIA MAYOAMPM85"/>
    <s v="Compras"/>
    <s v="xmaltez"/>
    <s v="PMTRX00089499"/>
    <n v="5150912"/>
    <n v="1"/>
    <n v="101"/>
    <s v=""/>
    <m/>
  </r>
  <r>
    <n v="3296601"/>
    <x v="47"/>
    <s v="06-10-002-000"/>
    <x v="0"/>
    <n v="66719.83"/>
    <n v="0"/>
    <n v="66719.83"/>
    <n v="10000"/>
    <n v="100"/>
    <s v="AMPM83"/>
    <x v="15"/>
    <s v="ENERGIA MAYOAMPM83"/>
    <s v="Compras"/>
    <s v="xmaltez"/>
    <s v="PMTRX00089499"/>
    <n v="5150913"/>
    <n v="1"/>
    <n v="97"/>
    <s v=""/>
    <m/>
  </r>
  <r>
    <n v="3296602"/>
    <x v="47"/>
    <s v="06-10-002-000"/>
    <x v="0"/>
    <n v="19022.91"/>
    <n v="0"/>
    <n v="19022.91"/>
    <n v="10000"/>
    <n v="100"/>
    <s v="ADMON"/>
    <x v="48"/>
    <s v="ENERGIA MAYOADMON"/>
    <s v="Compras"/>
    <s v="xmaltez"/>
    <s v="PMTRX00089499"/>
    <n v="5150914"/>
    <n v="1"/>
    <n v="27"/>
    <s v=""/>
    <m/>
  </r>
  <r>
    <n v="3296603"/>
    <x v="47"/>
    <s v="06-10-002-000"/>
    <x v="0"/>
    <n v="25454.22"/>
    <n v="0"/>
    <n v="25454.22"/>
    <n v="10000"/>
    <n v="100"/>
    <s v="ADMON"/>
    <x v="48"/>
    <s v="ENERGIA MAYOADMON"/>
    <s v="Compras"/>
    <s v="xmaltez"/>
    <s v="PMTRX00089499"/>
    <n v="5150915"/>
    <n v="1"/>
    <n v="27"/>
    <s v=""/>
    <m/>
  </r>
  <r>
    <n v="3296604"/>
    <x v="47"/>
    <s v="06-10-002-000"/>
    <x v="0"/>
    <n v="13143.86"/>
    <n v="0"/>
    <n v="13143.86"/>
    <n v="10000"/>
    <n v="100"/>
    <s v="ADMON"/>
    <x v="48"/>
    <s v="ENERGIA MAYOADMON"/>
    <s v="Compras"/>
    <s v="xmaltez"/>
    <s v="PMTRX00089499"/>
    <n v="5150916"/>
    <n v="1"/>
    <n v="27"/>
    <s v=""/>
    <m/>
  </r>
  <r>
    <n v="3296605"/>
    <x v="47"/>
    <s v="06-10-002-000"/>
    <x v="0"/>
    <n v="22423.58"/>
    <n v="0"/>
    <n v="22423.58"/>
    <n v="10000"/>
    <n v="100"/>
    <s v="ADMON"/>
    <x v="48"/>
    <s v="ENERGIA MAYOADMON"/>
    <s v="Compras"/>
    <s v="xmaltez"/>
    <s v="PMTRX00089499"/>
    <n v="5150917"/>
    <n v="1"/>
    <n v="27"/>
    <s v=""/>
    <m/>
  </r>
  <r>
    <n v="3296606"/>
    <x v="47"/>
    <s v="06-10-002-000"/>
    <x v="0"/>
    <n v="73111.09"/>
    <n v="0"/>
    <n v="73111.09"/>
    <n v="10000"/>
    <n v="100"/>
    <s v="AMPM45"/>
    <x v="68"/>
    <s v="ENERGIA MAYOAMPM45"/>
    <s v="Compras"/>
    <s v="xmaltez"/>
    <s v="PMTRX00089499"/>
    <n v="5150918"/>
    <n v="1"/>
    <n v="59"/>
    <s v=""/>
    <m/>
  </r>
  <r>
    <n v="3296607"/>
    <x v="47"/>
    <s v="06-10-002-000"/>
    <x v="0"/>
    <n v="3693.27"/>
    <n v="0"/>
    <n v="3693.27"/>
    <n v="10000"/>
    <n v="100"/>
    <s v="AMPM40"/>
    <x v="67"/>
    <s v="ENERGIA MAYOAMPM40"/>
    <s v="Compras"/>
    <s v="xmaltez"/>
    <s v="PMTRX00089499"/>
    <n v="5150919"/>
    <n v="1"/>
    <n v="49"/>
    <s v=""/>
    <m/>
  </r>
  <r>
    <n v="3296608"/>
    <x v="47"/>
    <s v="06-10-002-000"/>
    <x v="0"/>
    <n v="69900.289999999994"/>
    <n v="0"/>
    <n v="69900.289999999994"/>
    <n v="10000"/>
    <n v="100"/>
    <s v="AMPM60"/>
    <x v="76"/>
    <s v="ENERGIA MAYOAMPM60"/>
    <s v="Compras"/>
    <s v="xmaltez"/>
    <s v="PMTRX00089499"/>
    <n v="5150920"/>
    <n v="1"/>
    <n v="76"/>
    <s v=""/>
    <m/>
  </r>
  <r>
    <n v="3296609"/>
    <x v="47"/>
    <s v="06-10-002-000"/>
    <x v="0"/>
    <n v="74111.31"/>
    <n v="0"/>
    <n v="74111.31"/>
    <n v="10000"/>
    <n v="100"/>
    <s v="AMPM67"/>
    <x v="80"/>
    <s v="ENERGIA MAYOAMPM67"/>
    <s v="Compras"/>
    <s v="xmaltez"/>
    <s v="PMTRX00089499"/>
    <n v="5150921"/>
    <n v="1"/>
    <n v="83"/>
    <s v=""/>
    <m/>
  </r>
  <r>
    <n v="3296610"/>
    <x v="47"/>
    <s v="06-10-002-000"/>
    <x v="0"/>
    <n v="71982.460000000006"/>
    <n v="0"/>
    <n v="71982.460000000006"/>
    <n v="10000"/>
    <n v="100"/>
    <s v="AMPM40"/>
    <x v="67"/>
    <s v="ENERGIA MAYOAMPM40"/>
    <s v="Compras"/>
    <s v="xmaltez"/>
    <s v="PMTRX00089499"/>
    <n v="5150922"/>
    <n v="1"/>
    <n v="49"/>
    <s v=""/>
    <m/>
  </r>
  <r>
    <n v="3296611"/>
    <x v="47"/>
    <s v="06-10-002-000"/>
    <x v="0"/>
    <n v="58713.32"/>
    <n v="0"/>
    <n v="58713.32"/>
    <n v="10000"/>
    <n v="100"/>
    <s v="AMPM05"/>
    <x v="12"/>
    <s v="ENERGIA MAYOAMPM05"/>
    <s v="Compras"/>
    <s v="xmaltez"/>
    <s v="PMTRX00089499"/>
    <n v="5150923"/>
    <n v="1"/>
    <n v="5"/>
    <s v=""/>
    <m/>
  </r>
  <r>
    <n v="3296612"/>
    <x v="47"/>
    <s v="06-10-002-000"/>
    <x v="0"/>
    <n v="14999.99"/>
    <n v="0"/>
    <n v="14999.99"/>
    <n v="10000"/>
    <n v="100"/>
    <s v="ADMON"/>
    <x v="48"/>
    <s v="ENERGIA MAYOADMON"/>
    <s v="Compras"/>
    <s v="xmaltez"/>
    <s v="PMTRX00089499"/>
    <n v="5150924"/>
    <n v="1"/>
    <n v="27"/>
    <s v=""/>
    <m/>
  </r>
  <r>
    <n v="3296613"/>
    <x v="47"/>
    <s v="06-10-002-000"/>
    <x v="0"/>
    <n v="53761.37"/>
    <n v="0"/>
    <n v="53761.37"/>
    <n v="10000"/>
    <n v="100"/>
    <s v="AMPM23"/>
    <x v="59"/>
    <s v="ENERGIA MAYOAMPM23"/>
    <s v="Compras"/>
    <s v="xmaltez"/>
    <s v="PMTRX00089499"/>
    <n v="5150925"/>
    <n v="1"/>
    <n v="23"/>
    <s v=""/>
    <m/>
  </r>
  <r>
    <n v="3296614"/>
    <x v="47"/>
    <s v="06-10-002-000"/>
    <x v="0"/>
    <n v="61445.42"/>
    <n v="0"/>
    <n v="61445.42"/>
    <n v="10000"/>
    <n v="100"/>
    <s v="AMPM21"/>
    <x v="50"/>
    <s v="ENERGIA MAYOAMPM21"/>
    <s v="Compras"/>
    <s v="xmaltez"/>
    <s v="PMTRX00089499"/>
    <n v="5150926"/>
    <n v="1"/>
    <n v="21"/>
    <s v=""/>
    <m/>
  </r>
  <r>
    <n v="3296615"/>
    <x v="47"/>
    <s v="06-10-002-000"/>
    <x v="0"/>
    <n v="64925.46"/>
    <n v="0"/>
    <n v="64925.46"/>
    <n v="10000"/>
    <n v="100"/>
    <s v="AMPM18"/>
    <x v="55"/>
    <s v="ENERGIA MAYOAMPM18"/>
    <s v="Compras"/>
    <s v="xmaltez"/>
    <s v="PMTRX00089499"/>
    <n v="5150927"/>
    <n v="1"/>
    <n v="18"/>
    <s v=""/>
    <m/>
  </r>
  <r>
    <n v="3296616"/>
    <x v="47"/>
    <s v="06-10-002-000"/>
    <x v="0"/>
    <n v="105976.69"/>
    <n v="0"/>
    <n v="105976.69"/>
    <n v="10000"/>
    <n v="100"/>
    <s v="AMPM91"/>
    <x v="90"/>
    <s v="ENERGIA MAYOAMPM91"/>
    <s v="Compras"/>
    <s v="xmaltez"/>
    <s v="PMTRX00089499"/>
    <n v="5150928"/>
    <n v="1"/>
    <n v="106"/>
    <s v=""/>
    <m/>
  </r>
  <r>
    <n v="3296617"/>
    <x v="47"/>
    <s v="06-10-002-000"/>
    <x v="0"/>
    <n v="2198.48"/>
    <n v="0"/>
    <n v="2198.48"/>
    <n v="10000"/>
    <n v="100"/>
    <s v="AMPM26"/>
    <x v="7"/>
    <s v="ENERGIA MAYOAMPM26"/>
    <s v="Compras"/>
    <s v="xmaltez"/>
    <s v="PMTRX00089499"/>
    <n v="5150929"/>
    <n v="1"/>
    <n v="26"/>
    <s v=""/>
    <m/>
  </r>
  <r>
    <n v="3296618"/>
    <x v="47"/>
    <s v="06-10-002-000"/>
    <x v="0"/>
    <n v="51793.75"/>
    <n v="0"/>
    <n v="51793.75"/>
    <n v="10000"/>
    <n v="100"/>
    <s v="AMPM59"/>
    <x v="74"/>
    <s v="ENERGIA MAYOAMPM59"/>
    <s v="Compras"/>
    <s v="xmaltez"/>
    <s v="PMTRX00089499"/>
    <n v="5150930"/>
    <n v="1"/>
    <n v="75"/>
    <s v=""/>
    <m/>
  </r>
  <r>
    <n v="3296619"/>
    <x v="47"/>
    <s v="06-10-002-000"/>
    <x v="0"/>
    <n v="47830.35"/>
    <n v="0"/>
    <n v="47830.35"/>
    <n v="10000"/>
    <n v="100"/>
    <s v="AMPM36"/>
    <x v="66"/>
    <s v="ENERGIA MAYOAMPM36"/>
    <s v="Compras"/>
    <s v="xmaltez"/>
    <s v="PMTRX00089499"/>
    <n v="5150931"/>
    <n v="1"/>
    <n v="44"/>
    <s v=""/>
    <m/>
  </r>
  <r>
    <n v="3296620"/>
    <x v="47"/>
    <s v="06-10-002-000"/>
    <x v="0"/>
    <n v="103.75"/>
    <n v="0"/>
    <n v="103.75"/>
    <n v="10000"/>
    <n v="100"/>
    <s v="AMPM36"/>
    <x v="66"/>
    <s v="ENERGIA MAYOAMPM36"/>
    <s v="Compras"/>
    <s v="xmaltez"/>
    <s v="PMTRX00089499"/>
    <n v="5150932"/>
    <n v="1"/>
    <n v="44"/>
    <s v=""/>
    <m/>
  </r>
  <r>
    <n v="3296621"/>
    <x v="47"/>
    <s v="06-10-002-000"/>
    <x v="0"/>
    <n v="57851.27"/>
    <n v="0"/>
    <n v="57851.27"/>
    <n v="10000"/>
    <n v="100"/>
    <s v="AMPM77"/>
    <x v="33"/>
    <s v="ENERGIA MAYOAMPM77"/>
    <s v="Compras"/>
    <s v="xmaltez"/>
    <s v="PMTRX00089499"/>
    <n v="5150933"/>
    <n v="1"/>
    <n v="92"/>
    <s v=""/>
    <m/>
  </r>
  <r>
    <n v="3296622"/>
    <x v="47"/>
    <s v="06-10-002-000"/>
    <x v="0"/>
    <n v="58214.42"/>
    <n v="0"/>
    <n v="58214.42"/>
    <n v="10000"/>
    <n v="100"/>
    <s v="AMPM26"/>
    <x v="7"/>
    <s v="ENERGIA MAYOAMPM26"/>
    <s v="Compras"/>
    <s v="xmaltez"/>
    <s v="PMTRX00089499"/>
    <n v="5150934"/>
    <n v="1"/>
    <n v="26"/>
    <s v=""/>
    <m/>
  </r>
  <r>
    <n v="3296623"/>
    <x v="47"/>
    <s v="06-10-002-000"/>
    <x v="0"/>
    <n v="60171.37"/>
    <n v="0"/>
    <n v="60171.37"/>
    <n v="10000"/>
    <n v="100"/>
    <s v="AMPM62"/>
    <x v="77"/>
    <s v="ENERGIA MAYOAMPM62"/>
    <s v="Compras"/>
    <s v="xmaltez"/>
    <s v="PMTRX00089499"/>
    <n v="5150935"/>
    <n v="1"/>
    <n v="78"/>
    <s v=""/>
    <m/>
  </r>
  <r>
    <n v="3296624"/>
    <x v="47"/>
    <s v="06-10-002-000"/>
    <x v="0"/>
    <n v="57992.43"/>
    <n v="0"/>
    <n v="57992.43"/>
    <n v="10000"/>
    <n v="100"/>
    <s v="AMPM48"/>
    <x v="69"/>
    <s v="ENERGIA MAYOAMPM48"/>
    <s v="Compras"/>
    <s v="xmaltez"/>
    <s v="PMTRX00089499"/>
    <n v="5150936"/>
    <n v="1"/>
    <n v="62"/>
    <s v=""/>
    <m/>
  </r>
  <r>
    <n v="3296625"/>
    <x v="47"/>
    <s v="06-10-002-000"/>
    <x v="0"/>
    <n v="59801.95"/>
    <n v="0"/>
    <n v="59801.95"/>
    <n v="10000"/>
    <n v="100"/>
    <s v="AMPM70"/>
    <x v="22"/>
    <s v="ENERGIA MAYOAMPM70"/>
    <s v="Compras"/>
    <s v="xmaltez"/>
    <s v="PMTRX00089499"/>
    <n v="5150937"/>
    <n v="1"/>
    <n v="87"/>
    <s v=""/>
    <m/>
  </r>
  <r>
    <n v="3296626"/>
    <x v="47"/>
    <s v="06-10-002-000"/>
    <x v="0"/>
    <n v="54626.239999999998"/>
    <n v="0"/>
    <n v="54626.239999999998"/>
    <n v="10000"/>
    <n v="100"/>
    <s v="AMPM42"/>
    <x v="21"/>
    <s v="ENERGIA MAYOAMPM42"/>
    <s v="Compras"/>
    <s v="xmaltez"/>
    <s v="PMTRX00089499"/>
    <n v="5150938"/>
    <n v="1"/>
    <n v="51"/>
    <s v=""/>
    <m/>
  </r>
  <r>
    <n v="3296627"/>
    <x v="47"/>
    <s v="06-10-002-000"/>
    <x v="0"/>
    <n v="865.55"/>
    <n v="0"/>
    <n v="865.55"/>
    <n v="10000"/>
    <n v="100"/>
    <s v="AMPM42"/>
    <x v="21"/>
    <s v="ENERGIA MAYOAMPM42"/>
    <s v="Compras"/>
    <s v="xmaltez"/>
    <s v="PMTRX00089499"/>
    <n v="5150939"/>
    <n v="1"/>
    <n v="51"/>
    <s v=""/>
    <m/>
  </r>
  <r>
    <n v="3296628"/>
    <x v="47"/>
    <s v="06-10-002-000"/>
    <x v="0"/>
    <n v="74796.63"/>
    <n v="0"/>
    <n v="74796.63"/>
    <n v="10000"/>
    <n v="100"/>
    <s v="AMPM66"/>
    <x v="79"/>
    <s v="ENERGIA MAYOAMPM66"/>
    <s v="Compras"/>
    <s v="xmaltez"/>
    <s v="PMTRX00089499"/>
    <n v="5150940"/>
    <n v="1"/>
    <n v="82"/>
    <s v=""/>
    <m/>
  </r>
  <r>
    <n v="3296629"/>
    <x v="47"/>
    <s v="06-10-002-000"/>
    <x v="0"/>
    <n v="41614"/>
    <n v="0"/>
    <n v="41614"/>
    <n v="10000"/>
    <n v="100"/>
    <s v="AMPM31"/>
    <x v="64"/>
    <s v="ENERGIA MAYOAMPM31"/>
    <s v="Compras"/>
    <s v="xmaltez"/>
    <s v="PMTRX00089499"/>
    <n v="5150941"/>
    <n v="1"/>
    <n v="38"/>
    <s v=""/>
    <m/>
  </r>
  <r>
    <n v="3296630"/>
    <x v="47"/>
    <s v="06-10-002-000"/>
    <x v="0"/>
    <n v="62552.959999999999"/>
    <n v="0"/>
    <n v="62552.959999999999"/>
    <n v="10000"/>
    <n v="100"/>
    <s v="AMPM53"/>
    <x v="20"/>
    <s v="ENERGIA MAYOAMPM53"/>
    <s v="Compras"/>
    <s v="xmaltez"/>
    <s v="PMTRX00089499"/>
    <n v="5150942"/>
    <n v="1"/>
    <n v="64"/>
    <s v=""/>
    <m/>
  </r>
  <r>
    <n v="3296631"/>
    <x v="47"/>
    <s v="06-10-002-000"/>
    <x v="0"/>
    <n v="59632.89"/>
    <n v="0"/>
    <n v="59632.89"/>
    <n v="10000"/>
    <n v="100"/>
    <s v="AMPM72"/>
    <x v="27"/>
    <s v="ENERGIA MAYOAMPM72"/>
    <s v="Compras"/>
    <s v="xmaltez"/>
    <s v="PMTRX00089499"/>
    <n v="5150943"/>
    <n v="1"/>
    <n v="88"/>
    <s v=""/>
    <m/>
  </r>
  <r>
    <n v="3296632"/>
    <x v="47"/>
    <s v="06-10-002-000"/>
    <x v="0"/>
    <n v="58073.82"/>
    <n v="0"/>
    <n v="58073.82"/>
    <n v="10000"/>
    <n v="100"/>
    <s v="AMPM56"/>
    <x v="23"/>
    <s v="ENERGIA MAYOAMPM56"/>
    <s v="Compras"/>
    <s v="xmaltez"/>
    <s v="PMTRX00089499"/>
    <n v="5150944"/>
    <n v="1"/>
    <n v="72"/>
    <s v=""/>
    <m/>
  </r>
  <r>
    <n v="3296633"/>
    <x v="47"/>
    <s v="06-10-002-000"/>
    <x v="0"/>
    <n v="67982.5"/>
    <n v="0"/>
    <n v="67982.5"/>
    <n v="10000"/>
    <n v="100"/>
    <s v="AMPM51"/>
    <x v="71"/>
    <s v="ENERGIA MAYOAMPM51"/>
    <s v="Compras"/>
    <s v="xmaltez"/>
    <s v="PMTRX00089499"/>
    <n v="5150945"/>
    <n v="1"/>
    <n v="65"/>
    <s v=""/>
    <m/>
  </r>
  <r>
    <n v="3315814"/>
    <x v="46"/>
    <s v="06-10-002-000"/>
    <x v="0"/>
    <n v="21945.23"/>
    <n v="0"/>
    <n v="21945.23"/>
    <n v="10000"/>
    <n v="100"/>
    <s v="AMPM91"/>
    <x v="90"/>
    <s v="Revertir entrada de 3282267"/>
    <s v="ENERGIA A91 ABRIL"/>
    <s v="mvasquez"/>
    <s v="GLTRX01038961"/>
    <n v="5165521"/>
    <n v="1"/>
    <n v="106"/>
    <s v=""/>
    <m/>
  </r>
  <r>
    <n v="3315809"/>
    <x v="48"/>
    <s v="06-10-002-000"/>
    <x v="0"/>
    <n v="549.36"/>
    <n v="0"/>
    <n v="549.36"/>
    <n v="10000"/>
    <n v="100"/>
    <s v="AMPM27"/>
    <x v="8"/>
    <s v="ALQUILER BODEGA A27-JUNIO"/>
    <s v="ENERGIA BODEGA A27-JUNIO"/>
    <s v="jlopez"/>
    <s v="PMTRX00089847"/>
    <n v="5165528"/>
    <n v="1"/>
    <n v="34"/>
    <s v=""/>
    <m/>
  </r>
  <r>
    <n v="3320908"/>
    <x v="49"/>
    <s v="06-10-002-000"/>
    <x v="0"/>
    <n v="54458.43"/>
    <n v="0"/>
    <n v="54458.43"/>
    <n v="10000"/>
    <n v="100"/>
    <s v="AMPM80"/>
    <x v="3"/>
    <s v="ENERGIA A80-JUNIO 2026."/>
    <s v="ENERGIA A80-JUNIO 2026."/>
    <s v="jlopez"/>
    <s v="PMTRX00090041"/>
    <n v="5171653"/>
    <n v="1"/>
    <n v="98"/>
    <s v=""/>
    <m/>
  </r>
  <r>
    <n v="3320909"/>
    <x v="50"/>
    <s v="06-10-002-000"/>
    <x v="0"/>
    <n v="59036.6"/>
    <n v="0"/>
    <n v="59036.6"/>
    <n v="10000"/>
    <n v="100"/>
    <s v="AMPM76"/>
    <x v="6"/>
    <s v="ENERGIA A76-JUNIO 2026."/>
    <s v="ENERGIA A76-JUNIO 2026."/>
    <s v="jlopez"/>
    <s v="PMTRX00090041"/>
    <n v="5171654"/>
    <n v="1"/>
    <n v="93"/>
    <s v=""/>
    <m/>
  </r>
  <r>
    <n v="3320910"/>
    <x v="50"/>
    <s v="06-10-002-000"/>
    <x v="0"/>
    <n v="78201.45"/>
    <n v="0"/>
    <n v="78201.45"/>
    <n v="10000"/>
    <n v="100"/>
    <s v="AMPM68"/>
    <x v="5"/>
    <s v="ENERGIA A68-JUNIO 2026."/>
    <s v="ENERGIA A68-JUNIO 2026."/>
    <s v="jlopez"/>
    <s v="PMTRX00090041"/>
    <n v="5171655"/>
    <n v="1"/>
    <n v="84"/>
    <s v=""/>
    <m/>
  </r>
  <r>
    <n v="3320911"/>
    <x v="50"/>
    <s v="06-10-002-000"/>
    <x v="0"/>
    <n v="48606.79"/>
    <n v="0"/>
    <n v="48606.79"/>
    <n v="10000"/>
    <n v="100"/>
    <s v="AMPM57"/>
    <x v="4"/>
    <s v="ENERGIA A57-JUNIO 2026."/>
    <s v="ENERGIA A57-JUNIO 2026."/>
    <s v="jlopez"/>
    <s v="PMTRX00090041"/>
    <n v="5171656"/>
    <n v="1"/>
    <n v="73"/>
    <s v=""/>
    <m/>
  </r>
  <r>
    <n v="3320912"/>
    <x v="50"/>
    <s v="06-10-002-000"/>
    <x v="0"/>
    <n v="4193.79"/>
    <n v="0"/>
    <n v="4193.79"/>
    <n v="10000"/>
    <n v="100"/>
    <s v="AMPM57"/>
    <x v="4"/>
    <s v="ENERGIA BODEGA-A57 JUNIO."/>
    <s v="ENERGIA BODEGA-A57 JUNIO."/>
    <s v="jlopez"/>
    <s v="PMTRX00090041"/>
    <n v="5171657"/>
    <n v="1"/>
    <n v="73"/>
    <s v=""/>
    <m/>
  </r>
  <r>
    <n v="3323411"/>
    <x v="51"/>
    <s v="06-10-002-000"/>
    <x v="0"/>
    <n v="13037.52"/>
    <n v="0"/>
    <n v="13037.52"/>
    <n v="10000"/>
    <n v="100"/>
    <s v="AMPM26"/>
    <x v="7"/>
    <s v="AGUA-LUZ A26-JUNIO 2026."/>
    <s v="ENERGIA A26-JUNIO 2026."/>
    <s v="jlopez"/>
    <s v="PMTRX00090051"/>
    <n v="5172539"/>
    <n v="1"/>
    <n v="26"/>
    <s v=""/>
    <m/>
  </r>
  <r>
    <n v="3323415"/>
    <x v="48"/>
    <s v="06-10-002-000"/>
    <x v="0"/>
    <n v="2746.82"/>
    <n v="0"/>
    <n v="2746.82"/>
    <n v="10000"/>
    <n v="100"/>
    <s v="AMPM15"/>
    <x v="1"/>
    <s v="ALQUILER-ENERGIA A15-JUNIO"/>
    <s v="ENERGIA A15-JUNIO 2026."/>
    <s v="jlopez"/>
    <s v="PMTRX00090051"/>
    <n v="5172543"/>
    <n v="1"/>
    <n v="15"/>
    <s v=""/>
    <m/>
  </r>
  <r>
    <n v="3323422"/>
    <x v="48"/>
    <s v="06-10-002-000"/>
    <x v="0"/>
    <n v="999.84"/>
    <n v="0"/>
    <n v="999.84"/>
    <n v="10000"/>
    <n v="100"/>
    <s v="AMPM28"/>
    <x v="2"/>
    <s v="ALQUILER A28-JUNIO 2026."/>
    <s v="ENERGIA A28-JUNIO 2026."/>
    <s v="jlopez"/>
    <s v="PMTRX00090051"/>
    <n v="5172546"/>
    <n v="1"/>
    <n v="35"/>
    <s v=""/>
    <m/>
  </r>
  <r>
    <n v="3339478"/>
    <x v="52"/>
    <s v="06-10-002-000"/>
    <x v="0"/>
    <n v="2717.49"/>
    <n v="0"/>
    <n v="2717.49"/>
    <n v="10000"/>
    <n v="100"/>
    <s v="AMPM15"/>
    <x v="1"/>
    <s v="AGUA/LUZ A15 JUNIO 2026."/>
    <s v="ENERGIA A15-JUNIO 2026"/>
    <s v="jlopez"/>
    <s v="PMTRX00090268"/>
    <n v="5186606"/>
    <n v="1"/>
    <n v="15"/>
    <s v=""/>
    <m/>
  </r>
  <r>
    <n v="3367579"/>
    <x v="53"/>
    <s v="06-10-002-000"/>
    <x v="0"/>
    <n v="37757.08"/>
    <n v="0"/>
    <n v="37757.08"/>
    <n v="10000"/>
    <n v="100"/>
    <s v="PANADE"/>
    <x v="0"/>
    <s v="ENERGIA PANADERIA JUNIO"/>
    <s v="ENERGIA PANADERIA JUNIO"/>
    <s v="xmaltez"/>
    <s v="PMTRX00090847"/>
    <n v="5210598"/>
    <n v="1"/>
    <n v="32"/>
    <s v=""/>
    <m/>
  </r>
  <r>
    <n v="3375691"/>
    <x v="54"/>
    <s v="06-10-002-000"/>
    <x v="0"/>
    <n v="292.99"/>
    <n v="0"/>
    <n v="292.99"/>
    <n v="10000"/>
    <n v="100"/>
    <s v="AMPM15"/>
    <x v="1"/>
    <s v="SERV ARRIENDO PLANTA ELECTRICA"/>
    <s v="SERV ARRIENDO PLANTA ELECTRICA"/>
    <s v="xmaltez"/>
    <s v="PMTRX00091005"/>
    <n v="5216366"/>
    <n v="1"/>
    <n v="15"/>
    <s v=""/>
    <m/>
  </r>
  <r>
    <n v="3394051"/>
    <x v="55"/>
    <s v="06-10-002-000"/>
    <x v="0"/>
    <n v="408.98"/>
    <n v="0"/>
    <n v="408.98"/>
    <n v="10000"/>
    <n v="100"/>
    <s v="OPERACIONES"/>
    <x v="10"/>
    <s v="ENERGIA JUNIOOPERACIONES"/>
    <s v="Compras"/>
    <s v="xmaltez"/>
    <s v="PMTRX00091499"/>
    <n v="5232607"/>
    <n v="1"/>
    <n v="31"/>
    <s v=""/>
    <m/>
  </r>
  <r>
    <n v="3394052"/>
    <x v="55"/>
    <s v="06-10-002-000"/>
    <x v="0"/>
    <n v="419.64"/>
    <n v="0"/>
    <n v="419.64"/>
    <n v="10000"/>
    <n v="100"/>
    <s v="AMPM03"/>
    <x v="61"/>
    <s v="ENERGIA JUNIOAMPM03"/>
    <s v="Compras"/>
    <s v="xmaltez"/>
    <s v="PMTRX00091499"/>
    <n v="5232608"/>
    <n v="1"/>
    <n v="3"/>
    <s v=""/>
    <m/>
  </r>
  <r>
    <n v="3394053"/>
    <x v="55"/>
    <s v="06-10-002-000"/>
    <x v="0"/>
    <n v="2102.0300000000002"/>
    <n v="0"/>
    <n v="2102.0300000000002"/>
    <n v="10000"/>
    <n v="100"/>
    <s v="AMPM67"/>
    <x v="80"/>
    <s v="ENERGIA JUNIOAMPM67"/>
    <s v="Compras"/>
    <s v="xmaltez"/>
    <s v="PMTRX00091499"/>
    <n v="5232609"/>
    <n v="1"/>
    <n v="83"/>
    <s v=""/>
    <m/>
  </r>
  <r>
    <n v="3394054"/>
    <x v="55"/>
    <s v="06-10-002-000"/>
    <x v="0"/>
    <n v="1888.26"/>
    <n v="0"/>
    <n v="1888.26"/>
    <n v="10000"/>
    <n v="100"/>
    <s v="AMPM39"/>
    <x v="31"/>
    <s v="ENERGIA JUNIOAMPM39"/>
    <s v="Compras"/>
    <s v="xmaltez"/>
    <s v="PMTRX00091499"/>
    <n v="5232610"/>
    <n v="1"/>
    <n v="48"/>
    <s v=""/>
    <m/>
  </r>
  <r>
    <n v="3394055"/>
    <x v="55"/>
    <s v="06-10-002-000"/>
    <x v="0"/>
    <n v="1900.21"/>
    <n v="0"/>
    <n v="1900.21"/>
    <n v="10000"/>
    <n v="100"/>
    <s v="AMPM12"/>
    <x v="51"/>
    <s v="ENERGIA JUNIOAMPM12"/>
    <s v="Compras"/>
    <s v="xmaltez"/>
    <s v="PMTRX00091499"/>
    <n v="5232611"/>
    <n v="1"/>
    <n v="12"/>
    <s v=""/>
    <m/>
  </r>
  <r>
    <n v="3394056"/>
    <x v="55"/>
    <s v="06-10-002-000"/>
    <x v="0"/>
    <n v="207.53"/>
    <n v="0"/>
    <n v="207.53"/>
    <n v="10000"/>
    <n v="100"/>
    <s v="AMPM01"/>
    <x v="25"/>
    <s v="ENERGIA JUNIOAMPM01"/>
    <s v="Compras"/>
    <s v="xmaltez"/>
    <s v="PMTRX00091499"/>
    <n v="5232612"/>
    <n v="1"/>
    <n v="1"/>
    <s v=""/>
    <m/>
  </r>
  <r>
    <n v="3394057"/>
    <x v="55"/>
    <s v="06-10-002-000"/>
    <x v="0"/>
    <n v="3288.31"/>
    <n v="0"/>
    <n v="3288.31"/>
    <n v="10000"/>
    <n v="100"/>
    <s v="AMPM18"/>
    <x v="55"/>
    <s v="ENERGIA JUNIOAMPM18"/>
    <s v="Compras"/>
    <s v="xmaltez"/>
    <s v="PMTRX00091499"/>
    <n v="5232613"/>
    <n v="1"/>
    <n v="18"/>
    <s v=""/>
    <m/>
  </r>
  <r>
    <n v="3394058"/>
    <x v="55"/>
    <s v="06-10-002-000"/>
    <x v="0"/>
    <n v="1718.03"/>
    <n v="0"/>
    <n v="1718.03"/>
    <n v="10000"/>
    <n v="100"/>
    <s v="AMPM45"/>
    <x v="68"/>
    <s v="ENERGIA JUNIOAMPM45"/>
    <s v="Compras"/>
    <s v="xmaltez"/>
    <s v="PMTRX00091499"/>
    <n v="5232614"/>
    <n v="1"/>
    <n v="59"/>
    <s v=""/>
    <m/>
  </r>
  <r>
    <n v="3394059"/>
    <x v="55"/>
    <s v="06-10-002-000"/>
    <x v="0"/>
    <n v="43524.11"/>
    <n v="0"/>
    <n v="43524.11"/>
    <n v="10000"/>
    <n v="100"/>
    <s v="AMPM01"/>
    <x v="25"/>
    <s v="ENERGIA JUNIOAMPM01"/>
    <s v="Compras"/>
    <s v="xmaltez"/>
    <s v="PMTRX00091499"/>
    <n v="5232615"/>
    <n v="1"/>
    <n v="1"/>
    <s v=""/>
    <m/>
  </r>
  <r>
    <n v="3394060"/>
    <x v="55"/>
    <s v="06-10-002-000"/>
    <x v="0"/>
    <n v="59637.19"/>
    <n v="0"/>
    <n v="59637.19"/>
    <n v="10000"/>
    <n v="100"/>
    <s v="AMPM19"/>
    <x v="56"/>
    <s v="ENERGIA JUNIOAMPM19"/>
    <s v="Compras"/>
    <s v="xmaltez"/>
    <s v="PMTRX00091499"/>
    <n v="5232616"/>
    <n v="1"/>
    <n v="19"/>
    <s v=""/>
    <m/>
  </r>
  <r>
    <n v="3394061"/>
    <x v="55"/>
    <s v="06-10-002-000"/>
    <x v="0"/>
    <n v="2634.05"/>
    <n v="0"/>
    <n v="2634.05"/>
    <n v="10000"/>
    <n v="100"/>
    <s v="AMPM01"/>
    <x v="25"/>
    <s v="ENERGIA JUNIOAMPM01"/>
    <s v="Compras"/>
    <s v="xmaltez"/>
    <s v="PMTRX00091499"/>
    <n v="5232617"/>
    <n v="1"/>
    <n v="1"/>
    <s v=""/>
    <m/>
  </r>
  <r>
    <n v="3394062"/>
    <x v="55"/>
    <s v="06-10-002-000"/>
    <x v="0"/>
    <n v="63804.9"/>
    <n v="0"/>
    <n v="63804.9"/>
    <n v="10000"/>
    <n v="100"/>
    <s v="AMPM49"/>
    <x v="72"/>
    <s v="ENERGIA JUNIOAMPM49"/>
    <s v="Compras"/>
    <s v="xmaltez"/>
    <s v="PMTRX00091499"/>
    <n v="5232618"/>
    <n v="1"/>
    <n v="63"/>
    <s v=""/>
    <m/>
  </r>
  <r>
    <n v="3394063"/>
    <x v="55"/>
    <s v="06-10-002-000"/>
    <x v="0"/>
    <n v="36.42"/>
    <n v="0"/>
    <n v="36.42"/>
    <n v="10000"/>
    <n v="100"/>
    <s v="AMPM49"/>
    <x v="72"/>
    <s v="ENERGIA JUNIOAMPM49"/>
    <s v="Compras"/>
    <s v="xmaltez"/>
    <s v="PMTRX00091499"/>
    <n v="5232619"/>
    <n v="1"/>
    <n v="63"/>
    <s v=""/>
    <m/>
  </r>
  <r>
    <n v="3394064"/>
    <x v="55"/>
    <s v="06-10-002-000"/>
    <x v="0"/>
    <n v="61581.37"/>
    <n v="0"/>
    <n v="61581.37"/>
    <n v="10000"/>
    <n v="100"/>
    <s v="AMPM43"/>
    <x v="35"/>
    <s v="ENERGIA JUNIOAMPM43"/>
    <s v="Compras"/>
    <s v="xmaltez"/>
    <s v="PMTRX00091499"/>
    <n v="5232620"/>
    <n v="1"/>
    <n v="58"/>
    <s v=""/>
    <m/>
  </r>
  <r>
    <n v="3394065"/>
    <x v="55"/>
    <s v="06-10-002-000"/>
    <x v="0"/>
    <n v="46624.78"/>
    <n v="0"/>
    <n v="46624.78"/>
    <n v="10000"/>
    <n v="100"/>
    <s v="AMPM86"/>
    <x v="88"/>
    <s v="ENERGIA JUNIOAMPM86"/>
    <s v="Compras"/>
    <s v="xmaltez"/>
    <s v="PMTRX00091499"/>
    <n v="5232621"/>
    <n v="1"/>
    <n v="104"/>
    <s v=""/>
    <m/>
  </r>
  <r>
    <n v="3394066"/>
    <x v="55"/>
    <s v="06-10-002-000"/>
    <x v="0"/>
    <n v="54961.56"/>
    <n v="0"/>
    <n v="54961.56"/>
    <n v="10000"/>
    <n v="100"/>
    <s v="AMPM88"/>
    <x v="9"/>
    <s v="ENERGIA JUNIOAMPM88"/>
    <s v="Compras"/>
    <s v="xmaltez"/>
    <s v="PMTRX00091499"/>
    <n v="5232622"/>
    <n v="1"/>
    <n v="102"/>
    <s v=""/>
    <m/>
  </r>
  <r>
    <n v="3394067"/>
    <x v="55"/>
    <s v="06-10-002-000"/>
    <x v="0"/>
    <n v="52407.98"/>
    <n v="0"/>
    <n v="52407.98"/>
    <n v="10000"/>
    <n v="100"/>
    <s v="AMPM39"/>
    <x v="31"/>
    <s v="ENERGIA JUNIOAMPM39"/>
    <s v="Compras"/>
    <s v="xmaltez"/>
    <s v="PMTRX00091499"/>
    <n v="5232623"/>
    <n v="1"/>
    <n v="48"/>
    <s v=""/>
    <m/>
  </r>
  <r>
    <n v="3394068"/>
    <x v="55"/>
    <s v="06-10-002-000"/>
    <x v="0"/>
    <n v="29877.25"/>
    <n v="0"/>
    <n v="29877.25"/>
    <n v="10000"/>
    <n v="100"/>
    <s v="AMPM99"/>
    <x v="73"/>
    <s v="ENERGIA JUNIOCEDI"/>
    <s v="Compras"/>
    <s v="xmaltez"/>
    <s v="PMTRX00091499"/>
    <n v="5232624"/>
    <n v="1"/>
    <n v="33"/>
    <s v=""/>
    <m/>
  </r>
  <r>
    <n v="3394069"/>
    <x v="55"/>
    <s v="06-10-002-000"/>
    <x v="0"/>
    <n v="81193.759999999995"/>
    <n v="0"/>
    <n v="81193.759999999995"/>
    <n v="10000"/>
    <n v="100"/>
    <s v="AMPM12"/>
    <x v="51"/>
    <s v="ENERGIA JUNIOAMPM12"/>
    <s v="Compras"/>
    <s v="xmaltez"/>
    <s v="PMTRX00091499"/>
    <n v="5232625"/>
    <n v="1"/>
    <n v="12"/>
    <s v=""/>
    <m/>
  </r>
  <r>
    <n v="3394070"/>
    <x v="55"/>
    <s v="06-10-002-000"/>
    <x v="0"/>
    <n v="74089.05"/>
    <n v="0"/>
    <n v="74089.05"/>
    <n v="10000"/>
    <n v="100"/>
    <s v="AMPM91"/>
    <x v="90"/>
    <s v="ENERGIA JUNIOAMPM91"/>
    <s v="Compras"/>
    <s v="xmaltez"/>
    <s v="PMTRX00091499"/>
    <n v="5232626"/>
    <n v="1"/>
    <n v="106"/>
    <s v=""/>
    <m/>
  </r>
  <r>
    <n v="3394071"/>
    <x v="55"/>
    <s v="06-10-002-000"/>
    <x v="0"/>
    <n v="9869.6200000000008"/>
    <n v="0"/>
    <n v="9869.6200000000008"/>
    <n v="10000"/>
    <n v="100"/>
    <s v="AMPM14"/>
    <x v="53"/>
    <s v="ENERGIA JUNIOAMPM14"/>
    <s v="Compras"/>
    <s v="xmaltez"/>
    <s v="PMTRX00091499"/>
    <n v="5232627"/>
    <n v="1"/>
    <n v="14"/>
    <s v=""/>
    <m/>
  </r>
  <r>
    <n v="3394072"/>
    <x v="55"/>
    <s v="06-10-002-000"/>
    <x v="0"/>
    <n v="1020.21"/>
    <n v="0"/>
    <n v="1020.21"/>
    <n v="10000"/>
    <n v="100"/>
    <s v="AMPM14"/>
    <x v="53"/>
    <s v="ENERGIA JUNIOAMPM14"/>
    <s v="Compras"/>
    <s v="xmaltez"/>
    <s v="PMTRX00091499"/>
    <n v="5232628"/>
    <n v="1"/>
    <n v="14"/>
    <s v=""/>
    <m/>
  </r>
  <r>
    <n v="3394073"/>
    <x v="55"/>
    <s v="06-10-002-000"/>
    <x v="0"/>
    <n v="27383.33"/>
    <n v="0"/>
    <n v="27383.33"/>
    <n v="10000"/>
    <n v="100"/>
    <s v="AMPM14"/>
    <x v="53"/>
    <s v="ENERGIA JUNIOAMPM14"/>
    <s v="Compras"/>
    <s v="xmaltez"/>
    <s v="PMTRX00091499"/>
    <n v="5232629"/>
    <n v="1"/>
    <n v="14"/>
    <s v=""/>
    <m/>
  </r>
  <r>
    <n v="3394074"/>
    <x v="55"/>
    <s v="06-10-002-000"/>
    <x v="0"/>
    <n v="64061.4"/>
    <n v="0"/>
    <n v="64061.4"/>
    <n v="10000"/>
    <n v="100"/>
    <s v="AMPM03"/>
    <x v="61"/>
    <s v="ENERGIA JUNIOAMPM03"/>
    <s v="Compras"/>
    <s v="xmaltez"/>
    <s v="PMTRX00091499"/>
    <n v="5232630"/>
    <n v="1"/>
    <n v="3"/>
    <s v=""/>
    <m/>
  </r>
  <r>
    <n v="3394075"/>
    <x v="55"/>
    <s v="06-10-002-000"/>
    <x v="0"/>
    <n v="56234.879999999997"/>
    <n v="0"/>
    <n v="56234.879999999997"/>
    <n v="10000"/>
    <n v="100"/>
    <s v="AMPM85"/>
    <x v="86"/>
    <s v="ENERGIA JUNIOAMPM85"/>
    <s v="Compras"/>
    <s v="xmaltez"/>
    <s v="PMTRX00091499"/>
    <n v="5232631"/>
    <n v="1"/>
    <n v="101"/>
    <s v=""/>
    <m/>
  </r>
  <r>
    <n v="3394076"/>
    <x v="55"/>
    <s v="06-10-002-000"/>
    <x v="0"/>
    <n v="65326.28"/>
    <n v="0"/>
    <n v="65326.28"/>
    <n v="10000"/>
    <n v="100"/>
    <s v="AMPM83"/>
    <x v="15"/>
    <s v="ENERGIA JUNIOAMPM83"/>
    <s v="Compras"/>
    <s v="xmaltez"/>
    <s v="PMTRX00091499"/>
    <n v="5232632"/>
    <n v="1"/>
    <n v="97"/>
    <s v=""/>
    <m/>
  </r>
  <r>
    <n v="3394077"/>
    <x v="55"/>
    <s v="06-10-002-000"/>
    <x v="0"/>
    <n v="13004.04"/>
    <n v="0"/>
    <n v="13004.04"/>
    <n v="10000"/>
    <n v="100"/>
    <s v="ADMON"/>
    <x v="48"/>
    <s v="ENERGIA JUNIOADMON"/>
    <s v="Compras"/>
    <s v="xmaltez"/>
    <s v="PMTRX00091499"/>
    <n v="5232633"/>
    <n v="1"/>
    <n v="27"/>
    <s v=""/>
    <m/>
  </r>
  <r>
    <n v="3394078"/>
    <x v="55"/>
    <s v="06-10-002-000"/>
    <x v="0"/>
    <n v="23041.08"/>
    <n v="0"/>
    <n v="23041.08"/>
    <n v="10000"/>
    <n v="100"/>
    <s v="ADMON"/>
    <x v="48"/>
    <s v="ENERGIA JUNIOADMON"/>
    <s v="Compras"/>
    <s v="xmaltez"/>
    <s v="PMTRX00091499"/>
    <n v="5232634"/>
    <n v="1"/>
    <n v="27"/>
    <s v=""/>
    <m/>
  </r>
  <r>
    <n v="3394079"/>
    <x v="55"/>
    <s v="06-10-002-000"/>
    <x v="0"/>
    <n v="11479.11"/>
    <n v="0"/>
    <n v="11479.11"/>
    <n v="10000"/>
    <n v="100"/>
    <s v="ADMON"/>
    <x v="48"/>
    <s v="ENERGIA JUNIOADMON"/>
    <s v="Compras"/>
    <s v="xmaltez"/>
    <s v="PMTRX00091499"/>
    <n v="5232635"/>
    <n v="1"/>
    <n v="27"/>
    <s v=""/>
    <m/>
  </r>
  <r>
    <n v="3394080"/>
    <x v="55"/>
    <s v="06-10-002-000"/>
    <x v="0"/>
    <n v="15692.39"/>
    <n v="0"/>
    <n v="15692.39"/>
    <n v="10000"/>
    <n v="100"/>
    <s v="ADMON"/>
    <x v="48"/>
    <s v="ENERGIA JUNIOADMON"/>
    <s v="Compras"/>
    <s v="xmaltez"/>
    <s v="PMTRX00091499"/>
    <n v="5232636"/>
    <n v="1"/>
    <n v="27"/>
    <s v=""/>
    <m/>
  </r>
  <r>
    <n v="3394081"/>
    <x v="55"/>
    <s v="06-10-002-000"/>
    <x v="0"/>
    <n v="67911.05"/>
    <n v="0"/>
    <n v="67911.05"/>
    <n v="10000"/>
    <n v="100"/>
    <s v="AMPM45"/>
    <x v="68"/>
    <s v="ENERGIA JUNIOAMPM45"/>
    <s v="Compras"/>
    <s v="xmaltez"/>
    <s v="PMTRX00091499"/>
    <n v="5232637"/>
    <n v="1"/>
    <n v="59"/>
    <s v=""/>
    <m/>
  </r>
  <r>
    <n v="3394082"/>
    <x v="55"/>
    <s v="06-10-002-000"/>
    <x v="0"/>
    <n v="2238.4499999999998"/>
    <n v="0"/>
    <n v="2238.4499999999998"/>
    <n v="10000"/>
    <n v="100"/>
    <s v="AMPM40"/>
    <x v="67"/>
    <s v="ENERGIA JUNIOAMPM40"/>
    <s v="Compras"/>
    <s v="xmaltez"/>
    <s v="PMTRX00091499"/>
    <n v="5232638"/>
    <n v="1"/>
    <n v="49"/>
    <s v=""/>
    <m/>
  </r>
  <r>
    <n v="3394083"/>
    <x v="55"/>
    <s v="06-10-002-000"/>
    <x v="0"/>
    <n v="67403.429999999993"/>
    <n v="0"/>
    <n v="67403.429999999993"/>
    <n v="10000"/>
    <n v="100"/>
    <s v="AMPM60"/>
    <x v="76"/>
    <s v="ENERGIA JUNIOAMPM60"/>
    <s v="Compras"/>
    <s v="xmaltez"/>
    <s v="PMTRX00091499"/>
    <n v="5232639"/>
    <n v="1"/>
    <n v="76"/>
    <s v=""/>
    <m/>
  </r>
  <r>
    <n v="3394084"/>
    <x v="55"/>
    <s v="06-10-002-000"/>
    <x v="0"/>
    <n v="70375.66"/>
    <n v="0"/>
    <n v="70375.66"/>
    <n v="10000"/>
    <n v="100"/>
    <s v="AMPM67"/>
    <x v="80"/>
    <s v="ENERGIA JUNIOAMPM67"/>
    <s v="Compras"/>
    <s v="xmaltez"/>
    <s v="PMTRX00091499"/>
    <n v="5232640"/>
    <n v="1"/>
    <n v="83"/>
    <s v=""/>
    <m/>
  </r>
  <r>
    <n v="3394085"/>
    <x v="55"/>
    <s v="06-10-002-000"/>
    <x v="0"/>
    <n v="73017.19"/>
    <n v="0"/>
    <n v="73017.19"/>
    <n v="10000"/>
    <n v="100"/>
    <s v="AMPM40"/>
    <x v="67"/>
    <s v="ENERGIA JUNIOAMPM40"/>
    <s v="Compras"/>
    <s v="xmaltez"/>
    <s v="PMTRX00091499"/>
    <n v="5232641"/>
    <n v="1"/>
    <n v="49"/>
    <s v=""/>
    <m/>
  </r>
  <r>
    <n v="3394086"/>
    <x v="55"/>
    <s v="06-10-002-000"/>
    <x v="0"/>
    <n v="57974.62"/>
    <n v="0"/>
    <n v="57974.62"/>
    <n v="10000"/>
    <n v="100"/>
    <s v="AMPM05"/>
    <x v="12"/>
    <s v="ENERGIA JUNIOAMPM05"/>
    <s v="Compras"/>
    <s v="xmaltez"/>
    <s v="PMTRX00091499"/>
    <n v="5232642"/>
    <n v="1"/>
    <n v="5"/>
    <s v=""/>
    <m/>
  </r>
  <r>
    <n v="3394087"/>
    <x v="55"/>
    <s v="06-10-002-000"/>
    <x v="0"/>
    <n v="10316.35"/>
    <n v="0"/>
    <n v="10316.35"/>
    <n v="10000"/>
    <n v="100"/>
    <s v="ADMON"/>
    <x v="48"/>
    <s v="ENERGIA JUNIOADMON"/>
    <s v="Compras"/>
    <s v="xmaltez"/>
    <s v="PMTRX00091499"/>
    <n v="5232643"/>
    <n v="1"/>
    <n v="27"/>
    <s v=""/>
    <m/>
  </r>
  <r>
    <n v="3394088"/>
    <x v="55"/>
    <s v="06-10-002-000"/>
    <x v="0"/>
    <n v="51780.04"/>
    <n v="0"/>
    <n v="51780.04"/>
    <n v="10000"/>
    <n v="100"/>
    <s v="AMPM23"/>
    <x v="59"/>
    <s v="ENERGIA JUNIOAMPM23"/>
    <s v="Compras"/>
    <s v="xmaltez"/>
    <s v="PMTRX00091499"/>
    <n v="5232644"/>
    <n v="1"/>
    <n v="23"/>
    <s v=""/>
    <m/>
  </r>
  <r>
    <n v="3394089"/>
    <x v="55"/>
    <s v="06-10-002-000"/>
    <x v="0"/>
    <n v="56660.99"/>
    <n v="0"/>
    <n v="56660.99"/>
    <n v="10000"/>
    <n v="100"/>
    <s v="AMPM21"/>
    <x v="50"/>
    <s v="ENERGIA JUNIOAMPM21"/>
    <s v="Compras"/>
    <s v="xmaltez"/>
    <s v="PMTRX00091499"/>
    <n v="5232645"/>
    <n v="1"/>
    <n v="21"/>
    <s v=""/>
    <m/>
  </r>
  <r>
    <n v="3394090"/>
    <x v="55"/>
    <s v="06-10-002-000"/>
    <x v="0"/>
    <n v="61627.37"/>
    <n v="0"/>
    <n v="61627.37"/>
    <n v="10000"/>
    <n v="100"/>
    <s v="AMPM18"/>
    <x v="55"/>
    <s v="ENERGIA JUNIOAMPM18"/>
    <s v="Compras"/>
    <s v="xmaltez"/>
    <s v="PMTRX00091499"/>
    <n v="5232646"/>
    <n v="1"/>
    <n v="18"/>
    <s v=""/>
    <m/>
  </r>
  <r>
    <n v="3394091"/>
    <x v="55"/>
    <s v="06-10-002-000"/>
    <x v="0"/>
    <n v="63031.57"/>
    <n v="0"/>
    <n v="63031.57"/>
    <n v="10000"/>
    <n v="100"/>
    <s v="AMPM10"/>
    <x v="45"/>
    <s v="ENERGIA JUNIOAMPM10"/>
    <s v="Compras"/>
    <s v="xmaltez"/>
    <s v="PMTRX00091499"/>
    <n v="5232647"/>
    <n v="1"/>
    <n v="10"/>
    <s v=""/>
    <m/>
  </r>
  <r>
    <n v="3394092"/>
    <x v="55"/>
    <s v="06-10-002-000"/>
    <x v="0"/>
    <n v="67244.69"/>
    <n v="0"/>
    <n v="67244.69"/>
    <n v="10000"/>
    <n v="100"/>
    <s v="AMPM09"/>
    <x v="42"/>
    <s v="ENERGIA JUNIOAMPM09"/>
    <s v="Compras"/>
    <s v="xmaltez"/>
    <s v="PMTRX00091499"/>
    <n v="5232648"/>
    <n v="1"/>
    <n v="9"/>
    <s v=""/>
    <m/>
  </r>
  <r>
    <n v="3394093"/>
    <x v="55"/>
    <s v="06-10-002-000"/>
    <x v="0"/>
    <n v="2257.15"/>
    <n v="0"/>
    <n v="2257.15"/>
    <n v="10000"/>
    <n v="100"/>
    <s v="AMPM41"/>
    <x v="24"/>
    <s v="ENERGIA JUNIOAMPM41"/>
    <s v="Compras"/>
    <s v="xmaltez"/>
    <s v="PMTRX00091499"/>
    <n v="5232649"/>
    <n v="1"/>
    <n v="50"/>
    <s v=""/>
    <m/>
  </r>
  <r>
    <n v="3394094"/>
    <x v="55"/>
    <s v="06-10-002-000"/>
    <x v="0"/>
    <n v="76615.509999999995"/>
    <n v="0"/>
    <n v="76615.509999999995"/>
    <n v="10000"/>
    <n v="100"/>
    <s v="AMPM33"/>
    <x v="11"/>
    <s v="ENERGIA JUNIOAMPM33"/>
    <s v="Compras"/>
    <s v="xmaltez"/>
    <s v="PMTRX00091499"/>
    <n v="5232650"/>
    <n v="1"/>
    <n v="39"/>
    <s v=""/>
    <m/>
  </r>
  <r>
    <n v="3394095"/>
    <x v="55"/>
    <s v="06-10-002-000"/>
    <x v="0"/>
    <n v="66113.33"/>
    <n v="0"/>
    <n v="66113.33"/>
    <n v="10000"/>
    <n v="100"/>
    <s v="AMPM41"/>
    <x v="24"/>
    <s v="ENERGIA JUNIOAMPM41"/>
    <s v="Compras"/>
    <s v="xmaltez"/>
    <s v="PMTRX00091499"/>
    <n v="5232651"/>
    <n v="1"/>
    <n v="50"/>
    <s v=""/>
    <m/>
  </r>
  <r>
    <n v="3394096"/>
    <x v="55"/>
    <s v="06-10-002-000"/>
    <x v="0"/>
    <n v="73183.92"/>
    <n v="0"/>
    <n v="73183.92"/>
    <n v="10000"/>
    <n v="100"/>
    <s v="AMPM78"/>
    <x v="81"/>
    <s v="ENERGIA JUNIOAMPM78"/>
    <s v="Compras"/>
    <s v="xmaltez"/>
    <s v="PMTRX00091499"/>
    <n v="5232652"/>
    <n v="1"/>
    <n v="94"/>
    <s v=""/>
    <m/>
  </r>
  <r>
    <n v="3394097"/>
    <x v="55"/>
    <s v="06-10-002-000"/>
    <x v="0"/>
    <n v="70244.58"/>
    <n v="0"/>
    <n v="70244.58"/>
    <n v="10000"/>
    <n v="100"/>
    <s v="AMPM61"/>
    <x v="75"/>
    <s v="ENERGIA JUNIOAMPM61"/>
    <s v="Compras"/>
    <s v="xmaltez"/>
    <s v="PMTRX00091499"/>
    <n v="5232653"/>
    <n v="1"/>
    <n v="77"/>
    <s v=""/>
    <m/>
  </r>
  <r>
    <n v="3394098"/>
    <x v="55"/>
    <s v="06-10-002-000"/>
    <x v="0"/>
    <n v="59922.400000000001"/>
    <n v="0"/>
    <n v="59922.400000000001"/>
    <n v="10000"/>
    <n v="100"/>
    <s v="AMPM75"/>
    <x v="36"/>
    <s v="ENERGIA JUNIOAMPM75"/>
    <s v="Compras"/>
    <s v="xmaltez"/>
    <s v="PMTRX00091499"/>
    <n v="5232654"/>
    <n v="1"/>
    <n v="91"/>
    <s v=""/>
    <m/>
  </r>
  <r>
    <n v="3394099"/>
    <x v="55"/>
    <s v="06-10-002-000"/>
    <x v="0"/>
    <n v="74575.88"/>
    <n v="0"/>
    <n v="74575.88"/>
    <n v="10000"/>
    <n v="100"/>
    <s v="AMPM30"/>
    <x v="39"/>
    <s v="ENERGIA JUNIOAMPM30"/>
    <s v="Compras"/>
    <s v="xmaltez"/>
    <s v="PMTRX00091499"/>
    <n v="5232655"/>
    <n v="1"/>
    <n v="37"/>
    <s v=""/>
    <m/>
  </r>
  <r>
    <n v="3394100"/>
    <x v="55"/>
    <s v="06-10-002-000"/>
    <x v="0"/>
    <n v="58420.62"/>
    <n v="0"/>
    <n v="58420.62"/>
    <n v="10000"/>
    <n v="100"/>
    <s v="AMPM84"/>
    <x v="29"/>
    <s v="ENERGIA JUNIOAMPM84"/>
    <s v="Compras"/>
    <s v="xmaltez"/>
    <s v="PMTRX00091499"/>
    <n v="5232656"/>
    <n v="1"/>
    <n v="100"/>
    <s v=""/>
    <m/>
  </r>
  <r>
    <n v="3394101"/>
    <x v="55"/>
    <s v="06-10-002-000"/>
    <x v="0"/>
    <n v="79683.3"/>
    <n v="0"/>
    <n v="79683.3"/>
    <n v="10000"/>
    <n v="100"/>
    <s v="AMPM27"/>
    <x v="8"/>
    <s v="ENERGIA JUNIOAMPM27"/>
    <s v="Compras"/>
    <s v="xmaltez"/>
    <s v="PMTRX00091499"/>
    <n v="5232657"/>
    <n v="1"/>
    <n v="34"/>
    <s v=""/>
    <m/>
  </r>
  <r>
    <n v="3394102"/>
    <x v="55"/>
    <s v="06-10-002-000"/>
    <x v="0"/>
    <n v="2007.62"/>
    <n v="0"/>
    <n v="2007.62"/>
    <n v="10000"/>
    <n v="100"/>
    <s v="AMPM27"/>
    <x v="8"/>
    <s v="ENERGIA JUNIOAMPM27"/>
    <s v="Compras"/>
    <s v="xmaltez"/>
    <s v="PMTRX00091499"/>
    <n v="5232658"/>
    <n v="1"/>
    <n v="34"/>
    <s v=""/>
    <m/>
  </r>
  <r>
    <n v="3394103"/>
    <x v="55"/>
    <s v="06-10-002-000"/>
    <x v="0"/>
    <n v="54196.36"/>
    <n v="0"/>
    <n v="54196.36"/>
    <n v="10000"/>
    <n v="100"/>
    <s v="AMPM52"/>
    <x v="16"/>
    <s v="ENERGIA JUNIOAMPM52"/>
    <s v="Compras"/>
    <s v="xmaltez"/>
    <s v="PMTRX00091499"/>
    <n v="5232659"/>
    <n v="1"/>
    <n v="66"/>
    <s v=""/>
    <m/>
  </r>
  <r>
    <n v="3394104"/>
    <x v="55"/>
    <s v="06-10-002-000"/>
    <x v="0"/>
    <n v="66971.11"/>
    <n v="0"/>
    <n v="66971.11"/>
    <n v="10000"/>
    <n v="100"/>
    <s v="AMPM73"/>
    <x v="17"/>
    <s v="ENERGIA JUNIOAMPM73"/>
    <s v="Compras"/>
    <s v="xmaltez"/>
    <s v="PMTRX00091499"/>
    <n v="5232660"/>
    <n v="1"/>
    <n v="89"/>
    <s v=""/>
    <m/>
  </r>
  <r>
    <n v="3394105"/>
    <x v="55"/>
    <s v="06-10-002-000"/>
    <x v="0"/>
    <n v="64397.3"/>
    <n v="0"/>
    <n v="64397.3"/>
    <n v="10000"/>
    <n v="100"/>
    <s v="AMPM20"/>
    <x v="57"/>
    <s v="ENERGIA JUNIOAMPM20"/>
    <s v="Compras"/>
    <s v="xmaltez"/>
    <s v="PMTRX00091499"/>
    <n v="5232661"/>
    <n v="1"/>
    <n v="20"/>
    <s v=""/>
    <m/>
  </r>
  <r>
    <n v="3394106"/>
    <x v="55"/>
    <s v="06-10-002-000"/>
    <x v="0"/>
    <n v="64641.29"/>
    <n v="0"/>
    <n v="64641.29"/>
    <n v="10000"/>
    <n v="100"/>
    <s v="AMPM89"/>
    <x v="87"/>
    <s v="ENERGIA JUNIOAMPM89"/>
    <s v="Compras"/>
    <s v="xmaltez"/>
    <s v="PMTRX00091499"/>
    <n v="5232662"/>
    <n v="1"/>
    <n v="105"/>
    <s v=""/>
    <m/>
  </r>
  <r>
    <n v="3394107"/>
    <x v="55"/>
    <s v="06-10-002-000"/>
    <x v="0"/>
    <n v="57171.29"/>
    <n v="0"/>
    <n v="57171.29"/>
    <n v="10000"/>
    <n v="100"/>
    <s v="AMPM37"/>
    <x v="49"/>
    <s v="ENERGIA JUNIOAMPM37"/>
    <s v="Compras"/>
    <s v="xmaltez"/>
    <s v="PMTRX00091499"/>
    <n v="5232663"/>
    <n v="1"/>
    <n v="42"/>
    <s v=""/>
    <m/>
  </r>
  <r>
    <n v="3394108"/>
    <x v="55"/>
    <s v="06-10-002-000"/>
    <x v="0"/>
    <n v="85620.21"/>
    <n v="0"/>
    <n v="85620.21"/>
    <n v="10000"/>
    <n v="100"/>
    <s v="AMPM34"/>
    <x v="85"/>
    <s v="ENERGIA JUNIOAMPM34"/>
    <s v="Compras"/>
    <s v="xmaltez"/>
    <s v="PMTRX00091499"/>
    <n v="5232664"/>
    <n v="1"/>
    <n v="41"/>
    <s v=""/>
    <m/>
  </r>
  <r>
    <n v="3394109"/>
    <x v="55"/>
    <s v="06-10-002-000"/>
    <x v="0"/>
    <n v="3047.14"/>
    <n v="0"/>
    <n v="3047.14"/>
    <n v="10000"/>
    <n v="100"/>
    <s v="AMPM47"/>
    <x v="60"/>
    <s v="ENERGIA JUNIOAMPM47"/>
    <s v="Compras"/>
    <s v="xmaltez"/>
    <s v="PMTRX00091499"/>
    <n v="5232665"/>
    <n v="1"/>
    <n v="61"/>
    <s v=""/>
    <m/>
  </r>
  <r>
    <n v="3394110"/>
    <x v="55"/>
    <s v="06-10-002-000"/>
    <x v="0"/>
    <n v="59375.65"/>
    <n v="0"/>
    <n v="59375.65"/>
    <n v="10000"/>
    <n v="100"/>
    <s v="AMPM44"/>
    <x v="38"/>
    <s v="ENERGIA JUNIOAMPM44"/>
    <s v="Compras"/>
    <s v="xmaltez"/>
    <s v="PMTRX00091499"/>
    <n v="5232666"/>
    <n v="1"/>
    <n v="57"/>
    <s v=""/>
    <m/>
  </r>
  <r>
    <n v="3394111"/>
    <x v="55"/>
    <s v="06-10-002-000"/>
    <x v="0"/>
    <n v="57940.61"/>
    <n v="0"/>
    <n v="57940.61"/>
    <n v="10000"/>
    <n v="100"/>
    <s v="AMPM47"/>
    <x v="60"/>
    <s v="ENERGIA JUNIOAMPM47"/>
    <s v="Compras"/>
    <s v="xmaltez"/>
    <s v="PMTRX00091499"/>
    <n v="5232667"/>
    <n v="1"/>
    <n v="61"/>
    <s v=""/>
    <m/>
  </r>
  <r>
    <n v="3394112"/>
    <x v="55"/>
    <s v="06-10-002-000"/>
    <x v="0"/>
    <n v="61081.7"/>
    <n v="0"/>
    <n v="61081.7"/>
    <n v="10000"/>
    <n v="100"/>
    <s v="AMPM55"/>
    <x v="37"/>
    <s v="ENERGIA JUNIOAMPM55"/>
    <s v="Compras"/>
    <s v="xmaltez"/>
    <s v="PMTRX00091499"/>
    <n v="5232668"/>
    <n v="1"/>
    <n v="71"/>
    <s v=""/>
    <m/>
  </r>
  <r>
    <n v="3394113"/>
    <x v="55"/>
    <s v="06-10-002-000"/>
    <x v="0"/>
    <n v="58739.66"/>
    <n v="0"/>
    <n v="58739.66"/>
    <n v="10000"/>
    <n v="100"/>
    <s v="AMPM46"/>
    <x v="34"/>
    <s v="ENERGIA JUNIOAMPM46"/>
    <s v="Compras"/>
    <s v="xmaltez"/>
    <s v="PMTRX00091499"/>
    <n v="5232669"/>
    <n v="1"/>
    <n v="60"/>
    <s v=""/>
    <m/>
  </r>
  <r>
    <n v="3394114"/>
    <x v="55"/>
    <s v="06-10-002-000"/>
    <x v="0"/>
    <n v="40303.4"/>
    <n v="0"/>
    <n v="40303.4"/>
    <n v="10000"/>
    <n v="100"/>
    <s v="AMPM64"/>
    <x v="19"/>
    <s v="ENERGIA JUNIOAMPM64"/>
    <s v="Compras"/>
    <s v="xmaltez"/>
    <s v="PMTRX00091499"/>
    <n v="5232670"/>
    <n v="1"/>
    <n v="80"/>
    <s v=""/>
    <m/>
  </r>
  <r>
    <n v="3394115"/>
    <x v="55"/>
    <s v="06-10-002-000"/>
    <x v="0"/>
    <n v="56205.97"/>
    <n v="0"/>
    <n v="56205.97"/>
    <n v="10000"/>
    <n v="100"/>
    <s v="AMPM87"/>
    <x v="89"/>
    <s v="ENERGIA JUNIOAMPM87"/>
    <s v="Compras"/>
    <s v="xmaltez"/>
    <s v="PMTRX00091499"/>
    <n v="5232671"/>
    <n v="1"/>
    <n v="103"/>
    <s v=""/>
    <m/>
  </r>
  <r>
    <n v="3394116"/>
    <x v="55"/>
    <s v="06-10-002-000"/>
    <x v="0"/>
    <n v="54737.94"/>
    <n v="0"/>
    <n v="54737.94"/>
    <n v="10000"/>
    <n v="100"/>
    <s v="AMPM50"/>
    <x v="70"/>
    <s v="ENERGIA JUNIOAMPM50"/>
    <s v="Compras"/>
    <s v="xmaltez"/>
    <s v="PMTRX00091499"/>
    <n v="5232672"/>
    <n v="1"/>
    <n v="28"/>
    <s v=""/>
    <m/>
  </r>
  <r>
    <n v="3394117"/>
    <x v="55"/>
    <s v="06-10-002-000"/>
    <x v="0"/>
    <n v="64840.91"/>
    <n v="0"/>
    <n v="64840.91"/>
    <n v="10000"/>
    <n v="100"/>
    <s v="AMPM58"/>
    <x v="46"/>
    <s v="ENERGIA JUNIOAMPM58"/>
    <s v="Compras"/>
    <s v="xmaltez"/>
    <s v="PMTRX00091499"/>
    <n v="5232673"/>
    <n v="1"/>
    <n v="74"/>
    <s v=""/>
    <m/>
  </r>
  <r>
    <n v="3394118"/>
    <x v="55"/>
    <s v="06-10-002-000"/>
    <x v="0"/>
    <n v="3894.97"/>
    <n v="0"/>
    <n v="3894.97"/>
    <n v="10000"/>
    <n v="100"/>
    <s v="AMPM35"/>
    <x v="14"/>
    <s v="ENERGIA JUNIOAMPM35"/>
    <s v="Compras"/>
    <s v="xmaltez"/>
    <s v="PMTRX00091499"/>
    <n v="5232674"/>
    <n v="1"/>
    <n v="43"/>
    <s v=""/>
    <m/>
  </r>
  <r>
    <n v="3394119"/>
    <x v="55"/>
    <s v="06-10-002-000"/>
    <x v="0"/>
    <n v="2033.65"/>
    <n v="0"/>
    <n v="2033.65"/>
    <n v="10000"/>
    <n v="100"/>
    <s v="AMPM13"/>
    <x v="54"/>
    <s v="ENERGIA JUNIOAMPM13"/>
    <s v="Compras"/>
    <s v="xmaltez"/>
    <s v="PMTRX00091499"/>
    <n v="5232675"/>
    <n v="1"/>
    <n v="13"/>
    <s v=""/>
    <m/>
  </r>
  <r>
    <n v="3394120"/>
    <x v="55"/>
    <s v="06-10-002-000"/>
    <x v="0"/>
    <n v="75798.58"/>
    <n v="0"/>
    <n v="75798.58"/>
    <n v="10000"/>
    <n v="100"/>
    <s v="AMPM13"/>
    <x v="54"/>
    <s v="ENERGIA JUNIOAMPM13"/>
    <s v="Compras"/>
    <s v="xmaltez"/>
    <s v="PMTRX00091499"/>
    <n v="5232676"/>
    <n v="1"/>
    <n v="13"/>
    <s v=""/>
    <m/>
  </r>
  <r>
    <n v="3394121"/>
    <x v="55"/>
    <s v="06-10-002-000"/>
    <x v="0"/>
    <n v="128.08000000000001"/>
    <n v="0"/>
    <n v="128.08000000000001"/>
    <n v="10000"/>
    <n v="100"/>
    <s v="AMPM28"/>
    <x v="2"/>
    <s v="ENERGIA JUNIOAMPM28"/>
    <s v="Compras"/>
    <s v="xmaltez"/>
    <s v="PMTRX00091499"/>
    <n v="5232677"/>
    <n v="1"/>
    <n v="35"/>
    <s v=""/>
    <m/>
  </r>
  <r>
    <n v="3394122"/>
    <x v="55"/>
    <s v="06-10-002-000"/>
    <x v="0"/>
    <n v="56134.39"/>
    <n v="0"/>
    <n v="56134.39"/>
    <n v="10000"/>
    <n v="100"/>
    <s v="AMPM28"/>
    <x v="2"/>
    <s v="ENERGIA JUNIOAMPM28"/>
    <s v="Compras"/>
    <s v="xmaltez"/>
    <s v="PMTRX00091499"/>
    <n v="5232678"/>
    <n v="1"/>
    <n v="35"/>
    <s v=""/>
    <m/>
  </r>
  <r>
    <n v="3394123"/>
    <x v="55"/>
    <s v="06-10-002-000"/>
    <x v="0"/>
    <n v="451.89"/>
    <n v="0"/>
    <n v="451.89"/>
    <n v="10000"/>
    <n v="100"/>
    <s v="AMPM07"/>
    <x v="44"/>
    <s v="ENERGIA JUNIOAMPM07"/>
    <s v="Compras"/>
    <s v="xmaltez"/>
    <s v="PMTRX00091499"/>
    <n v="5232679"/>
    <n v="1"/>
    <n v="7"/>
    <s v=""/>
    <m/>
  </r>
  <r>
    <n v="3394124"/>
    <x v="55"/>
    <s v="06-10-002-000"/>
    <x v="0"/>
    <n v="53165.82"/>
    <n v="0"/>
    <n v="53165.82"/>
    <n v="10000"/>
    <n v="100"/>
    <s v="AMPM02"/>
    <x v="28"/>
    <s v="ENERGIA JUNIOAMPM02"/>
    <s v="Compras"/>
    <s v="xmaltez"/>
    <s v="PMTRX00091499"/>
    <n v="5232680"/>
    <n v="1"/>
    <n v="2"/>
    <s v=""/>
    <m/>
  </r>
  <r>
    <n v="3394125"/>
    <x v="55"/>
    <s v="06-10-002-000"/>
    <x v="0"/>
    <n v="47708.76"/>
    <n v="0"/>
    <n v="47708.76"/>
    <n v="10000"/>
    <n v="100"/>
    <s v="AMPM15"/>
    <x v="1"/>
    <s v="ENERGIA JUNIOAMPM15"/>
    <s v="Compras"/>
    <s v="xmaltez"/>
    <s v="PMTRX00091499"/>
    <n v="5232681"/>
    <n v="1"/>
    <n v="15"/>
    <s v=""/>
    <m/>
  </r>
  <r>
    <n v="3394126"/>
    <x v="55"/>
    <s v="06-10-002-000"/>
    <x v="0"/>
    <n v="727.74"/>
    <n v="0"/>
    <n v="727.74"/>
    <n v="10000"/>
    <n v="100"/>
    <s v="AMPM15"/>
    <x v="1"/>
    <s v="ENERGIA JUNIOAMPM15"/>
    <s v="Compras"/>
    <s v="xmaltez"/>
    <s v="PMTRX00091499"/>
    <n v="5232682"/>
    <n v="1"/>
    <n v="15"/>
    <s v=""/>
    <m/>
  </r>
  <r>
    <n v="3394127"/>
    <x v="55"/>
    <s v="06-10-002-000"/>
    <x v="0"/>
    <n v="74167.34"/>
    <n v="0"/>
    <n v="74167.34"/>
    <n v="10000"/>
    <n v="100"/>
    <s v="AMPM07"/>
    <x v="44"/>
    <s v="ENERGIA JUNIOAMPM07"/>
    <s v="Compras"/>
    <s v="xmaltez"/>
    <s v="PMTRX00091499"/>
    <n v="5232683"/>
    <n v="1"/>
    <n v="7"/>
    <s v=""/>
    <m/>
  </r>
  <r>
    <n v="3394128"/>
    <x v="55"/>
    <s v="06-10-002-000"/>
    <x v="0"/>
    <n v="18115.419999999998"/>
    <n v="0"/>
    <n v="18115.419999999998"/>
    <n v="10000"/>
    <n v="100"/>
    <s v="AMPM08"/>
    <x v="47"/>
    <s v="ENERGIA JUNIOAMPM08"/>
    <s v="Compras"/>
    <s v="xmaltez"/>
    <s v="PMTRX00091499"/>
    <n v="5232684"/>
    <n v="1"/>
    <n v="8"/>
    <s v=""/>
    <m/>
  </r>
  <r>
    <n v="3394129"/>
    <x v="55"/>
    <s v="06-10-002-000"/>
    <x v="0"/>
    <n v="34925.75"/>
    <n v="0"/>
    <n v="34925.75"/>
    <n v="10000"/>
    <n v="100"/>
    <s v="AMPM08"/>
    <x v="47"/>
    <s v="ENERGIA JUNIOAMPM08"/>
    <s v="Compras"/>
    <s v="xmaltez"/>
    <s v="PMTRX00091499"/>
    <n v="5232685"/>
    <n v="1"/>
    <n v="8"/>
    <s v=""/>
    <m/>
  </r>
  <r>
    <n v="3394130"/>
    <x v="55"/>
    <s v="06-10-002-000"/>
    <x v="0"/>
    <n v="53527.51"/>
    <n v="0"/>
    <n v="53527.51"/>
    <n v="10000"/>
    <n v="100"/>
    <s v="AMPM69"/>
    <x v="30"/>
    <s v="ENERGIA JUNIOAMPM69"/>
    <s v="Compras"/>
    <s v="xmaltez"/>
    <s v="PMTRX00091499"/>
    <n v="5232686"/>
    <n v="1"/>
    <n v="85"/>
    <s v=""/>
    <m/>
  </r>
  <r>
    <n v="3394131"/>
    <x v="55"/>
    <s v="06-10-002-000"/>
    <x v="0"/>
    <n v="43377.36"/>
    <n v="0"/>
    <n v="43377.36"/>
    <n v="10000"/>
    <n v="100"/>
    <s v="AMPM35"/>
    <x v="14"/>
    <s v="ENERGIA JUNIOAMPM35"/>
    <s v="Compras"/>
    <s v="xmaltez"/>
    <s v="PMTRX00091499"/>
    <n v="5232687"/>
    <n v="1"/>
    <n v="43"/>
    <s v=""/>
    <m/>
  </r>
  <r>
    <n v="3394132"/>
    <x v="55"/>
    <s v="06-10-002-000"/>
    <x v="0"/>
    <n v="59949.48"/>
    <n v="0"/>
    <n v="59949.48"/>
    <n v="10000"/>
    <n v="100"/>
    <s v="AMPM74"/>
    <x v="40"/>
    <s v="ENERGIA JUNIOAMPM74"/>
    <s v="Compras"/>
    <s v="xmaltez"/>
    <s v="PMTRX00091499"/>
    <n v="5232688"/>
    <n v="1"/>
    <n v="90"/>
    <s v=""/>
    <m/>
  </r>
  <r>
    <n v="3394133"/>
    <x v="55"/>
    <s v="06-10-002-000"/>
    <x v="0"/>
    <n v="140.30000000000001"/>
    <n v="0"/>
    <n v="140.30000000000001"/>
    <n v="10000"/>
    <n v="100"/>
    <s v="AMPM29"/>
    <x v="58"/>
    <s v="ENERGIA JUNIOAMPM29"/>
    <s v="Compras"/>
    <s v="xmaltez"/>
    <s v="PMTRX00091499"/>
    <n v="5232689"/>
    <n v="1"/>
    <n v="36"/>
    <s v=""/>
    <m/>
  </r>
  <r>
    <n v="3394134"/>
    <x v="55"/>
    <s v="06-10-002-000"/>
    <x v="0"/>
    <n v="67236.679999999993"/>
    <n v="0"/>
    <n v="67236.679999999993"/>
    <n v="10000"/>
    <n v="100"/>
    <s v="AMPM29"/>
    <x v="58"/>
    <s v="ENERGIA JUNIOAMPM29"/>
    <s v="Compras"/>
    <s v="xmaltez"/>
    <s v="PMTRX00091499"/>
    <n v="5232690"/>
    <n v="1"/>
    <n v="36"/>
    <s v=""/>
    <m/>
  </r>
  <r>
    <n v="3394135"/>
    <x v="55"/>
    <s v="06-10-002-000"/>
    <x v="0"/>
    <n v="41725"/>
    <n v="0"/>
    <n v="41725"/>
    <n v="10000"/>
    <n v="100"/>
    <s v="MONITOREO"/>
    <x v="63"/>
    <s v="ENERGIA JUNIOMONITOREO"/>
    <s v="Compras"/>
    <s v="xmaltez"/>
    <s v="PMTRX00091499"/>
    <n v="5232691"/>
    <n v="1"/>
    <n v="30"/>
    <s v=""/>
    <m/>
  </r>
  <r>
    <n v="3394136"/>
    <x v="55"/>
    <s v="06-10-002-000"/>
    <x v="0"/>
    <n v="62526.66"/>
    <n v="0"/>
    <n v="62526.66"/>
    <n v="10000"/>
    <n v="100"/>
    <s v="AMPM04"/>
    <x v="26"/>
    <s v="ENERGIA JUNIOAMPM04"/>
    <s v="Compras"/>
    <s v="xmaltez"/>
    <s v="PMTRX00091499"/>
    <n v="5232692"/>
    <n v="1"/>
    <n v="4"/>
    <s v=""/>
    <m/>
  </r>
  <r>
    <n v="3394137"/>
    <x v="55"/>
    <s v="06-10-002-000"/>
    <x v="0"/>
    <n v="65467.29"/>
    <n v="0"/>
    <n v="65467.29"/>
    <n v="10000"/>
    <n v="100"/>
    <s v="AMPM06"/>
    <x v="13"/>
    <s v="ENERGIA JUNIOAMPM06"/>
    <s v="Compras"/>
    <s v="xmaltez"/>
    <s v="PMTRX00091499"/>
    <n v="5232693"/>
    <n v="1"/>
    <n v="6"/>
    <s v=""/>
    <m/>
  </r>
  <r>
    <n v="3394138"/>
    <x v="55"/>
    <s v="06-10-002-000"/>
    <x v="0"/>
    <n v="63836.52"/>
    <n v="0"/>
    <n v="63836.52"/>
    <n v="10000"/>
    <n v="100"/>
    <s v="AMPM16"/>
    <x v="43"/>
    <s v="ENERGIA JUNIOAMPM16"/>
    <s v="Compras"/>
    <s v="xmaltez"/>
    <s v="PMTRX00091499"/>
    <n v="5232694"/>
    <n v="1"/>
    <n v="16"/>
    <s v=""/>
    <m/>
  </r>
  <r>
    <n v="3394139"/>
    <x v="55"/>
    <s v="06-10-002-000"/>
    <x v="0"/>
    <n v="75935.95"/>
    <n v="0"/>
    <n v="75935.95"/>
    <n v="10000"/>
    <n v="100"/>
    <s v="AMPM38"/>
    <x v="41"/>
    <s v="ENERGIA JUNIOAMPM38"/>
    <s v="Compras"/>
    <s v="xmaltez"/>
    <s v="PMTRX00091499"/>
    <n v="5232695"/>
    <n v="1"/>
    <n v="47"/>
    <s v=""/>
    <m/>
  </r>
  <r>
    <n v="3394140"/>
    <x v="55"/>
    <s v="06-10-002-000"/>
    <x v="0"/>
    <n v="2315.06"/>
    <n v="0"/>
    <n v="2315.06"/>
    <n v="10000"/>
    <n v="100"/>
    <s v="AMPM38"/>
    <x v="41"/>
    <s v="ENERGIA JUNIOAMPM38"/>
    <s v="Compras"/>
    <s v="xmaltez"/>
    <s v="PMTRX00091499"/>
    <n v="5232696"/>
    <n v="1"/>
    <n v="47"/>
    <s v=""/>
    <m/>
  </r>
  <r>
    <n v="3394141"/>
    <x v="55"/>
    <s v="06-10-002-000"/>
    <x v="0"/>
    <n v="75728.66"/>
    <n v="0"/>
    <n v="75728.66"/>
    <n v="10000"/>
    <n v="100"/>
    <s v="AMPM79"/>
    <x v="82"/>
    <s v="ENERGIA JUNIOAMPM79"/>
    <s v="Compras"/>
    <s v="xmaltez"/>
    <s v="PMTRX00091499"/>
    <n v="5232697"/>
    <n v="1"/>
    <n v="95"/>
    <s v=""/>
    <m/>
  </r>
  <r>
    <n v="3394142"/>
    <x v="55"/>
    <s v="06-10-002-000"/>
    <x v="0"/>
    <n v="85574.76"/>
    <n v="0"/>
    <n v="85574.76"/>
    <n v="10000"/>
    <n v="100"/>
    <s v="AMPM65"/>
    <x v="78"/>
    <s v="ENERGIA JUNIOAMPM65"/>
    <s v="Compras"/>
    <s v="xmaltez"/>
    <s v="PMTRX00091499"/>
    <n v="5232698"/>
    <n v="1"/>
    <n v="81"/>
    <s v=""/>
    <m/>
  </r>
  <r>
    <n v="3394143"/>
    <x v="55"/>
    <s v="06-10-002-000"/>
    <x v="0"/>
    <n v="78621.429999999993"/>
    <n v="0"/>
    <n v="78621.429999999993"/>
    <n v="10000"/>
    <n v="100"/>
    <s v="AMPM81"/>
    <x v="83"/>
    <s v="ENERGIA JUNIOAMPM81"/>
    <s v="Compras"/>
    <s v="xmaltez"/>
    <s v="PMTRX00091499"/>
    <n v="5232699"/>
    <n v="1"/>
    <n v="99"/>
    <s v=""/>
    <m/>
  </r>
  <r>
    <n v="3394144"/>
    <x v="55"/>
    <s v="06-10-002-000"/>
    <x v="0"/>
    <n v="61844.11"/>
    <n v="0"/>
    <n v="61844.11"/>
    <n v="10000"/>
    <n v="100"/>
    <s v="AMPM90"/>
    <x v="91"/>
    <s v="ENERGIA JUNIOAMPM90"/>
    <s v="Compras"/>
    <s v="xmaltez"/>
    <s v="PMTRX00091499"/>
    <n v="5232700"/>
    <n v="1"/>
    <n v="107"/>
    <s v=""/>
    <m/>
  </r>
  <r>
    <n v="3394145"/>
    <x v="55"/>
    <s v="06-10-002-000"/>
    <x v="0"/>
    <n v="69154.759999999995"/>
    <n v="0"/>
    <n v="69154.759999999995"/>
    <n v="10000"/>
    <n v="100"/>
    <s v="AMPM32"/>
    <x v="65"/>
    <s v="ENERGIA JUNIOAMPM32"/>
    <s v="Compras"/>
    <s v="xmaltez"/>
    <s v="PMTRX00091499"/>
    <n v="5232701"/>
    <n v="1"/>
    <n v="40"/>
    <s v=""/>
    <m/>
  </r>
  <r>
    <n v="3394146"/>
    <x v="55"/>
    <s v="06-10-002-000"/>
    <x v="0"/>
    <n v="69700.2"/>
    <n v="0"/>
    <n v="69700.2"/>
    <n v="10000"/>
    <n v="100"/>
    <s v="AMPM71"/>
    <x v="52"/>
    <s v="ENERGIA JUNIOAMPM71"/>
    <s v="Compras"/>
    <s v="xmaltez"/>
    <s v="PMTRX00091499"/>
    <n v="5232702"/>
    <n v="1"/>
    <n v="86"/>
    <s v=""/>
    <m/>
  </r>
  <r>
    <n v="3394147"/>
    <x v="55"/>
    <s v="06-10-002-000"/>
    <x v="0"/>
    <n v="68378.44"/>
    <n v="0"/>
    <n v="68378.44"/>
    <n v="10000"/>
    <n v="100"/>
    <s v="AMPM82"/>
    <x v="84"/>
    <s v="ENERGIA JUNIOAMPM82"/>
    <s v="Compras"/>
    <s v="xmaltez"/>
    <s v="PMTRX00091499"/>
    <n v="5232703"/>
    <n v="1"/>
    <n v="96"/>
    <s v=""/>
    <m/>
  </r>
  <r>
    <n v="3394148"/>
    <x v="55"/>
    <s v="06-10-002-000"/>
    <x v="0"/>
    <n v="76801.38"/>
    <n v="0"/>
    <n v="76801.38"/>
    <n v="10000"/>
    <n v="100"/>
    <s v="AMPM54"/>
    <x v="18"/>
    <s v="ENERGIA JUNIOAMPM54"/>
    <s v="Compras"/>
    <s v="xmaltez"/>
    <s v="PMTRX00091499"/>
    <n v="5232704"/>
    <n v="1"/>
    <n v="70"/>
    <s v=""/>
    <m/>
  </r>
  <r>
    <n v="3394149"/>
    <x v="55"/>
    <s v="06-10-002-000"/>
    <x v="0"/>
    <n v="1860.42"/>
    <n v="0"/>
    <n v="1860.42"/>
    <n v="10000"/>
    <n v="100"/>
    <s v="AMPM51"/>
    <x v="71"/>
    <s v="ENERGIA JUNIOAMPM51"/>
    <s v="Compras"/>
    <s v="xmaltez"/>
    <s v="PMTRX00091499"/>
    <n v="5232705"/>
    <n v="1"/>
    <n v="65"/>
    <s v=""/>
    <m/>
  </r>
  <r>
    <n v="3394150"/>
    <x v="55"/>
    <s v="06-10-002-000"/>
    <x v="0"/>
    <n v="65578.97"/>
    <n v="0"/>
    <n v="65578.97"/>
    <n v="10000"/>
    <n v="100"/>
    <s v="AMPM25"/>
    <x v="62"/>
    <s v="ENERGIA JUNIOAMPM25"/>
    <s v="Compras"/>
    <s v="xmaltez"/>
    <s v="PMTRX00091499"/>
    <n v="5232706"/>
    <n v="1"/>
    <n v="25"/>
    <s v=""/>
    <m/>
  </r>
  <r>
    <n v="3394151"/>
    <x v="55"/>
    <s v="06-10-002-000"/>
    <x v="0"/>
    <n v="64359.65"/>
    <n v="0"/>
    <n v="64359.65"/>
    <n v="10000"/>
    <n v="100"/>
    <s v="AMPM63"/>
    <x v="32"/>
    <s v="ENERGIA JUNIOAMPM63"/>
    <s v="Compras"/>
    <s v="xmaltez"/>
    <s v="PMTRX00091499"/>
    <n v="5232707"/>
    <n v="1"/>
    <n v="79"/>
    <s v=""/>
    <m/>
  </r>
  <r>
    <n v="3394152"/>
    <x v="55"/>
    <s v="06-10-002-000"/>
    <x v="0"/>
    <n v="72714.02"/>
    <n v="0"/>
    <n v="72714.02"/>
    <n v="10000"/>
    <n v="100"/>
    <s v="AMPM51"/>
    <x v="71"/>
    <s v="ENERGIA JUNIOAMPM51"/>
    <s v="Compras"/>
    <s v="xmaltez"/>
    <s v="PMTRX00091499"/>
    <n v="5232708"/>
    <n v="1"/>
    <n v="65"/>
    <s v=""/>
    <m/>
  </r>
  <r>
    <n v="3394153"/>
    <x v="55"/>
    <s v="06-10-002-000"/>
    <x v="0"/>
    <n v="3568.73"/>
    <n v="0"/>
    <n v="3568.73"/>
    <n v="10000"/>
    <n v="100"/>
    <s v="AMPM26"/>
    <x v="7"/>
    <s v="ENERGIA JUNIOAMPM26"/>
    <s v="Compras"/>
    <s v="xmaltez"/>
    <s v="PMTRX00091499"/>
    <n v="5232709"/>
    <n v="1"/>
    <n v="26"/>
    <s v=""/>
    <m/>
  </r>
  <r>
    <n v="3394154"/>
    <x v="55"/>
    <s v="06-10-002-000"/>
    <x v="0"/>
    <n v="56429.46"/>
    <n v="0"/>
    <n v="56429.46"/>
    <n v="10000"/>
    <n v="100"/>
    <s v="AMPM77"/>
    <x v="33"/>
    <s v="ENERGIA JUNIOAMPM77"/>
    <s v="Compras"/>
    <s v="xmaltez"/>
    <s v="PMTRX00091499"/>
    <n v="5232710"/>
    <n v="1"/>
    <n v="92"/>
    <s v=""/>
    <m/>
  </r>
  <r>
    <n v="3394155"/>
    <x v="55"/>
    <s v="06-10-002-000"/>
    <x v="0"/>
    <n v="52478.91"/>
    <n v="0"/>
    <n v="52478.91"/>
    <n v="10000"/>
    <n v="100"/>
    <s v="AMPM26"/>
    <x v="7"/>
    <s v="ENERGIA JUNIOAMPM26"/>
    <s v="Compras"/>
    <s v="xmaltez"/>
    <s v="PMTRX00091499"/>
    <n v="5232711"/>
    <n v="1"/>
    <n v="26"/>
    <s v=""/>
    <m/>
  </r>
  <r>
    <n v="3394156"/>
    <x v="55"/>
    <s v="06-10-002-000"/>
    <x v="0"/>
    <n v="52617.15"/>
    <n v="0"/>
    <n v="52617.15"/>
    <n v="10000"/>
    <n v="100"/>
    <s v="AMPM56"/>
    <x v="23"/>
    <s v="ENERGIA JUNIOAMPM56"/>
    <s v="Compras"/>
    <s v="xmaltez"/>
    <s v="PMTRX00091499"/>
    <n v="5232712"/>
    <n v="1"/>
    <n v="72"/>
    <s v=""/>
    <m/>
  </r>
  <r>
    <n v="3394157"/>
    <x v="55"/>
    <s v="06-10-002-000"/>
    <x v="0"/>
    <n v="55113.34"/>
    <n v="0"/>
    <n v="55113.34"/>
    <n v="10000"/>
    <n v="100"/>
    <s v="AMPM62"/>
    <x v="77"/>
    <s v="ENERGIA JUNIOAMPM62"/>
    <s v="Compras"/>
    <s v="xmaltez"/>
    <s v="PMTRX00091499"/>
    <n v="5232713"/>
    <n v="1"/>
    <n v="78"/>
    <s v=""/>
    <m/>
  </r>
  <r>
    <n v="3394158"/>
    <x v="55"/>
    <s v="06-10-002-000"/>
    <x v="0"/>
    <n v="51612.46"/>
    <n v="0"/>
    <n v="51612.46"/>
    <n v="10000"/>
    <n v="100"/>
    <s v="AMPM48"/>
    <x v="69"/>
    <s v="ENERGIA JUNIOAMPM48"/>
    <s v="Compras"/>
    <s v="xmaltez"/>
    <s v="PMTRX00091499"/>
    <n v="5232714"/>
    <n v="1"/>
    <n v="62"/>
    <s v=""/>
    <m/>
  </r>
  <r>
    <n v="3394159"/>
    <x v="55"/>
    <s v="06-10-002-000"/>
    <x v="0"/>
    <n v="70558.73"/>
    <n v="0"/>
    <n v="70558.73"/>
    <n v="10000"/>
    <n v="100"/>
    <s v="AMPM70"/>
    <x v="22"/>
    <s v="ENERGIA JUNIOAMPM70"/>
    <s v="Compras"/>
    <s v="xmaltez"/>
    <s v="PMTRX00091499"/>
    <n v="5232715"/>
    <n v="1"/>
    <n v="87"/>
    <s v=""/>
    <m/>
  </r>
  <r>
    <n v="3394160"/>
    <x v="55"/>
    <s v="06-10-002-000"/>
    <x v="0"/>
    <n v="54269.1"/>
    <n v="0"/>
    <n v="54269.1"/>
    <n v="10000"/>
    <n v="100"/>
    <s v="AMPM42"/>
    <x v="21"/>
    <s v="ENERGIA JUNIOAMPM42"/>
    <s v="Compras"/>
    <s v="xmaltez"/>
    <s v="PMTRX00091499"/>
    <n v="5232716"/>
    <n v="1"/>
    <n v="51"/>
    <s v=""/>
    <m/>
  </r>
  <r>
    <n v="3394161"/>
    <x v="55"/>
    <s v="06-10-002-000"/>
    <x v="0"/>
    <n v="835.07"/>
    <n v="0"/>
    <n v="835.07"/>
    <n v="10000"/>
    <n v="100"/>
    <s v="AMPM42"/>
    <x v="21"/>
    <s v="ENERGIA JUNIOAMPM42"/>
    <s v="Compras"/>
    <s v="xmaltez"/>
    <s v="PMTRX00091499"/>
    <n v="5232717"/>
    <n v="1"/>
    <n v="51"/>
    <s v=""/>
    <m/>
  </r>
  <r>
    <n v="3394162"/>
    <x v="55"/>
    <s v="06-10-002-000"/>
    <x v="0"/>
    <n v="53734.77"/>
    <n v="0"/>
    <n v="53734.77"/>
    <n v="10000"/>
    <n v="100"/>
    <s v="AMPM72"/>
    <x v="27"/>
    <s v="ENERGIA JUNIOAMPM72"/>
    <s v="Compras"/>
    <s v="xmaltez"/>
    <s v="PMTRX00091499"/>
    <n v="5232718"/>
    <n v="1"/>
    <n v="88"/>
    <s v=""/>
    <m/>
  </r>
  <r>
    <n v="3394163"/>
    <x v="55"/>
    <s v="06-10-002-000"/>
    <x v="0"/>
    <n v="51297.05"/>
    <n v="0"/>
    <n v="51297.05"/>
    <n v="10000"/>
    <n v="100"/>
    <s v="AMPM59"/>
    <x v="74"/>
    <s v="ENERGIA JUNIOAMPM59"/>
    <s v="Compras"/>
    <s v="xmaltez"/>
    <s v="PMTRX00091499"/>
    <n v="5232719"/>
    <n v="1"/>
    <n v="75"/>
    <s v=""/>
    <m/>
  </r>
  <r>
    <n v="3394164"/>
    <x v="55"/>
    <s v="06-10-002-000"/>
    <x v="0"/>
    <n v="46358.79"/>
    <n v="0"/>
    <n v="46358.79"/>
    <n v="10000"/>
    <n v="100"/>
    <s v="AMPM36"/>
    <x v="66"/>
    <s v="ENERGIA JUNIOAMPM36"/>
    <s v="Compras"/>
    <s v="xmaltez"/>
    <s v="PMTRX00091499"/>
    <n v="5232720"/>
    <n v="1"/>
    <n v="44"/>
    <s v=""/>
    <m/>
  </r>
  <r>
    <n v="3394165"/>
    <x v="55"/>
    <s v="06-10-002-000"/>
    <x v="0"/>
    <n v="103.79"/>
    <n v="0"/>
    <n v="103.79"/>
    <n v="10000"/>
    <n v="100"/>
    <s v="AMPM36"/>
    <x v="66"/>
    <s v="ENERGIA JUNIOAMPM36"/>
    <s v="Compras"/>
    <s v="xmaltez"/>
    <s v="PMTRX00091499"/>
    <n v="5232721"/>
    <n v="1"/>
    <n v="44"/>
    <s v=""/>
    <m/>
  </r>
  <r>
    <n v="3394166"/>
    <x v="55"/>
    <s v="06-10-002-000"/>
    <x v="0"/>
    <n v="76691.19"/>
    <n v="0"/>
    <n v="76691.19"/>
    <n v="10000"/>
    <n v="100"/>
    <s v="AMPM66"/>
    <x v="79"/>
    <s v="ENERGIA JUNIOAMPM66"/>
    <s v="Compras"/>
    <s v="xmaltez"/>
    <s v="PMTRX00091499"/>
    <n v="5232722"/>
    <n v="1"/>
    <n v="82"/>
    <s v=""/>
    <m/>
  </r>
  <r>
    <n v="3394167"/>
    <x v="55"/>
    <s v="06-10-002-000"/>
    <x v="0"/>
    <n v="39663.67"/>
    <n v="0"/>
    <n v="39663.67"/>
    <n v="10000"/>
    <n v="100"/>
    <s v="AMPM31"/>
    <x v="64"/>
    <s v="ENERGIA JUNIOAMPM31"/>
    <s v="Compras"/>
    <s v="xmaltez"/>
    <s v="PMTRX00091499"/>
    <n v="5232723"/>
    <n v="1"/>
    <n v="38"/>
    <s v=""/>
    <m/>
  </r>
  <r>
    <n v="3394168"/>
    <x v="55"/>
    <s v="06-10-002-000"/>
    <x v="0"/>
    <n v="58654.18"/>
    <n v="0"/>
    <n v="58654.18"/>
    <n v="10000"/>
    <n v="100"/>
    <s v="AMPM53"/>
    <x v="20"/>
    <s v="ENERGIA JUNIOAMPM53"/>
    <s v="Compras"/>
    <s v="xmaltez"/>
    <s v="PMTRX00091499"/>
    <n v="5232724"/>
    <n v="1"/>
    <n v="64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7D96B-C1C8-42B5-9E5A-6FD3FA061414}" name="TablaDinámica5" cacheId="86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4:I99" firstHeaderRow="1" firstDataRow="3" firstDataCol="1" rowPageCount="1" colPageCount="1"/>
  <pivotFields count="22">
    <pivotField numFmtId="165" showAll="0"/>
    <pivotField axis="axisCol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multipleItemSelectionAllowed="1" showAll="0">
      <items count="2"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Row" showAll="0" sortType="ascending">
      <items count="93">
        <item x="48"/>
        <item x="73"/>
        <item x="63"/>
        <item x="10"/>
        <item x="0"/>
        <item x="25"/>
        <item x="28"/>
        <item x="61"/>
        <item x="26"/>
        <item x="12"/>
        <item x="13"/>
        <item x="44"/>
        <item x="47"/>
        <item x="42"/>
        <item x="45"/>
        <item x="51"/>
        <item x="54"/>
        <item x="53"/>
        <item x="1"/>
        <item x="43"/>
        <item x="55"/>
        <item x="56"/>
        <item x="57"/>
        <item x="50"/>
        <item x="59"/>
        <item x="62"/>
        <item x="7"/>
        <item x="8"/>
        <item x="2"/>
        <item x="58"/>
        <item x="39"/>
        <item x="64"/>
        <item x="65"/>
        <item x="11"/>
        <item x="85"/>
        <item x="14"/>
        <item x="66"/>
        <item x="49"/>
        <item x="41"/>
        <item x="31"/>
        <item x="67"/>
        <item x="24"/>
        <item x="21"/>
        <item x="35"/>
        <item x="38"/>
        <item x="68"/>
        <item x="34"/>
        <item x="60"/>
        <item x="69"/>
        <item x="72"/>
        <item x="70"/>
        <item x="71"/>
        <item x="16"/>
        <item x="20"/>
        <item x="18"/>
        <item x="37"/>
        <item x="23"/>
        <item x="4"/>
        <item x="46"/>
        <item x="74"/>
        <item x="76"/>
        <item x="75"/>
        <item x="77"/>
        <item x="32"/>
        <item x="19"/>
        <item x="78"/>
        <item x="79"/>
        <item x="80"/>
        <item x="5"/>
        <item x="30"/>
        <item x="22"/>
        <item x="52"/>
        <item x="27"/>
        <item x="17"/>
        <item x="40"/>
        <item x="36"/>
        <item x="6"/>
        <item x="33"/>
        <item x="81"/>
        <item x="82"/>
        <item x="3"/>
        <item x="83"/>
        <item x="84"/>
        <item x="15"/>
        <item x="29"/>
        <item x="86"/>
        <item x="88"/>
        <item x="89"/>
        <item x="9"/>
        <item x="87"/>
        <item x="91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axis="axisCol" showAll="0" defaultSubtotal="0">
      <items count="4">
        <item x="1"/>
        <item x="2"/>
        <item x="0"/>
        <item x="3"/>
      </items>
    </pivotField>
  </pivotFields>
  <rowFields count="1">
    <field x="1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2">
    <field x="21"/>
    <field x="1"/>
  </colFields>
  <colItems count="8">
    <i>
      <x/>
      <x v="12"/>
    </i>
    <i>
      <x v="1"/>
      <x v="1"/>
    </i>
    <i r="1">
      <x v="2"/>
    </i>
    <i r="1">
      <x v="3"/>
    </i>
    <i r="1">
      <x v="4"/>
    </i>
    <i r="1">
      <x v="5"/>
    </i>
    <i r="1">
      <x v="6"/>
    </i>
    <i t="grand">
      <x/>
    </i>
  </colItems>
  <pageFields count="1">
    <pageField fld="3" hier="-1"/>
  </pageFields>
  <dataFields count="1">
    <dataField name="Suma de Saldo" fld="6" baseField="0" baseItem="0" numFmtId="165"/>
  </dataFields>
  <formats count="185">
    <format dxfId="0">
      <pivotArea type="all" dataOnly="0" outline="0" fieldPosition="0"/>
    </format>
    <format dxfId="1">
      <pivotArea type="origin" dataOnly="0" labelOnly="1" outline="0" fieldPosition="0"/>
    </format>
    <format dxfId="2">
      <pivotArea field="10" type="button" dataOnly="0" labelOnly="1" outline="0" axis="axisRow" fieldPosition="0"/>
    </format>
    <format dxfId="3">
      <pivotArea type="topRight" dataOnly="0" labelOnly="1" outline="0" fieldPosition="0"/>
    </format>
    <format dxfId="4">
      <pivotArea field="3" type="button" dataOnly="0" labelOnly="1" outline="0" axis="axisPage" fieldPosition="0"/>
    </format>
    <format dxfId="5">
      <pivotArea dataOnly="0" labelOnly="1" grandRow="1" outline="0" fieldPosition="0"/>
    </format>
    <format dxfId="6">
      <pivotArea dataOnly="0" labelOnly="1" grandCol="1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type="topRight" dataOnly="0" labelOnly="1" outline="0" fieldPosition="0"/>
    </format>
    <format dxfId="10">
      <pivotArea field="10" type="button" dataOnly="0" labelOnly="1" outline="0" axis="axisRow" fieldPosition="0"/>
    </format>
    <format dxfId="11">
      <pivotArea dataOnly="0" labelOnly="1" grandCol="1" outline="0" fieldPosition="0"/>
    </format>
    <format dxfId="12">
      <pivotArea grandRow="1" outline="0" collapsedLevelsAreSubtotals="1" fieldPosition="0"/>
    </format>
    <format dxfId="13">
      <pivotArea outline="0" collapsedLevelsAreSubtotals="1" fieldPosition="0"/>
    </format>
    <format dxfId="14">
      <pivotArea dataOnly="0" labelOnly="1" grandRow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type="topRight" dataOnly="0" labelOnly="1" outline="0" fieldPosition="0"/>
    </format>
    <format dxfId="19">
      <pivotArea field="10" type="button" dataOnly="0" labelOnly="1" outline="0" axis="axisRow" fieldPosition="0"/>
    </format>
    <format dxfId="20">
      <pivotArea dataOnly="0" labelOnly="1" grandRow="1" outline="0" fieldPosition="0"/>
    </format>
    <format dxfId="21">
      <pivotArea dataOnly="0" labelOnly="1" grandCol="1" outline="0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type="topRight" dataOnly="0" labelOnly="1" outline="0" fieldPosition="0"/>
    </format>
    <format dxfId="26">
      <pivotArea field="10" type="button" dataOnly="0" labelOnly="1" outline="0" axis="axisRow" fieldPosition="0"/>
    </format>
    <format dxfId="27">
      <pivotArea dataOnly="0" labelOnly="1" grandRow="1" outline="0" fieldPosition="0"/>
    </format>
    <format dxfId="28">
      <pivotArea dataOnly="0" labelOnly="1" grandCol="1" outline="0" fieldPosition="0"/>
    </format>
    <format dxfId="29">
      <pivotArea grandRow="1" outline="0" collapsedLevelsAreSubtotals="1" fieldPosition="0"/>
    </format>
    <format dxfId="30">
      <pivotArea dataOnly="0" labelOnly="1" grandRow="1" outline="0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grandRow="1" outline="0" collapsedLevelsAreSubtotals="1" fieldPosition="0"/>
    </format>
    <format dxfId="34">
      <pivotArea dataOnly="0" labelOnly="1" grandRow="1" outline="0" fieldPosition="0"/>
    </format>
    <format dxfId="35">
      <pivotArea collapsedLevelsAreSubtotals="1" fieldPosition="0">
        <references count="1">
          <reference field="10" count="1">
            <x v="19"/>
          </reference>
        </references>
      </pivotArea>
    </format>
    <format dxfId="36">
      <pivotArea dataOnly="0" labelOnly="1" fieldPosition="0">
        <references count="1">
          <reference field="10" count="1">
            <x v="19"/>
          </reference>
        </references>
      </pivotArea>
    </format>
    <format dxfId="37">
      <pivotArea collapsedLevelsAreSubtotals="1" fieldPosition="0">
        <references count="1">
          <reference field="10" count="1">
            <x v="19"/>
          </reference>
        </references>
      </pivotArea>
    </format>
    <format dxfId="38">
      <pivotArea collapsedLevelsAreSubtotals="1" fieldPosition="0">
        <references count="1">
          <reference field="10" count="1">
            <x v="34"/>
          </reference>
        </references>
      </pivotArea>
    </format>
    <format dxfId="39">
      <pivotArea dataOnly="0" labelOnly="1" fieldPosition="0">
        <references count="1">
          <reference field="10" count="1">
            <x v="34"/>
          </reference>
        </references>
      </pivotArea>
    </format>
    <format dxfId="40">
      <pivotArea collapsedLevelsAreSubtotals="1" fieldPosition="0">
        <references count="1">
          <reference field="10" count="1">
            <x v="30"/>
          </reference>
        </references>
      </pivotArea>
    </format>
    <format dxfId="41">
      <pivotArea dataOnly="0" labelOnly="1" fieldPosition="0">
        <references count="1">
          <reference field="10" count="1">
            <x v="30"/>
          </reference>
        </references>
      </pivotArea>
    </format>
    <format dxfId="42">
      <pivotArea collapsedLevelsAreSubtotals="1" fieldPosition="0">
        <references count="1">
          <reference field="10" count="1">
            <x v="42"/>
          </reference>
        </references>
      </pivotArea>
    </format>
    <format dxfId="43">
      <pivotArea dataOnly="0" labelOnly="1" fieldPosition="0">
        <references count="1">
          <reference field="10" count="1">
            <x v="42"/>
          </reference>
        </references>
      </pivotArea>
    </format>
    <format dxfId="44">
      <pivotArea collapsedLevelsAreSubtotals="1" fieldPosition="0">
        <references count="1">
          <reference field="10" count="1">
            <x v="22"/>
          </reference>
        </references>
      </pivotArea>
    </format>
    <format dxfId="45">
      <pivotArea dataOnly="0" labelOnly="1" fieldPosition="0">
        <references count="1">
          <reference field="10" count="1">
            <x v="22"/>
          </reference>
        </references>
      </pivotArea>
    </format>
    <format dxfId="46">
      <pivotArea collapsedLevelsAreSubtotals="1" fieldPosition="0">
        <references count="1">
          <reference field="10" count="1">
            <x v="22"/>
          </reference>
        </references>
      </pivotArea>
    </format>
    <format dxfId="47">
      <pivotArea dataOnly="0" labelOnly="1" fieldPosition="0">
        <references count="1">
          <reference field="10" count="1">
            <x v="22"/>
          </reference>
        </references>
      </pivotArea>
    </format>
    <format dxfId="48">
      <pivotArea collapsedLevelsAreSubtotals="1" fieldPosition="0">
        <references count="1">
          <reference field="10" count="1">
            <x v="51"/>
          </reference>
        </references>
      </pivotArea>
    </format>
    <format dxfId="49">
      <pivotArea dataOnly="0" labelOnly="1" fieldPosition="0">
        <references count="1">
          <reference field="10" count="1">
            <x v="51"/>
          </reference>
        </references>
      </pivotArea>
    </format>
    <format dxfId="50">
      <pivotArea collapsedLevelsAreSubtotals="1" fieldPosition="0">
        <references count="1">
          <reference field="10" count="1">
            <x v="51"/>
          </reference>
        </references>
      </pivotArea>
    </format>
    <format dxfId="51">
      <pivotArea dataOnly="0" labelOnly="1" fieldPosition="0">
        <references count="1">
          <reference field="10" count="1">
            <x v="51"/>
          </reference>
        </references>
      </pivotArea>
    </format>
    <format dxfId="52">
      <pivotArea collapsedLevelsAreSubtotals="1" fieldPosition="0">
        <references count="1">
          <reference field="10" count="1">
            <x v="59"/>
          </reference>
        </references>
      </pivotArea>
    </format>
    <format dxfId="53">
      <pivotArea dataOnly="0" labelOnly="1" fieldPosition="0">
        <references count="1">
          <reference field="10" count="1">
            <x v="59"/>
          </reference>
        </references>
      </pivotArea>
    </format>
    <format dxfId="54">
      <pivotArea collapsedLevelsAreSubtotals="1" fieldPosition="0">
        <references count="1">
          <reference field="10" count="1">
            <x v="70"/>
          </reference>
        </references>
      </pivotArea>
    </format>
    <format dxfId="55">
      <pivotArea dataOnly="0" labelOnly="1" fieldPosition="0">
        <references count="1">
          <reference field="10" count="1">
            <x v="70"/>
          </reference>
        </references>
      </pivotArea>
    </format>
    <format dxfId="56">
      <pivotArea collapsedLevelsAreSubtotals="1" fieldPosition="0">
        <references count="1">
          <reference field="10" count="1">
            <x v="72"/>
          </reference>
        </references>
      </pivotArea>
    </format>
    <format dxfId="57">
      <pivotArea dataOnly="0" labelOnly="1" fieldPosition="0">
        <references count="1">
          <reference field="10" count="1">
            <x v="72"/>
          </reference>
        </references>
      </pivotArea>
    </format>
    <format dxfId="58">
      <pivotArea collapsedLevelsAreSubtotals="1" fieldPosition="0">
        <references count="1">
          <reference field="10" count="1">
            <x v="72"/>
          </reference>
        </references>
      </pivotArea>
    </format>
    <format dxfId="59">
      <pivotArea dataOnly="0" labelOnly="1" fieldPosition="0">
        <references count="1">
          <reference field="10" count="1">
            <x v="72"/>
          </reference>
        </references>
      </pivotArea>
    </format>
    <format dxfId="60">
      <pivotArea collapsedLevelsAreSubtotals="1" fieldPosition="0">
        <references count="1">
          <reference field="10" count="1">
            <x v="19"/>
          </reference>
        </references>
      </pivotArea>
    </format>
    <format dxfId="61">
      <pivotArea collapsedLevelsAreSubtotals="1" fieldPosition="0">
        <references count="1">
          <reference field="10" count="1">
            <x v="19"/>
          </reference>
        </references>
      </pivotArea>
    </format>
    <format dxfId="62">
      <pivotArea collapsedLevelsAreSubtotals="1" fieldPosition="0">
        <references count="1">
          <reference field="10" count="1">
            <x v="19"/>
          </reference>
        </references>
      </pivotArea>
    </format>
    <format dxfId="63">
      <pivotArea dataOnly="0" labelOnly="1" fieldPosition="0">
        <references count="1">
          <reference field="10" count="1">
            <x v="19"/>
          </reference>
        </references>
      </pivotArea>
    </format>
    <format dxfId="64">
      <pivotArea collapsedLevelsAreSubtotals="1" fieldPosition="0">
        <references count="1">
          <reference field="10" count="1">
            <x v="19"/>
          </reference>
        </references>
      </pivotArea>
    </format>
    <format dxfId="65">
      <pivotArea dataOnly="0" labelOnly="1" fieldPosition="0">
        <references count="1">
          <reference field="10" count="1">
            <x v="19"/>
          </reference>
        </references>
      </pivotArea>
    </format>
    <format dxfId="66">
      <pivotArea collapsedLevelsAreSubtotals="1" fieldPosition="0">
        <references count="1">
          <reference field="10" count="1">
            <x v="45"/>
          </reference>
        </references>
      </pivotArea>
    </format>
    <format dxfId="67">
      <pivotArea collapsedLevelsAreSubtotals="1" fieldPosition="0">
        <references count="1">
          <reference field="10" count="1">
            <x v="46"/>
          </reference>
        </references>
      </pivotArea>
    </format>
    <format dxfId="68">
      <pivotArea collapsedLevelsAreSubtotals="1" fieldPosition="0">
        <references count="1">
          <reference field="10" count="1">
            <x v="69"/>
          </reference>
        </references>
      </pivotArea>
    </format>
    <format dxfId="69">
      <pivotArea dataOnly="0" labelOnly="1" fieldPosition="0">
        <references count="1">
          <reference field="10" count="1">
            <x v="69"/>
          </reference>
        </references>
      </pivotArea>
    </format>
    <format dxfId="70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1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2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3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4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5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6">
      <pivotArea collapsedLevelsAreSubtotals="1" fieldPosition="0">
        <references count="1">
          <reference field="10" count="1">
            <x v="70"/>
          </reference>
        </references>
      </pivotArea>
    </format>
    <format dxfId="77">
      <pivotArea dataOnly="0" labelOnly="1" fieldPosition="0">
        <references count="1">
          <reference field="10" count="1">
            <x v="70"/>
          </reference>
        </references>
      </pivotArea>
    </format>
    <format dxfId="78">
      <pivotArea collapsedLevelsAreSubtotals="1" fieldPosition="0">
        <references count="1">
          <reference field="10" count="1">
            <x v="19"/>
          </reference>
        </references>
      </pivotArea>
    </format>
    <format dxfId="79">
      <pivotArea collapsedLevelsAreSubtotals="1" fieldPosition="0">
        <references count="1">
          <reference field="10" count="1">
            <x v="72"/>
          </reference>
        </references>
      </pivotArea>
    </format>
    <format dxfId="80">
      <pivotArea dataOnly="0" labelOnly="1" fieldPosition="0">
        <references count="1">
          <reference field="10" count="1">
            <x v="72"/>
          </reference>
        </references>
      </pivotArea>
    </format>
    <format dxfId="81">
      <pivotArea collapsedLevelsAreSubtotals="1" fieldPosition="0">
        <references count="1">
          <reference field="10" count="73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2">
      <pivotArea dataOnly="0" labelOnly="1" fieldPosition="0">
        <references count="1">
          <reference field="10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83">
      <pivotArea dataOnly="0" labelOnly="1" fieldPosition="0">
        <references count="1">
          <reference field="10" count="23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4">
      <pivotArea dataOnly="0" labelOnly="1" fieldPosition="0">
        <references count="1">
          <reference field="10" count="1">
            <x v="72"/>
          </reference>
        </references>
      </pivotArea>
    </format>
    <format dxfId="85">
      <pivotArea collapsedLevelsAreSubtotals="1" fieldPosition="0">
        <references count="1">
          <reference field="10" count="1">
            <x v="22"/>
          </reference>
        </references>
      </pivotArea>
    </format>
    <format dxfId="86">
      <pivotArea dataOnly="0" labelOnly="1" fieldPosition="0">
        <references count="1">
          <reference field="10" count="1">
            <x v="22"/>
          </reference>
        </references>
      </pivotArea>
    </format>
    <format dxfId="87">
      <pivotArea collapsedLevelsAreSubtotals="1" fieldPosition="0">
        <references count="1">
          <reference field="10" count="1">
            <x v="22"/>
          </reference>
        </references>
      </pivotArea>
    </format>
    <format dxfId="88">
      <pivotArea dataOnly="0" labelOnly="1" fieldPosition="0">
        <references count="1">
          <reference field="10" count="1">
            <x v="22"/>
          </reference>
        </references>
      </pivotArea>
    </format>
    <format dxfId="89">
      <pivotArea collapsedLevelsAreSubtotals="1" fieldPosition="0">
        <references count="1">
          <reference field="10" count="1">
            <x v="22"/>
          </reference>
        </references>
      </pivotArea>
    </format>
    <format dxfId="90">
      <pivotArea dataOnly="0" labelOnly="1" fieldPosition="0">
        <references count="1">
          <reference field="10" count="1">
            <x v="22"/>
          </reference>
        </references>
      </pivotArea>
    </format>
    <format dxfId="91">
      <pivotArea collapsedLevelsAreSubtotals="1" fieldPosition="0">
        <references count="1">
          <reference field="10" count="1">
            <x v="72"/>
          </reference>
        </references>
      </pivotArea>
    </format>
    <format dxfId="92">
      <pivotArea collapsedLevelsAreSubtotals="1" fieldPosition="0">
        <references count="1">
          <reference field="10" count="1">
            <x v="7"/>
          </reference>
        </references>
      </pivotArea>
    </format>
    <format dxfId="93">
      <pivotArea dataOnly="0" labelOnly="1" fieldPosition="0">
        <references count="1">
          <reference field="10" count="1">
            <x v="7"/>
          </reference>
        </references>
      </pivotArea>
    </format>
    <format dxfId="94">
      <pivotArea collapsedLevelsAreSubtotals="1" fieldPosition="0">
        <references count="1">
          <reference field="10" count="1">
            <x v="30"/>
          </reference>
        </references>
      </pivotArea>
    </format>
    <format dxfId="95">
      <pivotArea dataOnly="0" labelOnly="1" fieldPosition="0">
        <references count="1">
          <reference field="10" count="1">
            <x v="30"/>
          </reference>
        </references>
      </pivotArea>
    </format>
    <format dxfId="96">
      <pivotArea collapsedLevelsAreSubtotals="1" fieldPosition="0">
        <references count="1">
          <reference field="10" count="1">
            <x v="15"/>
          </reference>
        </references>
      </pivotArea>
    </format>
    <format dxfId="97">
      <pivotArea dataOnly="0" labelOnly="1" fieldPosition="0">
        <references count="1">
          <reference field="10" count="1">
            <x v="15"/>
          </reference>
        </references>
      </pivotArea>
    </format>
    <format dxfId="98">
      <pivotArea collapsedLevelsAreSubtotals="1" fieldPosition="0">
        <references count="1">
          <reference field="10" count="1">
            <x v="20"/>
          </reference>
        </references>
      </pivotArea>
    </format>
    <format dxfId="99">
      <pivotArea dataOnly="0" labelOnly="1" fieldPosition="0">
        <references count="1">
          <reference field="10" count="1">
            <x v="20"/>
          </reference>
        </references>
      </pivotArea>
    </format>
    <format dxfId="100">
      <pivotArea collapsedLevelsAreSubtotals="1" fieldPosition="0">
        <references count="1">
          <reference field="10" count="1">
            <x v="30"/>
          </reference>
        </references>
      </pivotArea>
    </format>
    <format dxfId="101">
      <pivotArea dataOnly="0" labelOnly="1" fieldPosition="0">
        <references count="1">
          <reference field="10" count="1">
            <x v="30"/>
          </reference>
        </references>
      </pivotArea>
    </format>
    <format dxfId="102">
      <pivotArea collapsedLevelsAreSubtotals="1" fieldPosition="0">
        <references count="1">
          <reference field="10" count="1">
            <x v="32"/>
          </reference>
        </references>
      </pivotArea>
    </format>
    <format dxfId="103">
      <pivotArea dataOnly="0" labelOnly="1" fieldPosition="0">
        <references count="1">
          <reference field="10" count="1">
            <x v="32"/>
          </reference>
        </references>
      </pivotArea>
    </format>
    <format dxfId="104">
      <pivotArea collapsedLevelsAreSubtotals="1" fieldPosition="0">
        <references count="1">
          <reference field="10" count="1">
            <x v="33"/>
          </reference>
        </references>
      </pivotArea>
    </format>
    <format dxfId="105">
      <pivotArea dataOnly="0" labelOnly="1" fieldPosition="0">
        <references count="1">
          <reference field="10" count="1">
            <x v="33"/>
          </reference>
        </references>
      </pivotArea>
    </format>
    <format dxfId="106">
      <pivotArea collapsedLevelsAreSubtotals="1" fieldPosition="0">
        <references count="1">
          <reference field="10" count="1">
            <x v="40"/>
          </reference>
        </references>
      </pivotArea>
    </format>
    <format dxfId="107">
      <pivotArea dataOnly="0" labelOnly="1" fieldPosition="0">
        <references count="1">
          <reference field="10" count="1">
            <x v="40"/>
          </reference>
        </references>
      </pivotArea>
    </format>
    <format dxfId="108">
      <pivotArea collapsedLevelsAreSubtotals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09">
      <pivotArea dataOnly="0" labelOnly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10">
      <pivotArea collapsedLevelsAreSubtotals="1" fieldPosition="0">
        <references count="1">
          <reference field="10" count="1">
            <x v="75"/>
          </reference>
        </references>
      </pivotArea>
    </format>
    <format dxfId="111">
      <pivotArea dataOnly="0" labelOnly="1" fieldPosition="0">
        <references count="1">
          <reference field="10" count="1">
            <x v="75"/>
          </reference>
        </references>
      </pivotArea>
    </format>
    <format dxfId="112">
      <pivotArea collapsedLevelsAreSubtotals="1" fieldPosition="0">
        <references count="1">
          <reference field="10" count="1">
            <x v="30"/>
          </reference>
        </references>
      </pivotArea>
    </format>
    <format dxfId="113">
      <pivotArea dataOnly="0" labelOnly="1" fieldPosition="0">
        <references count="1">
          <reference field="10" count="1">
            <x v="30"/>
          </reference>
        </references>
      </pivotArea>
    </format>
    <format dxfId="114">
      <pivotArea collapsedLevelsAreSubtotals="1" fieldPosition="0">
        <references count="1">
          <reference field="10" count="1">
            <x v="30"/>
          </reference>
        </references>
      </pivotArea>
    </format>
    <format dxfId="115">
      <pivotArea collapsedLevelsAreSubtotals="1" fieldPosition="0">
        <references count="1">
          <reference field="10" count="0"/>
        </references>
      </pivotArea>
    </format>
    <format dxfId="116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7">
      <pivotArea dataOnly="0" labelOnly="1" fieldPosition="0">
        <references count="1">
          <reference field="10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2"/>
          </reference>
        </references>
      </pivotArea>
    </format>
    <format dxfId="118">
      <pivotArea collapsedLevelsAreSubtotals="1" fieldPosition="0">
        <references count="1">
          <reference field="10" count="57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</reference>
        </references>
      </pivotArea>
    </format>
    <format dxfId="119">
      <pivotArea dataOnly="0" labelOnly="1" fieldPosition="0">
        <references count="1">
          <reference field="10" count="50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120">
      <pivotArea dataOnly="0" labelOnly="1" fieldPosition="0">
        <references count="1">
          <reference field="10" count="7">
            <x v="72"/>
            <x v="73"/>
            <x v="74"/>
            <x v="75"/>
            <x v="76"/>
            <x v="77"/>
            <x v="79"/>
          </reference>
        </references>
      </pivotArea>
    </format>
    <format dxfId="121">
      <pivotArea collapsedLevelsAreSubtotals="1" fieldPosition="0">
        <references count="1">
          <reference field="10" count="1">
            <x v="22"/>
          </reference>
        </references>
      </pivotArea>
    </format>
    <format dxfId="122">
      <pivotArea dataOnly="0" labelOnly="1" fieldPosition="0">
        <references count="1">
          <reference field="10" count="1">
            <x v="22"/>
          </reference>
        </references>
      </pivotArea>
    </format>
    <format dxfId="123">
      <pivotArea collapsedLevelsAreSubtotals="1" fieldPosition="0">
        <references count="1">
          <reference field="10" count="1">
            <x v="22"/>
          </reference>
        </references>
      </pivotArea>
    </format>
    <format dxfId="124">
      <pivotArea dataOnly="0" labelOnly="1" fieldPosition="0">
        <references count="1">
          <reference field="10" count="1">
            <x v="22"/>
          </reference>
        </references>
      </pivotArea>
    </format>
    <format dxfId="125">
      <pivotArea collapsedLevelsAreSubtotals="1" fieldPosition="0">
        <references count="1">
          <reference field="10" count="1">
            <x v="74"/>
          </reference>
        </references>
      </pivotArea>
    </format>
    <format dxfId="126">
      <pivotArea dataOnly="0" labelOnly="1" fieldPosition="0">
        <references count="1">
          <reference field="10" count="1">
            <x v="74"/>
          </reference>
        </references>
      </pivotArea>
    </format>
    <format dxfId="127">
      <pivotArea collapsedLevelsAreSubtotals="1" fieldPosition="0">
        <references count="1">
          <reference field="10" count="1">
            <x v="74"/>
          </reference>
        </references>
      </pivotArea>
    </format>
    <format dxfId="128">
      <pivotArea dataOnly="0" labelOnly="1" fieldPosition="0">
        <references count="1">
          <reference field="10" count="1">
            <x v="74"/>
          </reference>
        </references>
      </pivotArea>
    </format>
    <format dxfId="129">
      <pivotArea collapsedLevelsAreSubtotals="1" fieldPosition="0">
        <references count="1">
          <reference field="10" count="1">
            <x v="74"/>
          </reference>
        </references>
      </pivotArea>
    </format>
    <format dxfId="130">
      <pivotArea dataOnly="0" labelOnly="1" fieldPosition="0">
        <references count="1">
          <reference field="10" count="1">
            <x v="74"/>
          </reference>
        </references>
      </pivotArea>
    </format>
    <format dxfId="131">
      <pivotArea collapsedLevelsAreSubtotals="1" fieldPosition="0">
        <references count="1">
          <reference field="10" count="1">
            <x v="74"/>
          </reference>
        </references>
      </pivotArea>
    </format>
    <format dxfId="132">
      <pivotArea dataOnly="0" labelOnly="1" fieldPosition="0">
        <references count="1">
          <reference field="10" count="1">
            <x v="74"/>
          </reference>
        </references>
      </pivotArea>
    </format>
    <format dxfId="133">
      <pivotArea collapsedLevelsAreSubtotals="1" fieldPosition="0">
        <references count="1">
          <reference field="10" count="1">
            <x v="73"/>
          </reference>
        </references>
      </pivotArea>
    </format>
    <format dxfId="134">
      <pivotArea dataOnly="0" labelOnly="1" fieldPosition="0">
        <references count="1">
          <reference field="10" count="1">
            <x v="73"/>
          </reference>
        </references>
      </pivotArea>
    </format>
    <format dxfId="135">
      <pivotArea collapsedLevelsAreSubtotals="1" fieldPosition="0">
        <references count="1">
          <reference field="10" count="1">
            <x v="73"/>
          </reference>
        </references>
      </pivotArea>
    </format>
    <format dxfId="136">
      <pivotArea dataOnly="0" labelOnly="1" fieldPosition="0">
        <references count="1">
          <reference field="10" count="1">
            <x v="73"/>
          </reference>
        </references>
      </pivotArea>
    </format>
    <format dxfId="137">
      <pivotArea collapsedLevelsAreSubtotals="1" fieldPosition="0">
        <references count="1">
          <reference field="10" count="1">
            <x v="73"/>
          </reference>
        </references>
      </pivotArea>
    </format>
    <format dxfId="138">
      <pivotArea dataOnly="0" labelOnly="1" fieldPosition="0">
        <references count="1">
          <reference field="10" count="1">
            <x v="73"/>
          </reference>
        </references>
      </pivotArea>
    </format>
    <format dxfId="139">
      <pivotArea collapsedLevelsAreSubtotals="1" fieldPosition="0">
        <references count="1">
          <reference field="10" count="1">
            <x v="73"/>
          </reference>
        </references>
      </pivotArea>
    </format>
    <format dxfId="140">
      <pivotArea dataOnly="0" labelOnly="1" fieldPosition="0">
        <references count="1">
          <reference field="10" count="1">
            <x v="73"/>
          </reference>
        </references>
      </pivotArea>
    </format>
    <format dxfId="141">
      <pivotArea collapsedLevelsAreSubtotals="1" fieldPosition="0">
        <references count="1">
          <reference field="10" count="0"/>
        </references>
      </pivotArea>
    </format>
    <format dxfId="14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4">
      <pivotArea collapsedLevelsAreSubtotals="1" fieldPosition="0">
        <references count="1">
          <reference field="10" count="0"/>
        </references>
      </pivotArea>
    </format>
    <format dxfId="14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6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7">
      <pivotArea field="10" grandCol="1" collapsedLevelsAreSubtotals="1" axis="axisRow" fieldPosition="0">
        <references count="1">
          <reference field="10" count="1">
            <x v="84"/>
          </reference>
        </references>
      </pivotArea>
    </format>
    <format dxfId="148">
      <pivotArea dataOnly="0" labelOnly="1" fieldPosition="0">
        <references count="1">
          <reference field="1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49">
      <pivotArea outline="0" collapsedLevelsAreSubtotals="1" fieldPosition="0"/>
    </format>
    <format dxfId="150">
      <pivotArea dataOnly="0" labelOnly="1" grandRow="1" outline="0" fieldPosition="0"/>
    </format>
    <format dxfId="151">
      <pivotArea collapsedLevelsAreSubtotals="1" fieldPosition="0">
        <references count="1">
          <reference field="10" count="0"/>
        </references>
      </pivotArea>
    </format>
    <format dxfId="15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3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4">
      <pivotArea collapsedLevelsAreSubtotals="1" fieldPosition="0">
        <references count="1">
          <reference field="10" count="0"/>
        </references>
      </pivotArea>
    </format>
    <format dxfId="15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6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7">
      <pivotArea dataOnly="0" labelOnly="1" fieldPosition="0">
        <references count="1">
          <reference field="1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58">
      <pivotArea field="21" type="button" dataOnly="0" labelOnly="1" outline="0" axis="axisCol" fieldPosition="0"/>
    </format>
    <format dxfId="159">
      <pivotArea field="1" type="button" dataOnly="0" labelOnly="1" outline="0" axis="axisCol" fieldPosition="1"/>
    </format>
    <format dxfId="160">
      <pivotArea type="topRight" dataOnly="0" labelOnly="1" outline="0" fieldPosition="0"/>
    </format>
    <format dxfId="161">
      <pivotArea dataOnly="0" labelOnly="1" fieldPosition="0">
        <references count="1">
          <reference field="21" count="1">
            <x v="0"/>
          </reference>
        </references>
      </pivotArea>
    </format>
    <format dxfId="162">
      <pivotArea dataOnly="0" labelOnly="1" fieldPosition="0">
        <references count="1">
          <reference field="21" count="1" defaultSubtotal="1">
            <x v="0"/>
          </reference>
        </references>
      </pivotArea>
    </format>
    <format dxfId="163">
      <pivotArea dataOnly="0" labelOnly="1" grandCol="1" outline="0" fieldPosition="0"/>
    </format>
    <format dxfId="164">
      <pivotArea dataOnly="0" labelOnly="1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1" count="1" selected="0">
            <x v="0"/>
          </reference>
        </references>
      </pivotArea>
    </format>
    <format dxfId="165">
      <pivotArea dataOnly="0" labelOnly="1" fieldPosition="0">
        <references count="2">
          <reference field="1" count="1">
            <x v="1"/>
          </reference>
          <reference field="21" count="1" selected="0">
            <x v="1"/>
          </reference>
        </references>
      </pivotArea>
    </format>
    <format dxfId="166">
      <pivotArea dataOnly="0" labelOnly="1" fieldPosition="0">
        <references count="1">
          <reference field="21" count="1">
            <x v="1"/>
          </reference>
        </references>
      </pivotArea>
    </format>
    <format dxfId="167">
      <pivotArea field="10" grandCol="1" collapsedLevelsAreSubtotals="1" axis="axisRow" fieldPosition="0">
        <references count="1">
          <reference field="10" count="2">
            <x v="10"/>
            <x v="11"/>
          </reference>
        </references>
      </pivotArea>
    </format>
    <format dxfId="168">
      <pivotArea field="10" grandCol="1" collapsedLevelsAreSubtotals="1" axis="axisRow" fieldPosition="0">
        <references count="1">
          <reference field="10" count="1">
            <x v="27"/>
          </reference>
        </references>
      </pivotArea>
    </format>
    <format dxfId="169">
      <pivotArea dataOnly="0" labelOnly="1" fieldPosition="0">
        <references count="2">
          <reference field="1" count="1">
            <x v="2"/>
          </reference>
          <reference field="21" count="1" selected="0">
            <x v="1"/>
          </reference>
        </references>
      </pivotArea>
    </format>
    <format dxfId="170">
      <pivotArea collapsedLevelsAreSubtotals="1" fieldPosition="0">
        <references count="1">
          <reference field="10" count="0"/>
        </references>
      </pivotArea>
    </format>
    <format dxfId="171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2">
      <pivotArea dataOnly="0" labelOnly="1" fieldPosition="0">
        <references count="1">
          <reference field="10" count="4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3">
      <pivotArea dataOnly="0" labelOnly="1" fieldPosition="0">
        <references count="2">
          <reference field="1" count="1">
            <x v="3"/>
          </reference>
          <reference field="21" count="1" selected="0">
            <x v="1"/>
          </reference>
        </references>
      </pivotArea>
    </format>
    <format dxfId="174">
      <pivotArea collapsedLevelsAreSubtotals="1" fieldPosition="0">
        <references count="1">
          <reference field="10" count="81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5">
      <pivotArea dataOnly="0" labelOnly="1" fieldPosition="0">
        <references count="1">
          <reference field="10" count="50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176">
      <pivotArea dataOnly="0" labelOnly="1" fieldPosition="0">
        <references count="1">
          <reference field="10" count="31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7">
      <pivotArea dataOnly="0" labelOnly="1" fieldPosition="0">
        <references count="2">
          <reference field="1" count="1">
            <x v="4"/>
          </reference>
          <reference field="21" count="1" selected="0">
            <x v="1"/>
          </reference>
        </references>
      </pivotArea>
    </format>
    <format dxfId="178">
      <pivotArea dataOnly="0" labelOnly="1" fieldPosition="0">
        <references count="2">
          <reference field="1" count="1">
            <x v="5"/>
          </reference>
          <reference field="21" count="1" selected="0">
            <x v="1"/>
          </reference>
        </references>
      </pivotArea>
    </format>
    <format dxfId="179">
      <pivotArea collapsedLevelsAreSubtotals="1" fieldPosition="0">
        <references count="1">
          <reference field="10" count="2">
            <x v="64"/>
            <x v="65"/>
          </reference>
        </references>
      </pivotArea>
    </format>
    <format dxfId="180">
      <pivotArea dataOnly="0" labelOnly="1" fieldPosition="0">
        <references count="1">
          <reference field="10" count="2">
            <x v="64"/>
            <x v="65"/>
          </reference>
        </references>
      </pivotArea>
    </format>
    <format dxfId="181">
      <pivotArea dataOnly="0" fieldPosition="0">
        <references count="1">
          <reference field="10" count="1">
            <x v="65"/>
          </reference>
        </references>
      </pivotArea>
    </format>
    <format dxfId="182">
      <pivotArea dataOnly="0" labelOnly="1" fieldPosition="0">
        <references count="2">
          <reference field="1" count="1">
            <x v="6"/>
          </reference>
          <reference field="21" count="1" selected="0">
            <x v="1"/>
          </reference>
        </references>
      </pivotArea>
    </format>
    <format dxfId="183">
      <pivotArea collapsedLevelsAreSubtotals="1" fieldPosition="0">
        <references count="1">
          <reference field="10" count="1">
            <x v="68"/>
          </reference>
        </references>
      </pivotArea>
    </format>
    <format dxfId="184">
      <pivotArea dataOnly="0" labelOnly="1" fieldPosition="0">
        <references count="1">
          <reference field="10" count="1">
            <x v="68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A16D-D325-4FC4-ABE2-51DE507615FB}">
  <dimension ref="A2:BZ321"/>
  <sheetViews>
    <sheetView showGridLines="0" tabSelected="1" topLeftCell="A11" workbookViewId="0">
      <selection activeCell="P14" sqref="P14"/>
    </sheetView>
  </sheetViews>
  <sheetFormatPr baseColWidth="10" defaultColWidth="11.44140625" defaultRowHeight="10.199999999999999" x14ac:dyDescent="0.2"/>
  <cols>
    <col min="1" max="1" width="13.77734375" style="3" bestFit="1" customWidth="1"/>
    <col min="2" max="2" width="17" style="3" bestFit="1" customWidth="1"/>
    <col min="3" max="8" width="7.77734375" style="3" bestFit="1" customWidth="1"/>
    <col min="9" max="9" width="9.6640625" style="3" customWidth="1"/>
    <col min="10" max="10" width="12.77734375" style="3" bestFit="1" customWidth="1"/>
    <col min="11" max="11" width="14" style="3" bestFit="1" customWidth="1"/>
    <col min="12" max="12" width="24.109375" style="3" bestFit="1" customWidth="1"/>
    <col min="13" max="13" width="9.33203125" style="3" bestFit="1" customWidth="1"/>
    <col min="14" max="14" width="2.33203125" style="3" bestFit="1" customWidth="1"/>
    <col min="15" max="15" width="12.88671875" style="3" bestFit="1" customWidth="1"/>
    <col min="16" max="16" width="4.33203125" style="3" bestFit="1" customWidth="1"/>
    <col min="17" max="17" width="9" style="3" bestFit="1" customWidth="1"/>
    <col min="18" max="18" width="6.33203125" style="3" bestFit="1" customWidth="1"/>
    <col min="19" max="19" width="7.6640625" style="3" bestFit="1" customWidth="1"/>
    <col min="20" max="20" width="9" style="3" bestFit="1" customWidth="1"/>
    <col min="21" max="21" width="11.88671875" style="3" bestFit="1" customWidth="1"/>
    <col min="22" max="22" width="9.44140625" style="3" bestFit="1" customWidth="1"/>
    <col min="23" max="23" width="15" style="2" bestFit="1" customWidth="1"/>
    <col min="24" max="24" width="30.109375" style="2" bestFit="1" customWidth="1"/>
    <col min="25" max="88" width="8.6640625" style="2" bestFit="1" customWidth="1"/>
    <col min="89" max="89" width="10.6640625" style="2" bestFit="1" customWidth="1"/>
    <col min="90" max="16384" width="11.44140625" style="2"/>
  </cols>
  <sheetData>
    <row r="2" spans="1:78" x14ac:dyDescent="0.2">
      <c r="A2" s="85" t="s">
        <v>0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78" x14ac:dyDescent="0.2">
      <c r="A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78" x14ac:dyDescent="0.2">
      <c r="A4" s="86" t="s">
        <v>2</v>
      </c>
      <c r="B4" s="86" t="s">
        <v>3</v>
      </c>
      <c r="C4" s="86"/>
      <c r="D4" s="5"/>
      <c r="E4" s="5"/>
      <c r="F4" s="5"/>
      <c r="G4" s="5"/>
      <c r="H4" s="5"/>
      <c r="I4" s="5"/>
      <c r="J4" s="6"/>
      <c r="K4" s="6"/>
      <c r="L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</row>
    <row r="5" spans="1:78" x14ac:dyDescent="0.2">
      <c r="A5" s="5"/>
      <c r="B5" s="5" t="s">
        <v>4</v>
      </c>
      <c r="C5" s="5" t="s">
        <v>5</v>
      </c>
      <c r="D5" s="5"/>
      <c r="E5" s="5"/>
      <c r="F5" s="5"/>
      <c r="G5" s="5"/>
      <c r="H5" s="5"/>
      <c r="I5" s="5" t="s">
        <v>6</v>
      </c>
      <c r="J5" s="5"/>
      <c r="K5" s="5"/>
      <c r="L5" s="8" t="s">
        <v>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</row>
    <row r="6" spans="1:78" s="11" customFormat="1" x14ac:dyDescent="0.2">
      <c r="A6" s="86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/>
      <c r="J6" s="9" t="s">
        <v>16</v>
      </c>
      <c r="K6" s="9" t="s">
        <v>17</v>
      </c>
      <c r="L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</row>
    <row r="7" spans="1:78" s="11" customFormat="1" x14ac:dyDescent="0.2">
      <c r="A7" s="12" t="s">
        <v>18</v>
      </c>
      <c r="B7" s="13">
        <v>68464.84</v>
      </c>
      <c r="C7" s="13">
        <v>70866.73</v>
      </c>
      <c r="D7" s="13">
        <v>63744.490000000005</v>
      </c>
      <c r="E7" s="13">
        <v>75173.97</v>
      </c>
      <c r="F7" s="13">
        <v>78012.299999999988</v>
      </c>
      <c r="G7" s="13">
        <v>95044.560000000012</v>
      </c>
      <c r="H7" s="13">
        <v>73532.97</v>
      </c>
      <c r="I7" s="13">
        <v>524839.86</v>
      </c>
      <c r="J7" s="14">
        <f>IFERROR((H7/G7),0)</f>
        <v>0.77366837197205174</v>
      </c>
      <c r="K7" s="15">
        <f>+I107</f>
        <v>0.99806763285024169</v>
      </c>
      <c r="L7" s="10"/>
      <c r="N7" s="7"/>
      <c r="O7" s="1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</row>
    <row r="8" spans="1:78" s="11" customFormat="1" x14ac:dyDescent="0.2">
      <c r="A8" s="12" t="s">
        <v>19</v>
      </c>
      <c r="B8" s="13">
        <v>27953.969999999998</v>
      </c>
      <c r="C8" s="13">
        <v>26202.1</v>
      </c>
      <c r="D8" s="13">
        <v>21804.49</v>
      </c>
      <c r="E8" s="13">
        <v>27793.34</v>
      </c>
      <c r="F8" s="13">
        <v>28034.43</v>
      </c>
      <c r="G8" s="13">
        <v>30088.59</v>
      </c>
      <c r="H8" s="13">
        <v>29877.25</v>
      </c>
      <c r="I8" s="13">
        <v>191754.16999999998</v>
      </c>
      <c r="J8" s="14">
        <f t="shared" ref="J8:J71" si="0">IFERROR((H8/G8),0)</f>
        <v>0.99297607498390583</v>
      </c>
      <c r="K8" s="15">
        <f t="shared" ref="K8:K71" si="1">+I108</f>
        <v>1.1212454212454213</v>
      </c>
      <c r="L8" s="10" t="s">
        <v>20</v>
      </c>
      <c r="N8" s="7"/>
      <c r="O8" s="1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</row>
    <row r="9" spans="1:78" s="11" customFormat="1" x14ac:dyDescent="0.2">
      <c r="A9" s="12" t="s">
        <v>21</v>
      </c>
      <c r="B9" s="13">
        <v>47645.520000000004</v>
      </c>
      <c r="C9" s="13">
        <v>42649.4</v>
      </c>
      <c r="D9" s="13">
        <v>37124.239999999998</v>
      </c>
      <c r="E9" s="13">
        <v>41473.339999999997</v>
      </c>
      <c r="F9" s="13">
        <v>45458.400000000001</v>
      </c>
      <c r="G9" s="13">
        <v>47681.83</v>
      </c>
      <c r="H9" s="13">
        <v>41725</v>
      </c>
      <c r="I9" s="13">
        <v>303757.73</v>
      </c>
      <c r="J9" s="14">
        <f t="shared" si="0"/>
        <v>0.87507127977260935</v>
      </c>
      <c r="K9" s="15">
        <f t="shared" si="1"/>
        <v>0.9027027027027027</v>
      </c>
      <c r="L9" s="10"/>
      <c r="N9" s="7"/>
      <c r="O9" s="1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 spans="1:78" s="11" customFormat="1" x14ac:dyDescent="0.2">
      <c r="A10" s="12" t="s">
        <v>22</v>
      </c>
      <c r="B10" s="13">
        <v>386.44</v>
      </c>
      <c r="C10" s="13">
        <v>531.12</v>
      </c>
      <c r="D10" s="13">
        <v>523.4</v>
      </c>
      <c r="E10" s="13">
        <v>451.72</v>
      </c>
      <c r="F10" s="13">
        <v>396.76</v>
      </c>
      <c r="G10" s="13">
        <v>396.76</v>
      </c>
      <c r="H10" s="13">
        <v>408.98</v>
      </c>
      <c r="I10" s="13">
        <v>3095.18</v>
      </c>
      <c r="J10" s="14">
        <f t="shared" si="0"/>
        <v>1.0307994757536043</v>
      </c>
      <c r="K10" s="15">
        <f t="shared" si="1"/>
        <v>0.9838709677419355</v>
      </c>
      <c r="L10" s="10"/>
      <c r="N10" s="7"/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 spans="1:78" s="11" customFormat="1" x14ac:dyDescent="0.2">
      <c r="A11" s="12" t="s">
        <v>23</v>
      </c>
      <c r="B11" s="13">
        <v>30420.46</v>
      </c>
      <c r="C11" s="13">
        <v>45529.1</v>
      </c>
      <c r="D11" s="13">
        <v>30776.04</v>
      </c>
      <c r="E11" s="13">
        <v>26051.88</v>
      </c>
      <c r="F11" s="13">
        <v>30696.23</v>
      </c>
      <c r="G11" s="13">
        <v>30456.14</v>
      </c>
      <c r="H11" s="13">
        <v>37757.08</v>
      </c>
      <c r="I11" s="13">
        <v>231686.93000000005</v>
      </c>
      <c r="J11" s="14">
        <f t="shared" si="0"/>
        <v>1.2397198069092144</v>
      </c>
      <c r="K11" s="15">
        <f t="shared" si="1"/>
        <v>1.0907756813417191</v>
      </c>
      <c r="L11" s="10" t="s">
        <v>20</v>
      </c>
      <c r="N11" s="7"/>
      <c r="O11" s="16"/>
      <c r="P11" s="1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1:78" s="11" customFormat="1" x14ac:dyDescent="0.2">
      <c r="A12" s="12" t="s">
        <v>24</v>
      </c>
      <c r="B12" s="13">
        <v>60773.11</v>
      </c>
      <c r="C12" s="13">
        <v>60810.93</v>
      </c>
      <c r="D12" s="13">
        <v>44629.09</v>
      </c>
      <c r="E12" s="13">
        <v>53830.82</v>
      </c>
      <c r="F12" s="13">
        <v>48892.66</v>
      </c>
      <c r="G12" s="13">
        <v>51356.4</v>
      </c>
      <c r="H12" s="13">
        <v>46365.69</v>
      </c>
      <c r="I12" s="13">
        <v>366658.7</v>
      </c>
      <c r="J12" s="14">
        <f t="shared" si="0"/>
        <v>0.90282204360118701</v>
      </c>
      <c r="K12" s="15">
        <f t="shared" si="1"/>
        <v>0.77631585141919934</v>
      </c>
      <c r="L12" s="10"/>
      <c r="N12" s="7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s="11" customFormat="1" x14ac:dyDescent="0.2">
      <c r="A13" s="12" t="s">
        <v>25</v>
      </c>
      <c r="B13" s="13">
        <v>56204.78</v>
      </c>
      <c r="C13" s="13">
        <v>52666.09</v>
      </c>
      <c r="D13" s="13">
        <v>49712.51</v>
      </c>
      <c r="E13" s="13">
        <v>54266.13</v>
      </c>
      <c r="F13" s="13">
        <v>56933.11</v>
      </c>
      <c r="G13" s="13">
        <v>58469.08</v>
      </c>
      <c r="H13" s="13">
        <v>53165.82</v>
      </c>
      <c r="I13" s="13">
        <v>381417.52</v>
      </c>
      <c r="J13" s="14">
        <f t="shared" si="0"/>
        <v>0.90929804265776026</v>
      </c>
      <c r="K13" s="15">
        <f t="shared" si="1"/>
        <v>0.96516351352019047</v>
      </c>
      <c r="L13" s="10"/>
      <c r="N13" s="7"/>
      <c r="O13" s="1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</row>
    <row r="14" spans="1:78" s="11" customFormat="1" x14ac:dyDescent="0.2">
      <c r="A14" s="12" t="s">
        <v>26</v>
      </c>
      <c r="B14" s="13">
        <v>65772.06</v>
      </c>
      <c r="C14" s="13">
        <v>67154.01999999999</v>
      </c>
      <c r="D14" s="13">
        <v>60823.72</v>
      </c>
      <c r="E14" s="13">
        <v>63248.89</v>
      </c>
      <c r="F14" s="13">
        <v>65526.86</v>
      </c>
      <c r="G14" s="13">
        <v>66088.66</v>
      </c>
      <c r="H14" s="13">
        <v>64481.04</v>
      </c>
      <c r="I14" s="13">
        <v>453095.24999999994</v>
      </c>
      <c r="J14" s="14">
        <f t="shared" si="0"/>
        <v>0.9756747980667182</v>
      </c>
      <c r="K14" s="15">
        <f t="shared" si="1"/>
        <v>0.97822871621119534</v>
      </c>
      <c r="L14" s="10"/>
      <c r="N14" s="7"/>
      <c r="O14" s="1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</row>
    <row r="15" spans="1:78" s="11" customFormat="1" x14ac:dyDescent="0.2">
      <c r="A15" s="12" t="s">
        <v>27</v>
      </c>
      <c r="B15" s="13">
        <v>57725.52</v>
      </c>
      <c r="C15" s="13">
        <v>55473.13</v>
      </c>
      <c r="D15" s="13">
        <v>53091.53</v>
      </c>
      <c r="E15" s="13">
        <v>60391.45</v>
      </c>
      <c r="F15" s="13">
        <v>63778.16</v>
      </c>
      <c r="G15" s="13">
        <v>63337.49</v>
      </c>
      <c r="H15" s="13">
        <v>62526.66</v>
      </c>
      <c r="I15" s="13">
        <v>416323.94000000006</v>
      </c>
      <c r="J15" s="14">
        <f t="shared" si="0"/>
        <v>0.987198261250959</v>
      </c>
      <c r="K15" s="15">
        <f t="shared" si="1"/>
        <v>1.0795763810530823</v>
      </c>
      <c r="L15" s="10" t="s">
        <v>20</v>
      </c>
      <c r="N15" s="7"/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 spans="1:78" s="11" customFormat="1" x14ac:dyDescent="0.2">
      <c r="A16" s="12" t="s">
        <v>28</v>
      </c>
      <c r="B16" s="13">
        <v>60679.09</v>
      </c>
      <c r="C16" s="13">
        <v>57942.61</v>
      </c>
      <c r="D16" s="13">
        <v>61219.73</v>
      </c>
      <c r="E16" s="13">
        <v>57697.32</v>
      </c>
      <c r="F16" s="13">
        <v>60678.04</v>
      </c>
      <c r="G16" s="13">
        <v>58713.32</v>
      </c>
      <c r="H16" s="13">
        <v>57974.62</v>
      </c>
      <c r="I16" s="13">
        <v>414904.73</v>
      </c>
      <c r="J16" s="14">
        <f t="shared" si="0"/>
        <v>0.98741852785705186</v>
      </c>
      <c r="K16" s="15">
        <f t="shared" si="1"/>
        <v>0.89068933730544275</v>
      </c>
      <c r="L16" s="10" t="s">
        <v>20</v>
      </c>
      <c r="N16" s="7"/>
      <c r="O16" s="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 spans="1:78" s="11" customFormat="1" x14ac:dyDescent="0.2">
      <c r="A17" s="12" t="s">
        <v>29</v>
      </c>
      <c r="B17" s="13">
        <v>78534.149999999994</v>
      </c>
      <c r="C17" s="13">
        <v>75939.83</v>
      </c>
      <c r="D17" s="13">
        <v>70724.070000000007</v>
      </c>
      <c r="E17" s="13">
        <v>66143.3</v>
      </c>
      <c r="F17" s="13">
        <v>60488.97</v>
      </c>
      <c r="G17" s="13">
        <v>61029.61</v>
      </c>
      <c r="H17" s="13">
        <v>65467.29</v>
      </c>
      <c r="I17" s="13">
        <v>478327.21999999991</v>
      </c>
      <c r="J17" s="14">
        <f t="shared" si="0"/>
        <v>1.0727135565834356</v>
      </c>
      <c r="K17" s="15">
        <f t="shared" si="1"/>
        <v>0.83058598617872614</v>
      </c>
      <c r="L17" s="10"/>
      <c r="N17" s="7"/>
      <c r="O17" s="1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11" customFormat="1" x14ac:dyDescent="0.2">
      <c r="A18" s="12" t="s">
        <v>30</v>
      </c>
      <c r="B18" s="13">
        <v>75885.42</v>
      </c>
      <c r="C18" s="13">
        <v>73755.149999999994</v>
      </c>
      <c r="D18" s="13">
        <v>68840.98</v>
      </c>
      <c r="E18" s="13">
        <v>75563.55</v>
      </c>
      <c r="F18" s="13">
        <v>77350.929999999993</v>
      </c>
      <c r="G18" s="13">
        <v>77678.929999999993</v>
      </c>
      <c r="H18" s="13">
        <v>74619.23</v>
      </c>
      <c r="I18" s="13">
        <v>523694.18999999994</v>
      </c>
      <c r="J18" s="14">
        <f t="shared" si="0"/>
        <v>0.96061094044421058</v>
      </c>
      <c r="K18" s="15">
        <f t="shared" si="1"/>
        <v>1.0208695652173914</v>
      </c>
      <c r="L18" s="10" t="s">
        <v>20</v>
      </c>
      <c r="M18" s="18"/>
      <c r="N18" s="7"/>
      <c r="O18" s="1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11" customFormat="1" x14ac:dyDescent="0.2">
      <c r="A19" s="12" t="s">
        <v>31</v>
      </c>
      <c r="B19" s="13">
        <v>57880.57</v>
      </c>
      <c r="C19" s="13">
        <v>51001.89</v>
      </c>
      <c r="D19" s="13">
        <v>53948.33</v>
      </c>
      <c r="E19" s="13">
        <v>55801.86</v>
      </c>
      <c r="F19" s="13">
        <v>58142.130000000005</v>
      </c>
      <c r="G19" s="13">
        <v>56854.789999999994</v>
      </c>
      <c r="H19" s="13">
        <v>53041.17</v>
      </c>
      <c r="I19" s="13">
        <v>386670.73999999993</v>
      </c>
      <c r="J19" s="14">
        <f t="shared" si="0"/>
        <v>0.93292350565361348</v>
      </c>
      <c r="K19" s="15">
        <f t="shared" si="1"/>
        <v>0.97074761466038173</v>
      </c>
      <c r="L19" s="10"/>
      <c r="N19" s="7"/>
      <c r="O19" s="1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11" customFormat="1" x14ac:dyDescent="0.2">
      <c r="A20" s="12" t="s">
        <v>32</v>
      </c>
      <c r="B20" s="13">
        <v>40162.33</v>
      </c>
      <c r="C20" s="13">
        <v>83364.73</v>
      </c>
      <c r="D20" s="13">
        <v>58398.52</v>
      </c>
      <c r="E20" s="13">
        <v>47903.97</v>
      </c>
      <c r="F20" s="13">
        <v>81554.080000000002</v>
      </c>
      <c r="G20" s="13">
        <v>56377.56</v>
      </c>
      <c r="H20" s="13">
        <v>67244.69</v>
      </c>
      <c r="I20" s="13">
        <v>435005.88</v>
      </c>
      <c r="J20" s="14">
        <f t="shared" si="0"/>
        <v>1.1927563023302179</v>
      </c>
      <c r="K20" s="15">
        <f t="shared" si="1"/>
        <v>0.97839577640902142</v>
      </c>
      <c r="L20" s="10" t="s">
        <v>20</v>
      </c>
      <c r="N20" s="7"/>
      <c r="O20" s="1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11" customFormat="1" x14ac:dyDescent="0.2">
      <c r="A21" s="12" t="s">
        <v>33</v>
      </c>
      <c r="B21" s="13">
        <v>57486.720000000001</v>
      </c>
      <c r="C21" s="13">
        <v>56319.81</v>
      </c>
      <c r="D21" s="13">
        <v>54631.88</v>
      </c>
      <c r="E21" s="13">
        <v>62605.83</v>
      </c>
      <c r="F21" s="13">
        <v>61209.94</v>
      </c>
      <c r="G21" s="13">
        <v>63755.4</v>
      </c>
      <c r="H21" s="13">
        <v>63031.57</v>
      </c>
      <c r="I21" s="13">
        <v>419041.15</v>
      </c>
      <c r="J21" s="14">
        <f t="shared" si="0"/>
        <v>0.98864676560730536</v>
      </c>
      <c r="K21" s="15">
        <f t="shared" si="1"/>
        <v>1.0497769312068599</v>
      </c>
      <c r="L21" s="10" t="s">
        <v>20</v>
      </c>
      <c r="N21" s="7"/>
      <c r="O21" s="1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11" customFormat="1" x14ac:dyDescent="0.2">
      <c r="A22" s="12" t="s">
        <v>34</v>
      </c>
      <c r="B22" s="13">
        <v>76481.009999999995</v>
      </c>
      <c r="C22" s="13">
        <v>76126.850000000006</v>
      </c>
      <c r="D22" s="13">
        <v>70340.76999999999</v>
      </c>
      <c r="E22" s="13">
        <v>77320.25</v>
      </c>
      <c r="F22" s="13">
        <v>84431.73</v>
      </c>
      <c r="G22" s="13">
        <v>82504.56</v>
      </c>
      <c r="H22" s="13">
        <v>83093.97</v>
      </c>
      <c r="I22" s="13">
        <v>550299.14</v>
      </c>
      <c r="J22" s="14">
        <f t="shared" si="0"/>
        <v>1.0071439687697261</v>
      </c>
      <c r="K22" s="15">
        <f t="shared" si="1"/>
        <v>1.0473751400793003</v>
      </c>
      <c r="L22" s="10" t="s">
        <v>20</v>
      </c>
      <c r="N22" s="7"/>
      <c r="O22" s="1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19" customFormat="1" x14ac:dyDescent="0.2">
      <c r="A23" s="12" t="s">
        <v>35</v>
      </c>
      <c r="B23" s="13">
        <v>73063.56</v>
      </c>
      <c r="C23" s="13">
        <v>72464.3</v>
      </c>
      <c r="D23" s="13">
        <v>66737.960000000006</v>
      </c>
      <c r="E23" s="13">
        <v>72377.409999999989</v>
      </c>
      <c r="F23" s="13">
        <v>82179.62000000001</v>
      </c>
      <c r="G23" s="13">
        <v>82229.930000000008</v>
      </c>
      <c r="H23" s="13">
        <v>77832.23</v>
      </c>
      <c r="I23" s="13">
        <v>526885.01</v>
      </c>
      <c r="J23" s="14">
        <f t="shared" si="0"/>
        <v>0.94651947289752025</v>
      </c>
      <c r="K23" s="15">
        <f t="shared" si="1"/>
        <v>1.1371220977950247</v>
      </c>
      <c r="L23" s="10" t="s">
        <v>20</v>
      </c>
      <c r="N23" s="20"/>
      <c r="O23" s="16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</row>
    <row r="24" spans="1:78" s="11" customFormat="1" x14ac:dyDescent="0.2">
      <c r="A24" s="12" t="s">
        <v>36</v>
      </c>
      <c r="B24" s="13">
        <v>52459.95</v>
      </c>
      <c r="C24" s="13">
        <v>52127.69</v>
      </c>
      <c r="D24" s="13">
        <v>50654.33</v>
      </c>
      <c r="E24" s="13">
        <v>51714.55</v>
      </c>
      <c r="F24" s="13">
        <v>39841.869999999995</v>
      </c>
      <c r="G24" s="13">
        <v>39925.03</v>
      </c>
      <c r="H24" s="13">
        <v>38273.160000000003</v>
      </c>
      <c r="I24" s="13">
        <v>324996.58000000007</v>
      </c>
      <c r="J24" s="14">
        <f t="shared" si="0"/>
        <v>0.95862570422614601</v>
      </c>
      <c r="K24" s="15">
        <f t="shared" si="1"/>
        <v>0.7417076087861173</v>
      </c>
      <c r="L24" s="10"/>
      <c r="N24" s="7"/>
      <c r="O24" s="1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11" customFormat="1" x14ac:dyDescent="0.2">
      <c r="A25" s="12" t="s">
        <v>37</v>
      </c>
      <c r="B25" s="13">
        <v>46694.559999999998</v>
      </c>
      <c r="C25" s="13">
        <v>50760.820000000007</v>
      </c>
      <c r="D25" s="13">
        <v>46171.95</v>
      </c>
      <c r="E25" s="13">
        <v>54420.33</v>
      </c>
      <c r="F25" s="13">
        <v>56697.21</v>
      </c>
      <c r="G25" s="13">
        <v>58685.74</v>
      </c>
      <c r="H25" s="13">
        <v>54193.799999999996</v>
      </c>
      <c r="I25" s="13">
        <v>367624.41000000003</v>
      </c>
      <c r="J25" s="14">
        <f t="shared" si="0"/>
        <v>0.92345772584617658</v>
      </c>
      <c r="K25" s="15">
        <f t="shared" si="1"/>
        <v>1.0240053702671408</v>
      </c>
      <c r="L25" s="10" t="s">
        <v>20</v>
      </c>
      <c r="N25" s="7"/>
      <c r="O25" s="1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11" customFormat="1" x14ac:dyDescent="0.2">
      <c r="A26" s="12" t="s">
        <v>38</v>
      </c>
      <c r="B26" s="13">
        <v>60725.83</v>
      </c>
      <c r="C26" s="13">
        <v>59373.34</v>
      </c>
      <c r="D26" s="13">
        <v>57948.04</v>
      </c>
      <c r="E26" s="13">
        <v>63271.3</v>
      </c>
      <c r="F26" s="13">
        <v>67387.399999999994</v>
      </c>
      <c r="G26" s="13">
        <v>68234.09</v>
      </c>
      <c r="H26" s="13">
        <v>63836.52</v>
      </c>
      <c r="I26" s="13">
        <v>440776.52</v>
      </c>
      <c r="J26" s="14">
        <f t="shared" si="0"/>
        <v>0.93555171615830157</v>
      </c>
      <c r="K26" s="15">
        <f t="shared" si="1"/>
        <v>1.0695663112600831</v>
      </c>
      <c r="L26" s="10" t="s">
        <v>20</v>
      </c>
      <c r="N26" s="7"/>
      <c r="O26" s="1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11" customFormat="1" x14ac:dyDescent="0.2">
      <c r="A27" s="12" t="s">
        <v>39</v>
      </c>
      <c r="B27" s="13">
        <v>68164.53</v>
      </c>
      <c r="C27" s="13">
        <v>62895.429999999993</v>
      </c>
      <c r="D27" s="13">
        <v>58711.35</v>
      </c>
      <c r="E27" s="13">
        <v>64396.32</v>
      </c>
      <c r="F27" s="13">
        <v>67372.459999999992</v>
      </c>
      <c r="G27" s="13">
        <v>68120.22</v>
      </c>
      <c r="H27" s="13">
        <v>64915.68</v>
      </c>
      <c r="I27" s="13">
        <v>454575.98999999993</v>
      </c>
      <c r="J27" s="14">
        <f t="shared" si="0"/>
        <v>0.95295757999607167</v>
      </c>
      <c r="K27" s="15">
        <f t="shared" si="1"/>
        <v>0.95688819575174655</v>
      </c>
      <c r="L27" s="10"/>
      <c r="N27" s="7"/>
      <c r="O27" s="1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11" customFormat="1" x14ac:dyDescent="0.2">
      <c r="A28" s="12" t="s">
        <v>40</v>
      </c>
      <c r="B28" s="13">
        <v>66161.86</v>
      </c>
      <c r="C28" s="13">
        <v>65721.569999999992</v>
      </c>
      <c r="D28" s="13">
        <v>57027.49</v>
      </c>
      <c r="E28" s="13">
        <v>63222.2</v>
      </c>
      <c r="F28" s="13">
        <v>61318.020000000004</v>
      </c>
      <c r="G28" s="13">
        <v>63587.46</v>
      </c>
      <c r="H28" s="13">
        <v>59637.19</v>
      </c>
      <c r="I28" s="13">
        <v>436675.79000000004</v>
      </c>
      <c r="J28" s="14">
        <f t="shared" si="0"/>
        <v>0.93787658761648918</v>
      </c>
      <c r="K28" s="15">
        <f t="shared" si="1"/>
        <v>1.1605387089213537</v>
      </c>
      <c r="L28" s="10" t="s">
        <v>20</v>
      </c>
      <c r="N28" s="7"/>
      <c r="O28" s="1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11" customFormat="1" x14ac:dyDescent="0.2">
      <c r="A29" s="12" t="s">
        <v>41</v>
      </c>
      <c r="B29" s="13">
        <v>64262.29</v>
      </c>
      <c r="C29" s="13">
        <v>61707.68</v>
      </c>
      <c r="D29" s="13">
        <v>58007.25</v>
      </c>
      <c r="E29" s="13">
        <v>65877.149999999994</v>
      </c>
      <c r="F29" s="13">
        <v>69123.91</v>
      </c>
      <c r="G29" s="13">
        <v>68046.960000000006</v>
      </c>
      <c r="H29" s="13">
        <v>64397.3</v>
      </c>
      <c r="I29" s="13">
        <v>451422.54000000004</v>
      </c>
      <c r="J29" s="14">
        <f t="shared" si="0"/>
        <v>0.94636556871901401</v>
      </c>
      <c r="K29" s="15">
        <f t="shared" si="1"/>
        <v>0.94838818480460318</v>
      </c>
      <c r="L29" s="10"/>
      <c r="N29" s="7"/>
      <c r="O29" s="1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11" customFormat="1" x14ac:dyDescent="0.2">
      <c r="A30" s="12" t="s">
        <v>42</v>
      </c>
      <c r="B30" s="13">
        <v>54091.24</v>
      </c>
      <c r="C30" s="13">
        <v>56853.81</v>
      </c>
      <c r="D30" s="13">
        <v>51245.16</v>
      </c>
      <c r="E30" s="13">
        <v>59258.16</v>
      </c>
      <c r="F30" s="13">
        <v>58591.65</v>
      </c>
      <c r="G30" s="13">
        <v>61445.42</v>
      </c>
      <c r="H30" s="13">
        <v>56660.99</v>
      </c>
      <c r="I30" s="13">
        <v>398146.43</v>
      </c>
      <c r="J30" s="14">
        <f t="shared" si="0"/>
        <v>0.92213528689363666</v>
      </c>
      <c r="K30" s="15">
        <f t="shared" si="1"/>
        <v>0.94378476828984637</v>
      </c>
      <c r="L30" s="10"/>
      <c r="N30" s="7"/>
      <c r="O30" s="1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11" customFormat="1" x14ac:dyDescent="0.2">
      <c r="A31" s="12" t="s">
        <v>43</v>
      </c>
      <c r="B31" s="13">
        <v>50846.84</v>
      </c>
      <c r="C31" s="13">
        <v>49001.51</v>
      </c>
      <c r="D31" s="13">
        <v>45461.78</v>
      </c>
      <c r="E31" s="13">
        <v>53002.59</v>
      </c>
      <c r="F31" s="13">
        <v>51807.5</v>
      </c>
      <c r="G31" s="13">
        <v>53761.37</v>
      </c>
      <c r="H31" s="13">
        <v>51780.04</v>
      </c>
      <c r="I31" s="13">
        <v>355661.63</v>
      </c>
      <c r="J31" s="14">
        <f t="shared" si="0"/>
        <v>0.96314584245155954</v>
      </c>
      <c r="K31" s="15">
        <f t="shared" si="1"/>
        <v>0.98202942963087414</v>
      </c>
      <c r="L31" s="10"/>
      <c r="N31" s="7"/>
      <c r="O31" s="1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11" customFormat="1" x14ac:dyDescent="0.2">
      <c r="A32" s="12" t="s">
        <v>44</v>
      </c>
      <c r="B32" s="13">
        <v>65077.85</v>
      </c>
      <c r="C32" s="13">
        <v>64940.13</v>
      </c>
      <c r="D32" s="13">
        <v>56630.9</v>
      </c>
      <c r="E32" s="13">
        <v>65425.64</v>
      </c>
      <c r="F32" s="13">
        <v>71949.570000000007</v>
      </c>
      <c r="G32" s="13">
        <v>70970.66</v>
      </c>
      <c r="H32" s="13">
        <v>65578.97</v>
      </c>
      <c r="I32" s="13">
        <v>460573.72</v>
      </c>
      <c r="J32" s="14">
        <f t="shared" si="0"/>
        <v>0.92402931014027478</v>
      </c>
      <c r="K32" s="15">
        <f t="shared" si="1"/>
        <v>1.0982609930216387</v>
      </c>
      <c r="L32" s="10" t="s">
        <v>20</v>
      </c>
      <c r="N32" s="7"/>
      <c r="O32" s="1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11" customFormat="1" x14ac:dyDescent="0.2">
      <c r="A33" s="12" t="s">
        <v>45</v>
      </c>
      <c r="B33" s="13">
        <v>70986.319999999992</v>
      </c>
      <c r="C33" s="13">
        <v>68115.91</v>
      </c>
      <c r="D33" s="13">
        <v>61519.56</v>
      </c>
      <c r="E33" s="13">
        <v>66693.98</v>
      </c>
      <c r="F33" s="13">
        <v>73573.75</v>
      </c>
      <c r="G33" s="13">
        <v>73570.91</v>
      </c>
      <c r="H33" s="13">
        <v>69085.16</v>
      </c>
      <c r="I33" s="13">
        <v>483545.58999999997</v>
      </c>
      <c r="J33" s="14">
        <f t="shared" si="0"/>
        <v>0.9390282110143805</v>
      </c>
      <c r="K33" s="15">
        <f t="shared" si="1"/>
        <v>0.94398526144453321</v>
      </c>
      <c r="L33" s="10"/>
      <c r="N33" s="7"/>
      <c r="O33" s="1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11" customFormat="1" x14ac:dyDescent="0.2">
      <c r="A34" s="12" t="s">
        <v>46</v>
      </c>
      <c r="B34" s="13">
        <v>83878.759999999995</v>
      </c>
      <c r="C34" s="13">
        <v>77785.590000000011</v>
      </c>
      <c r="D34" s="13">
        <v>69368.070000000007</v>
      </c>
      <c r="E34" s="13">
        <v>80993.960000000006</v>
      </c>
      <c r="F34" s="13">
        <v>91094.73</v>
      </c>
      <c r="G34" s="13">
        <v>86790.940000000017</v>
      </c>
      <c r="H34" s="13">
        <v>82240.28</v>
      </c>
      <c r="I34" s="13">
        <v>572152.32999999996</v>
      </c>
      <c r="J34" s="14">
        <f t="shared" si="0"/>
        <v>0.94756756868862102</v>
      </c>
      <c r="K34" s="15">
        <f t="shared" si="1"/>
        <v>1.0760062862824338</v>
      </c>
      <c r="L34" s="10" t="s">
        <v>20</v>
      </c>
      <c r="N34" s="7"/>
      <c r="O34" s="1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11" customFormat="1" x14ac:dyDescent="0.2">
      <c r="A35" s="12" t="s">
        <v>47</v>
      </c>
      <c r="B35" s="13">
        <v>58469.929999999993</v>
      </c>
      <c r="C35" s="13">
        <v>53726.38</v>
      </c>
      <c r="D35" s="13">
        <v>51349.48</v>
      </c>
      <c r="E35" s="13">
        <v>57726.590000000004</v>
      </c>
      <c r="F35" s="13">
        <v>56476.33</v>
      </c>
      <c r="G35" s="13">
        <v>59546.81</v>
      </c>
      <c r="H35" s="13">
        <v>57262.31</v>
      </c>
      <c r="I35" s="13">
        <v>394557.83</v>
      </c>
      <c r="J35" s="14">
        <f t="shared" si="0"/>
        <v>0.96163522445618832</v>
      </c>
      <c r="K35" s="15">
        <f t="shared" si="1"/>
        <v>1.0655702391347623</v>
      </c>
      <c r="L35" s="10" t="s">
        <v>20</v>
      </c>
      <c r="N35" s="7"/>
      <c r="O35" s="1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11" customFormat="1" x14ac:dyDescent="0.2">
      <c r="A36" s="12" t="s">
        <v>48</v>
      </c>
      <c r="B36" s="13">
        <v>68154.86</v>
      </c>
      <c r="C36" s="13">
        <v>65187.1</v>
      </c>
      <c r="D36" s="13">
        <v>59027.93</v>
      </c>
      <c r="E36" s="13">
        <v>66330.23</v>
      </c>
      <c r="F36" s="13">
        <v>67771.22</v>
      </c>
      <c r="G36" s="13">
        <v>72393.8</v>
      </c>
      <c r="H36" s="13">
        <v>67376.98</v>
      </c>
      <c r="I36" s="13">
        <v>466242.11999999994</v>
      </c>
      <c r="J36" s="14">
        <f t="shared" si="0"/>
        <v>0.93070097163016718</v>
      </c>
      <c r="K36" s="15">
        <f t="shared" si="1"/>
        <v>0.97345176532101374</v>
      </c>
      <c r="L36" s="10"/>
      <c r="N36" s="7"/>
      <c r="O36" s="1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11" customFormat="1" x14ac:dyDescent="0.2">
      <c r="A37" s="21" t="s">
        <v>49</v>
      </c>
      <c r="B37" s="13">
        <v>68091.34</v>
      </c>
      <c r="C37" s="13">
        <v>70817.87</v>
      </c>
      <c r="D37" s="13">
        <v>66810.64</v>
      </c>
      <c r="E37" s="13">
        <v>73071.92</v>
      </c>
      <c r="F37" s="13">
        <v>81029.48</v>
      </c>
      <c r="G37" s="13">
        <v>78553.41</v>
      </c>
      <c r="H37" s="13">
        <v>74575.88</v>
      </c>
      <c r="I37" s="13">
        <v>512950.53999999992</v>
      </c>
      <c r="J37" s="14">
        <f t="shared" si="0"/>
        <v>0.9493652789866156</v>
      </c>
      <c r="K37" s="15">
        <f t="shared" si="1"/>
        <v>1.1029673655515182</v>
      </c>
      <c r="L37" s="10" t="s">
        <v>20</v>
      </c>
      <c r="N37" s="7"/>
      <c r="O37" s="1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11" customFormat="1" x14ac:dyDescent="0.2">
      <c r="A38" s="12" t="s">
        <v>50</v>
      </c>
      <c r="B38" s="13">
        <v>44590.95</v>
      </c>
      <c r="C38" s="13">
        <v>42434.22</v>
      </c>
      <c r="D38" s="13">
        <v>39096.959999999999</v>
      </c>
      <c r="E38" s="13">
        <v>40430.6</v>
      </c>
      <c r="F38" s="13">
        <v>41069.269999999997</v>
      </c>
      <c r="G38" s="13">
        <v>41614</v>
      </c>
      <c r="H38" s="13">
        <v>39663.67</v>
      </c>
      <c r="I38" s="13">
        <v>288899.67</v>
      </c>
      <c r="J38" s="14">
        <f t="shared" si="0"/>
        <v>0.9531328399096457</v>
      </c>
      <c r="K38" s="15">
        <f t="shared" si="1"/>
        <v>0.88034188034188032</v>
      </c>
      <c r="L38" s="10" t="s">
        <v>20</v>
      </c>
      <c r="N38" s="7"/>
      <c r="O38" s="1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11" customFormat="1" x14ac:dyDescent="0.2">
      <c r="A39" s="12" t="s">
        <v>51</v>
      </c>
      <c r="B39" s="13">
        <v>66000.070000000007</v>
      </c>
      <c r="C39" s="13">
        <v>63458</v>
      </c>
      <c r="D39" s="13">
        <v>56924.6</v>
      </c>
      <c r="E39" s="13">
        <v>64284.480000000003</v>
      </c>
      <c r="F39" s="13">
        <v>68905.31</v>
      </c>
      <c r="G39" s="13">
        <v>72564.75</v>
      </c>
      <c r="H39" s="13">
        <v>69154.759999999995</v>
      </c>
      <c r="I39" s="13">
        <v>461291.97000000003</v>
      </c>
      <c r="J39" s="14">
        <f t="shared" si="0"/>
        <v>0.95300762422526086</v>
      </c>
      <c r="K39" s="15">
        <f t="shared" si="1"/>
        <v>1.1133195014234947</v>
      </c>
      <c r="L39" s="10" t="s">
        <v>20</v>
      </c>
      <c r="N39" s="7"/>
      <c r="O39" s="1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11" customFormat="1" x14ac:dyDescent="0.2">
      <c r="A40" s="12" t="s">
        <v>52</v>
      </c>
      <c r="B40" s="13">
        <v>80718.61</v>
      </c>
      <c r="C40" s="13">
        <v>79516.02</v>
      </c>
      <c r="D40" s="13">
        <v>72878.81</v>
      </c>
      <c r="E40" s="13">
        <v>87674.37</v>
      </c>
      <c r="F40" s="13">
        <v>96271.4</v>
      </c>
      <c r="G40" s="13">
        <v>89171.66</v>
      </c>
      <c r="H40" s="13">
        <v>76615.509999999995</v>
      </c>
      <c r="I40" s="13">
        <v>582846.38</v>
      </c>
      <c r="J40" s="14">
        <f t="shared" si="0"/>
        <v>0.85919124977599381</v>
      </c>
      <c r="K40" s="15">
        <f t="shared" si="1"/>
        <v>0.93433408063060663</v>
      </c>
      <c r="L40" s="10"/>
      <c r="N40" s="7"/>
      <c r="O40" s="1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11" customFormat="1" x14ac:dyDescent="0.2">
      <c r="A41" s="12" t="s">
        <v>53</v>
      </c>
      <c r="B41" s="13">
        <v>89265.919999999998</v>
      </c>
      <c r="C41" s="13">
        <v>88486.13</v>
      </c>
      <c r="D41" s="13">
        <v>81194.570000000007</v>
      </c>
      <c r="E41" s="13">
        <v>81945.919999999998</v>
      </c>
      <c r="F41" s="13">
        <v>85395.34</v>
      </c>
      <c r="G41" s="13">
        <v>82668.820000000007</v>
      </c>
      <c r="H41" s="13">
        <v>85620.21</v>
      </c>
      <c r="I41" s="13">
        <v>594576.91</v>
      </c>
      <c r="J41" s="14">
        <f t="shared" si="0"/>
        <v>1.0357013684240322</v>
      </c>
      <c r="K41" s="15">
        <f t="shared" si="1"/>
        <v>0.86363536644543115</v>
      </c>
      <c r="L41" s="7"/>
      <c r="N41" s="7"/>
      <c r="O41" s="1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11" customFormat="1" x14ac:dyDescent="0.2">
      <c r="A42" s="12" t="s">
        <v>54</v>
      </c>
      <c r="B42" s="13">
        <v>45553.32</v>
      </c>
      <c r="C42" s="13">
        <v>43636.79</v>
      </c>
      <c r="D42" s="13">
        <v>39721.42</v>
      </c>
      <c r="E42" s="13">
        <v>44692.619999999995</v>
      </c>
      <c r="F42" s="13">
        <v>45925.47</v>
      </c>
      <c r="G42" s="13">
        <v>46876.93</v>
      </c>
      <c r="H42" s="13">
        <v>47272.33</v>
      </c>
      <c r="I42" s="13">
        <v>313678.88</v>
      </c>
      <c r="J42" s="14">
        <f t="shared" si="0"/>
        <v>1.0084348527089979</v>
      </c>
      <c r="K42" s="15">
        <f t="shared" si="1"/>
        <v>0.97994736839148111</v>
      </c>
      <c r="L42" s="10" t="s">
        <v>20</v>
      </c>
      <c r="N42" s="7"/>
      <c r="O42" s="1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11" customFormat="1" x14ac:dyDescent="0.2">
      <c r="A43" s="12" t="s">
        <v>55</v>
      </c>
      <c r="B43" s="13">
        <v>46941.95</v>
      </c>
      <c r="C43" s="13">
        <v>44988.43</v>
      </c>
      <c r="D43" s="13">
        <v>40702.86</v>
      </c>
      <c r="E43" s="13">
        <v>46879.35</v>
      </c>
      <c r="F43" s="13">
        <v>54242.63</v>
      </c>
      <c r="G43" s="13">
        <v>47934.1</v>
      </c>
      <c r="H43" s="13">
        <v>46462.58</v>
      </c>
      <c r="I43" s="13">
        <v>328151.90000000002</v>
      </c>
      <c r="J43" s="14">
        <f t="shared" si="0"/>
        <v>0.96930118642052321</v>
      </c>
      <c r="K43" s="15">
        <f t="shared" si="1"/>
        <v>1.0464076021525957</v>
      </c>
      <c r="L43" s="10" t="s">
        <v>20</v>
      </c>
      <c r="N43" s="7"/>
      <c r="O43" s="1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11" customFormat="1" x14ac:dyDescent="0.2">
      <c r="A44" s="12" t="s">
        <v>56</v>
      </c>
      <c r="B44" s="13">
        <v>59579.909999999996</v>
      </c>
      <c r="C44" s="13">
        <v>54545.86</v>
      </c>
      <c r="D44" s="13">
        <v>49014.28</v>
      </c>
      <c r="E44" s="13">
        <v>54458.2</v>
      </c>
      <c r="F44" s="13">
        <v>59144.51</v>
      </c>
      <c r="G44" s="13">
        <v>56311.54</v>
      </c>
      <c r="H44" s="13">
        <v>57171.29</v>
      </c>
      <c r="I44" s="13">
        <v>390225.58999999997</v>
      </c>
      <c r="J44" s="14">
        <f t="shared" si="0"/>
        <v>1.0152677408573803</v>
      </c>
      <c r="K44" s="15">
        <f t="shared" si="1"/>
        <v>1.0476142414414253</v>
      </c>
      <c r="L44" s="10" t="s">
        <v>20</v>
      </c>
      <c r="N44" s="7"/>
      <c r="O44" s="1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19" customFormat="1" x14ac:dyDescent="0.2">
      <c r="A45" s="12" t="s">
        <v>57</v>
      </c>
      <c r="B45" s="13">
        <v>70418.86</v>
      </c>
      <c r="C45" s="13">
        <v>70399.58</v>
      </c>
      <c r="D45" s="13">
        <v>70119.900000000009</v>
      </c>
      <c r="E45" s="13">
        <v>92814.069999999992</v>
      </c>
      <c r="F45" s="13">
        <v>84742.48</v>
      </c>
      <c r="G45" s="13">
        <v>85947.839999999997</v>
      </c>
      <c r="H45" s="13">
        <v>78251.009999999995</v>
      </c>
      <c r="I45" s="13">
        <v>552693.74</v>
      </c>
      <c r="J45" s="14">
        <f t="shared" si="0"/>
        <v>0.91044766221001017</v>
      </c>
      <c r="K45" s="15">
        <f t="shared" si="1"/>
        <v>1.1126841143031052</v>
      </c>
      <c r="L45" s="10" t="s">
        <v>20</v>
      </c>
      <c r="N45" s="7"/>
      <c r="O45" s="1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11" customFormat="1" x14ac:dyDescent="0.2">
      <c r="A46" s="12" t="s">
        <v>58</v>
      </c>
      <c r="B46" s="13">
        <v>55913.1</v>
      </c>
      <c r="C46" s="13">
        <v>51588.4</v>
      </c>
      <c r="D46" s="13">
        <v>46227.5</v>
      </c>
      <c r="E46" s="13">
        <v>61579.08</v>
      </c>
      <c r="F46" s="13">
        <v>59373</v>
      </c>
      <c r="G46" s="13">
        <v>62406.42</v>
      </c>
      <c r="H46" s="13">
        <v>54296.240000000005</v>
      </c>
      <c r="I46" s="13">
        <v>391383.74</v>
      </c>
      <c r="J46" s="14">
        <f t="shared" si="0"/>
        <v>0.87004253729023406</v>
      </c>
      <c r="K46" s="15">
        <f t="shared" si="1"/>
        <v>0.86547314368043715</v>
      </c>
      <c r="L46" s="10"/>
      <c r="N46" s="7"/>
      <c r="O46" s="1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11" customFormat="1" x14ac:dyDescent="0.2">
      <c r="A47" s="12" t="s">
        <v>59</v>
      </c>
      <c r="B47" s="13">
        <v>68618.02</v>
      </c>
      <c r="C47" s="13">
        <v>63581.120000000003</v>
      </c>
      <c r="D47" s="13">
        <v>58681.38</v>
      </c>
      <c r="E47" s="13">
        <v>67002.66</v>
      </c>
      <c r="F47" s="13">
        <v>73012.81</v>
      </c>
      <c r="G47" s="13">
        <v>75675.73000000001</v>
      </c>
      <c r="H47" s="13">
        <v>75255.64</v>
      </c>
      <c r="I47" s="13">
        <v>481827.36</v>
      </c>
      <c r="J47" s="14">
        <f t="shared" si="0"/>
        <v>0.99444881469924362</v>
      </c>
      <c r="K47" s="15">
        <f t="shared" si="1"/>
        <v>1.128654970760234</v>
      </c>
      <c r="L47" s="10" t="s">
        <v>20</v>
      </c>
      <c r="N47" s="7"/>
      <c r="O47" s="1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11" customFormat="1" x14ac:dyDescent="0.2">
      <c r="A48" s="12" t="s">
        <v>60</v>
      </c>
      <c r="B48" s="13">
        <v>66291.820000000007</v>
      </c>
      <c r="C48" s="13">
        <v>63642.17</v>
      </c>
      <c r="D48" s="13">
        <v>60172.21</v>
      </c>
      <c r="E48" s="13">
        <v>66895.44</v>
      </c>
      <c r="F48" s="13">
        <v>70716.75</v>
      </c>
      <c r="G48" s="13">
        <v>69872.679999999993</v>
      </c>
      <c r="H48" s="13">
        <v>68370.48</v>
      </c>
      <c r="I48" s="13">
        <v>465961.55</v>
      </c>
      <c r="J48" s="14">
        <f t="shared" si="0"/>
        <v>0.97850089620149105</v>
      </c>
      <c r="K48" s="15">
        <f t="shared" si="1"/>
        <v>1.0028429989175713</v>
      </c>
      <c r="L48" s="10" t="s">
        <v>20</v>
      </c>
      <c r="N48" s="7"/>
      <c r="O48" s="1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11" customFormat="1" x14ac:dyDescent="0.2">
      <c r="A49" s="12" t="s">
        <v>61</v>
      </c>
      <c r="B49" s="13">
        <v>50639.15</v>
      </c>
      <c r="C49" s="13">
        <v>54406.820000000007</v>
      </c>
      <c r="D49" s="13">
        <v>45528.89</v>
      </c>
      <c r="E49" s="13">
        <v>51227</v>
      </c>
      <c r="F49" s="13">
        <v>50993.03</v>
      </c>
      <c r="G49" s="13">
        <v>55491.79</v>
      </c>
      <c r="H49" s="13">
        <v>55104.17</v>
      </c>
      <c r="I49" s="13">
        <v>363390.85</v>
      </c>
      <c r="J49" s="14">
        <f t="shared" si="0"/>
        <v>0.99301482255302986</v>
      </c>
      <c r="K49" s="15">
        <f t="shared" si="1"/>
        <v>1.0423443769003706</v>
      </c>
      <c r="L49" s="10" t="s">
        <v>20</v>
      </c>
      <c r="N49" s="7"/>
      <c r="O49" s="1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11" customFormat="1" x14ac:dyDescent="0.2">
      <c r="A50" s="12" t="s">
        <v>62</v>
      </c>
      <c r="B50" s="13">
        <v>66464.75</v>
      </c>
      <c r="C50" s="13">
        <v>52828.91</v>
      </c>
      <c r="D50" s="13">
        <v>48128.75</v>
      </c>
      <c r="E50" s="13">
        <v>52976.51</v>
      </c>
      <c r="F50" s="13">
        <v>57507.360000000001</v>
      </c>
      <c r="G50" s="13">
        <v>60939.61</v>
      </c>
      <c r="H50" s="13">
        <v>61581.37</v>
      </c>
      <c r="I50" s="13">
        <v>400427.26</v>
      </c>
      <c r="J50" s="14">
        <f t="shared" si="0"/>
        <v>1.0105310815083983</v>
      </c>
      <c r="K50" s="15">
        <f t="shared" si="1"/>
        <v>1.0200135130910502</v>
      </c>
      <c r="L50" s="10" t="s">
        <v>20</v>
      </c>
      <c r="N50" s="7"/>
      <c r="O50" s="1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11" customFormat="1" x14ac:dyDescent="0.2">
      <c r="A51" s="12" t="s">
        <v>63</v>
      </c>
      <c r="B51" s="13">
        <v>59945.95</v>
      </c>
      <c r="C51" s="13">
        <v>59160.43</v>
      </c>
      <c r="D51" s="13">
        <v>54116.69</v>
      </c>
      <c r="E51" s="13">
        <v>60299.43</v>
      </c>
      <c r="F51" s="13">
        <v>63051.55</v>
      </c>
      <c r="G51" s="13">
        <v>64816.69</v>
      </c>
      <c r="H51" s="13">
        <v>59375.65</v>
      </c>
      <c r="I51" s="13">
        <v>420766.39</v>
      </c>
      <c r="J51" s="14">
        <f t="shared" si="0"/>
        <v>0.91605495436437745</v>
      </c>
      <c r="K51" s="15">
        <f t="shared" si="1"/>
        <v>0.93401895876245145</v>
      </c>
      <c r="L51" s="10"/>
      <c r="N51" s="7"/>
      <c r="O51" s="1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11" customFormat="1" x14ac:dyDescent="0.2">
      <c r="A52" s="12" t="s">
        <v>64</v>
      </c>
      <c r="B52" s="13">
        <v>78182.680000000008</v>
      </c>
      <c r="C52" s="13">
        <v>69835.19</v>
      </c>
      <c r="D52" s="13">
        <v>65071.040000000001</v>
      </c>
      <c r="E52" s="13">
        <v>73468.070000000007</v>
      </c>
      <c r="F52" s="13">
        <v>74816.479999999996</v>
      </c>
      <c r="G52" s="13">
        <v>74774.62</v>
      </c>
      <c r="H52" s="13">
        <v>69629.08</v>
      </c>
      <c r="I52" s="13">
        <v>505777.16</v>
      </c>
      <c r="J52" s="14">
        <f t="shared" si="0"/>
        <v>0.93118600937055929</v>
      </c>
      <c r="K52" s="15">
        <f t="shared" si="1"/>
        <v>1.0530442990588322</v>
      </c>
      <c r="L52" s="10" t="s">
        <v>20</v>
      </c>
      <c r="N52" s="7"/>
      <c r="O52" s="1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11" customFormat="1" x14ac:dyDescent="0.2">
      <c r="A53" s="12" t="s">
        <v>65</v>
      </c>
      <c r="B53" s="13">
        <v>61411.09</v>
      </c>
      <c r="C53" s="13">
        <v>60261.86</v>
      </c>
      <c r="D53" s="13">
        <v>53146.19</v>
      </c>
      <c r="E53" s="13">
        <v>61679.78</v>
      </c>
      <c r="F53" s="13">
        <v>64362.47</v>
      </c>
      <c r="G53" s="13">
        <v>64353.35</v>
      </c>
      <c r="H53" s="13">
        <v>58739.66</v>
      </c>
      <c r="I53" s="13">
        <v>423954.4</v>
      </c>
      <c r="J53" s="14">
        <f t="shared" si="0"/>
        <v>0.91276771139342405</v>
      </c>
      <c r="K53" s="15">
        <f t="shared" si="1"/>
        <v>0.97822977601432315</v>
      </c>
      <c r="L53" s="10"/>
      <c r="N53" s="7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11" customFormat="1" x14ac:dyDescent="0.2">
      <c r="A54" s="12" t="s">
        <v>66</v>
      </c>
      <c r="B54" s="13">
        <v>66047.12000000001</v>
      </c>
      <c r="C54" s="13">
        <v>60299.689999999995</v>
      </c>
      <c r="D54" s="13">
        <v>54650.080000000002</v>
      </c>
      <c r="E54" s="13">
        <v>61231.11</v>
      </c>
      <c r="F54" s="13">
        <v>65375.21</v>
      </c>
      <c r="G54" s="13">
        <v>66176.13</v>
      </c>
      <c r="H54" s="13">
        <v>60987.75</v>
      </c>
      <c r="I54" s="13">
        <v>434767.09</v>
      </c>
      <c r="J54" s="14">
        <f t="shared" si="0"/>
        <v>0.92159740982133587</v>
      </c>
      <c r="K54" s="15">
        <f t="shared" si="1"/>
        <v>0.92427926167964147</v>
      </c>
      <c r="L54" s="10"/>
      <c r="N54" s="7"/>
      <c r="O54" s="1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11" customFormat="1" x14ac:dyDescent="0.2">
      <c r="A55" s="12" t="s">
        <v>67</v>
      </c>
      <c r="B55" s="13">
        <v>55150.35</v>
      </c>
      <c r="C55" s="13">
        <v>52849.06</v>
      </c>
      <c r="D55" s="13">
        <v>46938.39</v>
      </c>
      <c r="E55" s="13">
        <v>54126.35</v>
      </c>
      <c r="F55" s="13">
        <v>66720.67</v>
      </c>
      <c r="G55" s="13">
        <v>57992.43</v>
      </c>
      <c r="H55" s="13">
        <v>51612.46</v>
      </c>
      <c r="I55" s="13">
        <v>385389.71</v>
      </c>
      <c r="J55" s="14">
        <f t="shared" si="0"/>
        <v>0.88998615853827812</v>
      </c>
      <c r="K55" s="15">
        <f t="shared" si="1"/>
        <v>0.95038655716041132</v>
      </c>
      <c r="L55" s="10"/>
      <c r="N55" s="7"/>
      <c r="O55" s="1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11" customFormat="1" x14ac:dyDescent="0.2">
      <c r="A56" s="12" t="s">
        <v>68</v>
      </c>
      <c r="B56" s="13">
        <v>88207.64</v>
      </c>
      <c r="C56" s="13">
        <v>85800.89</v>
      </c>
      <c r="D56" s="13">
        <v>54911.47</v>
      </c>
      <c r="E56" s="13">
        <v>86338.83</v>
      </c>
      <c r="F56" s="13">
        <v>66613.34</v>
      </c>
      <c r="G56" s="13">
        <v>67970.080000000002</v>
      </c>
      <c r="H56" s="13">
        <v>63841.32</v>
      </c>
      <c r="I56" s="13">
        <v>513683.57000000007</v>
      </c>
      <c r="J56" s="14">
        <f t="shared" si="0"/>
        <v>0.93925621391059122</v>
      </c>
      <c r="K56" s="15">
        <f t="shared" si="1"/>
        <v>0.85408658654974257</v>
      </c>
      <c r="L56" s="10"/>
      <c r="N56" s="7"/>
      <c r="O56" s="1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11" customFormat="1" x14ac:dyDescent="0.2">
      <c r="A57" s="12" t="s">
        <v>69</v>
      </c>
      <c r="B57" s="13">
        <v>56552.33</v>
      </c>
      <c r="C57" s="13">
        <v>54545.86</v>
      </c>
      <c r="D57" s="13">
        <v>47937.35</v>
      </c>
      <c r="E57" s="13">
        <v>52542.239999999998</v>
      </c>
      <c r="F57" s="13">
        <v>55165.74</v>
      </c>
      <c r="G57" s="13">
        <v>53352.82</v>
      </c>
      <c r="H57" s="13">
        <v>54737.94</v>
      </c>
      <c r="I57" s="13">
        <v>374834.28</v>
      </c>
      <c r="J57" s="14">
        <f t="shared" si="0"/>
        <v>1.0259615143117085</v>
      </c>
      <c r="K57" s="15">
        <f t="shared" si="1"/>
        <v>0.98729525058670076</v>
      </c>
      <c r="L57" s="10"/>
      <c r="N57" s="7"/>
      <c r="O57" s="1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11" customFormat="1" x14ac:dyDescent="0.2">
      <c r="A58" s="12" t="s">
        <v>70</v>
      </c>
      <c r="B58" s="13">
        <v>69938.63</v>
      </c>
      <c r="C58" s="13">
        <v>72483.179999999993</v>
      </c>
      <c r="D58" s="13">
        <v>64998.85</v>
      </c>
      <c r="E58" s="13">
        <v>72683</v>
      </c>
      <c r="F58" s="13">
        <v>79497.12000000001</v>
      </c>
      <c r="G58" s="13">
        <v>69693.19</v>
      </c>
      <c r="H58" s="13">
        <v>74574.44</v>
      </c>
      <c r="I58" s="13">
        <v>503868.41000000003</v>
      </c>
      <c r="J58" s="14">
        <f t="shared" si="0"/>
        <v>1.0700391243391212</v>
      </c>
      <c r="K58" s="15">
        <f t="shared" si="1"/>
        <v>1.0509375000000001</v>
      </c>
      <c r="L58" s="10" t="s">
        <v>20</v>
      </c>
      <c r="N58" s="7"/>
      <c r="O58" s="1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11" customFormat="1" x14ac:dyDescent="0.2">
      <c r="A59" s="12" t="s">
        <v>71</v>
      </c>
      <c r="B59" s="13">
        <v>54721.17</v>
      </c>
      <c r="C59" s="13">
        <v>52313.43</v>
      </c>
      <c r="D59" s="13">
        <v>45295.09</v>
      </c>
      <c r="E59" s="13">
        <v>54767.87</v>
      </c>
      <c r="F59" s="13">
        <v>56761.8</v>
      </c>
      <c r="G59" s="13">
        <v>54170.18</v>
      </c>
      <c r="H59" s="13">
        <v>54196.36</v>
      </c>
      <c r="I59" s="13">
        <v>372225.89999999997</v>
      </c>
      <c r="J59" s="14">
        <f t="shared" si="0"/>
        <v>1.000483291729878</v>
      </c>
      <c r="K59" s="15">
        <f t="shared" si="1"/>
        <v>0.90169299719823004</v>
      </c>
      <c r="L59" s="10"/>
      <c r="N59" s="7"/>
      <c r="O59" s="1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11" customFormat="1" x14ac:dyDescent="0.2">
      <c r="A60" s="12" t="s">
        <v>72</v>
      </c>
      <c r="B60" s="13">
        <v>58079.53</v>
      </c>
      <c r="C60" s="13">
        <v>54120.09</v>
      </c>
      <c r="D60" s="13">
        <v>50297.29</v>
      </c>
      <c r="E60" s="13">
        <v>57989.02</v>
      </c>
      <c r="F60" s="13">
        <v>61754.9</v>
      </c>
      <c r="G60" s="13">
        <v>62552.959999999999</v>
      </c>
      <c r="H60" s="13">
        <v>58654.18</v>
      </c>
      <c r="I60" s="13">
        <v>403447.97000000003</v>
      </c>
      <c r="J60" s="14">
        <f t="shared" si="0"/>
        <v>0.93767233397108629</v>
      </c>
      <c r="K60" s="15">
        <f t="shared" si="1"/>
        <v>1.0300086819733008</v>
      </c>
      <c r="L60" s="10" t="s">
        <v>20</v>
      </c>
      <c r="N60" s="7"/>
      <c r="O60" s="1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11" customFormat="1" x14ac:dyDescent="0.2">
      <c r="A61" s="12" t="s">
        <v>73</v>
      </c>
      <c r="B61" s="13">
        <v>79060.02</v>
      </c>
      <c r="C61" s="13">
        <v>77106.490000000005</v>
      </c>
      <c r="D61" s="13">
        <v>68629.259999999995</v>
      </c>
      <c r="E61" s="13">
        <v>76959.64</v>
      </c>
      <c r="F61" s="13">
        <v>81357.91</v>
      </c>
      <c r="G61" s="13">
        <v>79723.72</v>
      </c>
      <c r="H61" s="13">
        <v>76801.38</v>
      </c>
      <c r="I61" s="13">
        <v>539638.42000000004</v>
      </c>
      <c r="J61" s="14">
        <f t="shared" si="0"/>
        <v>0.96334415905329063</v>
      </c>
      <c r="K61" s="15">
        <f t="shared" si="1"/>
        <v>1.0081601521822292</v>
      </c>
      <c r="L61" s="10" t="s">
        <v>20</v>
      </c>
      <c r="N61" s="7"/>
      <c r="O61" s="1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11" customFormat="1" x14ac:dyDescent="0.2">
      <c r="A62" s="12" t="s">
        <v>74</v>
      </c>
      <c r="B62" s="13">
        <v>69434.12</v>
      </c>
      <c r="C62" s="13">
        <v>65771.259999999995</v>
      </c>
      <c r="D62" s="13">
        <v>57879.17</v>
      </c>
      <c r="E62" s="13">
        <v>64769.45</v>
      </c>
      <c r="F62" s="13">
        <v>71171.34</v>
      </c>
      <c r="G62" s="13">
        <v>66616.53</v>
      </c>
      <c r="H62" s="13">
        <v>61081.7</v>
      </c>
      <c r="I62" s="13">
        <v>456723.57</v>
      </c>
      <c r="J62" s="14">
        <f t="shared" si="0"/>
        <v>0.91691506597536676</v>
      </c>
      <c r="K62" s="15">
        <f t="shared" si="1"/>
        <v>0.8190202046411057</v>
      </c>
      <c r="L62" s="10"/>
      <c r="N62" s="7"/>
      <c r="O62" s="1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11" customFormat="1" x14ac:dyDescent="0.2">
      <c r="A63" s="12" t="s">
        <v>75</v>
      </c>
      <c r="B63" s="13">
        <v>56902.97</v>
      </c>
      <c r="C63" s="13">
        <v>53888.42</v>
      </c>
      <c r="D63" s="13">
        <v>54608.47</v>
      </c>
      <c r="E63" s="13">
        <v>48910.69</v>
      </c>
      <c r="F63" s="13">
        <v>61417.35</v>
      </c>
      <c r="G63" s="13">
        <v>58073.82</v>
      </c>
      <c r="H63" s="13">
        <v>52617.15</v>
      </c>
      <c r="I63" s="13">
        <v>386418.87</v>
      </c>
      <c r="J63" s="14">
        <f t="shared" si="0"/>
        <v>0.90603907233930892</v>
      </c>
      <c r="K63" s="15">
        <f t="shared" si="1"/>
        <v>0.95444821513089428</v>
      </c>
      <c r="L63" s="10"/>
      <c r="N63" s="7"/>
      <c r="O63" s="1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11" customFormat="1" x14ac:dyDescent="0.2">
      <c r="A64" s="12" t="s">
        <v>76</v>
      </c>
      <c r="B64" s="13">
        <v>36754.54</v>
      </c>
      <c r="C64" s="13">
        <v>41910.699999999997</v>
      </c>
      <c r="D64" s="13">
        <v>40343.82</v>
      </c>
      <c r="E64" s="13">
        <v>41206.939999999995</v>
      </c>
      <c r="F64" s="13">
        <v>51197.63</v>
      </c>
      <c r="G64" s="13">
        <v>55367.03</v>
      </c>
      <c r="H64" s="13">
        <v>52800.58</v>
      </c>
      <c r="I64" s="13">
        <v>319581.24000000005</v>
      </c>
      <c r="J64" s="14">
        <f t="shared" si="0"/>
        <v>0.95364660159665426</v>
      </c>
      <c r="K64" s="15">
        <f t="shared" si="1"/>
        <v>1.1901913329375771</v>
      </c>
      <c r="L64" s="10" t="s">
        <v>20</v>
      </c>
      <c r="N64" s="7"/>
      <c r="O64" s="1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11" customFormat="1" x14ac:dyDescent="0.2">
      <c r="A65" s="12" t="s">
        <v>77</v>
      </c>
      <c r="B65" s="13">
        <v>63520.05</v>
      </c>
      <c r="C65" s="13">
        <v>62127.19</v>
      </c>
      <c r="D65" s="13">
        <v>55643.9</v>
      </c>
      <c r="E65" s="13">
        <v>63488.73</v>
      </c>
      <c r="F65" s="13">
        <v>69155.22</v>
      </c>
      <c r="G65" s="13">
        <v>65545.86</v>
      </c>
      <c r="H65" s="13">
        <v>64840.91</v>
      </c>
      <c r="I65" s="13">
        <v>444321.86</v>
      </c>
      <c r="J65" s="14">
        <f t="shared" si="0"/>
        <v>0.98924493476780995</v>
      </c>
      <c r="K65" s="15">
        <f t="shared" si="1"/>
        <v>0.99891024590531108</v>
      </c>
      <c r="L65" s="10" t="s">
        <v>20</v>
      </c>
      <c r="N65" s="7"/>
      <c r="O65" s="1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11" customFormat="1" x14ac:dyDescent="0.2">
      <c r="A66" s="12" t="s">
        <v>78</v>
      </c>
      <c r="B66" s="13">
        <v>48870.28</v>
      </c>
      <c r="C66" s="13">
        <v>46979.360000000001</v>
      </c>
      <c r="D66" s="13">
        <v>42652.82</v>
      </c>
      <c r="E66" s="13">
        <v>47364.15</v>
      </c>
      <c r="F66" s="13">
        <v>50857.96</v>
      </c>
      <c r="G66" s="13">
        <v>51793.75</v>
      </c>
      <c r="H66" s="13">
        <v>51297.05</v>
      </c>
      <c r="I66" s="13">
        <v>339815.36999999994</v>
      </c>
      <c r="J66" s="14">
        <f t="shared" si="0"/>
        <v>0.99041003982140707</v>
      </c>
      <c r="K66" s="15">
        <f t="shared" si="1"/>
        <v>1.0674679487179488</v>
      </c>
      <c r="L66" s="10" t="s">
        <v>20</v>
      </c>
      <c r="N66" s="7"/>
      <c r="O66" s="1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11" customFormat="1" x14ac:dyDescent="0.2">
      <c r="A67" s="12" t="s">
        <v>79</v>
      </c>
      <c r="B67" s="13">
        <v>72642.75</v>
      </c>
      <c r="C67" s="13">
        <v>65984.149999999994</v>
      </c>
      <c r="D67" s="13">
        <v>60424.12</v>
      </c>
      <c r="E67" s="13">
        <v>67652.5</v>
      </c>
      <c r="F67" s="13">
        <v>68977.05</v>
      </c>
      <c r="G67" s="13">
        <v>69900.289999999994</v>
      </c>
      <c r="H67" s="13">
        <v>67403.429999999993</v>
      </c>
      <c r="I67" s="13">
        <v>472984.29</v>
      </c>
      <c r="J67" s="14">
        <f t="shared" si="0"/>
        <v>0.96427969039899553</v>
      </c>
      <c r="K67" s="15">
        <f t="shared" si="1"/>
        <v>0.95199624503961189</v>
      </c>
      <c r="L67" s="10"/>
      <c r="N67" s="7"/>
      <c r="O67" s="1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11" customFormat="1" x14ac:dyDescent="0.2">
      <c r="A68" s="12" t="s">
        <v>80</v>
      </c>
      <c r="B68" s="13">
        <v>62597.33</v>
      </c>
      <c r="C68" s="13">
        <v>61382.64</v>
      </c>
      <c r="D68" s="13">
        <v>56971.28</v>
      </c>
      <c r="E68" s="13">
        <v>72335.95</v>
      </c>
      <c r="F68" s="13">
        <v>77175.92</v>
      </c>
      <c r="G68" s="13">
        <v>74984.47</v>
      </c>
      <c r="H68" s="13">
        <v>70244.58</v>
      </c>
      <c r="I68" s="13">
        <v>475692.17</v>
      </c>
      <c r="J68" s="14">
        <f t="shared" si="0"/>
        <v>0.9367883776467314</v>
      </c>
      <c r="K68" s="15">
        <f t="shared" si="1"/>
        <v>1.1764822800827341</v>
      </c>
      <c r="L68" s="10" t="s">
        <v>20</v>
      </c>
      <c r="N68" s="7"/>
      <c r="O68" s="1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11" customFormat="1" x14ac:dyDescent="0.2">
      <c r="A69" s="12" t="s">
        <v>81</v>
      </c>
      <c r="B69" s="13">
        <v>60891.41</v>
      </c>
      <c r="C69" s="13">
        <v>71218.679999999993</v>
      </c>
      <c r="D69" s="13">
        <v>57652.66</v>
      </c>
      <c r="E69" s="13">
        <v>59502.6</v>
      </c>
      <c r="F69" s="13">
        <v>59360.79</v>
      </c>
      <c r="G69" s="13">
        <v>60171.37</v>
      </c>
      <c r="H69" s="13">
        <v>55113.34</v>
      </c>
      <c r="I69" s="13">
        <v>423910.85</v>
      </c>
      <c r="J69" s="14">
        <f t="shared" si="0"/>
        <v>0.91593959053948737</v>
      </c>
      <c r="K69" s="15">
        <f t="shared" si="1"/>
        <v>1.0108453837597329</v>
      </c>
      <c r="L69" s="10" t="s">
        <v>20</v>
      </c>
      <c r="N69" s="7"/>
      <c r="O69" s="1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11" customFormat="1" x14ac:dyDescent="0.2">
      <c r="A70" s="12" t="s">
        <v>82</v>
      </c>
      <c r="B70" s="13">
        <v>65336.37</v>
      </c>
      <c r="C70" s="13">
        <v>64835.48</v>
      </c>
      <c r="D70" s="13">
        <v>59575.98</v>
      </c>
      <c r="E70" s="13">
        <v>66588.63</v>
      </c>
      <c r="F70" s="13">
        <v>69093.149999999994</v>
      </c>
      <c r="G70" s="13">
        <v>66338.179999999993</v>
      </c>
      <c r="H70" s="13">
        <v>64359.65</v>
      </c>
      <c r="I70" s="13">
        <v>456127.44</v>
      </c>
      <c r="J70" s="14">
        <f t="shared" si="0"/>
        <v>0.97017509373938216</v>
      </c>
      <c r="K70" s="15">
        <f t="shared" si="1"/>
        <v>0.9934105941071496</v>
      </c>
      <c r="L70" s="10"/>
      <c r="N70" s="7"/>
      <c r="O70" s="1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11" customFormat="1" x14ac:dyDescent="0.2">
      <c r="A71" s="12" t="s">
        <v>83</v>
      </c>
      <c r="B71" s="13">
        <v>46031.05</v>
      </c>
      <c r="C71" s="13">
        <v>46397.07</v>
      </c>
      <c r="D71" s="13">
        <v>40546.17</v>
      </c>
      <c r="E71" s="13">
        <v>44597.23</v>
      </c>
      <c r="F71" s="13">
        <v>48503.71</v>
      </c>
      <c r="G71" s="13">
        <v>44443.56</v>
      </c>
      <c r="H71" s="13">
        <v>40303.4</v>
      </c>
      <c r="I71" s="13">
        <v>310822.19</v>
      </c>
      <c r="J71" s="14">
        <f t="shared" si="0"/>
        <v>0.90684454620646959</v>
      </c>
      <c r="K71" s="15">
        <f t="shared" si="1"/>
        <v>0.85398373983739839</v>
      </c>
      <c r="L71" s="10"/>
      <c r="N71" s="7"/>
      <c r="O71" s="1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11" customFormat="1" x14ac:dyDescent="0.2">
      <c r="A72" s="12" t="s">
        <v>84</v>
      </c>
      <c r="B72" s="13">
        <v>87024.39</v>
      </c>
      <c r="C72" s="13">
        <v>86129.02</v>
      </c>
      <c r="D72" s="13">
        <v>79197.78</v>
      </c>
      <c r="E72" s="13">
        <v>84507.35</v>
      </c>
      <c r="F72" s="13">
        <v>90026.4</v>
      </c>
      <c r="G72" s="13">
        <v>89327.99</v>
      </c>
      <c r="H72" s="13">
        <v>85574.76</v>
      </c>
      <c r="I72" s="13">
        <v>601787.69000000006</v>
      </c>
      <c r="J72" s="14">
        <f t="shared" ref="J72:J98" si="2">IFERROR((H72/G72),0)</f>
        <v>0.95798371820523431</v>
      </c>
      <c r="K72" s="15">
        <f t="shared" ref="K72:K100" si="3">+I172</f>
        <v>0.99639436570017126</v>
      </c>
      <c r="L72" s="10" t="s">
        <v>20</v>
      </c>
      <c r="N72" s="7"/>
      <c r="O72" s="1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11" customFormat="1" x14ac:dyDescent="0.2">
      <c r="A73" s="12" t="s">
        <v>85</v>
      </c>
      <c r="B73" s="13">
        <v>69565.61</v>
      </c>
      <c r="C73" s="13">
        <v>66531.72</v>
      </c>
      <c r="D73" s="13">
        <v>63275.85</v>
      </c>
      <c r="E73" s="13">
        <v>72041.66</v>
      </c>
      <c r="F73" s="13">
        <v>79025.86</v>
      </c>
      <c r="G73" s="13">
        <v>74796.63</v>
      </c>
      <c r="H73" s="13">
        <v>76691.19</v>
      </c>
      <c r="I73" s="13">
        <v>501928.52</v>
      </c>
      <c r="J73" s="14">
        <f t="shared" si="2"/>
        <v>1.0253294834272613</v>
      </c>
      <c r="K73" s="15">
        <f t="shared" si="3"/>
        <v>1.1373853261967501</v>
      </c>
      <c r="L73" s="10" t="s">
        <v>20</v>
      </c>
      <c r="N73" s="7"/>
      <c r="O73" s="1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11" customFormat="1" x14ac:dyDescent="0.2">
      <c r="A74" s="12" t="s">
        <v>86</v>
      </c>
      <c r="B74" s="13">
        <v>70943.850000000006</v>
      </c>
      <c r="C74" s="13">
        <v>64791.68</v>
      </c>
      <c r="D74" s="13">
        <v>61376.97</v>
      </c>
      <c r="E74" s="13">
        <v>71872.03</v>
      </c>
      <c r="F74" s="13">
        <v>79225.63</v>
      </c>
      <c r="G74" s="13">
        <v>76300.13</v>
      </c>
      <c r="H74" s="13">
        <v>72477.69</v>
      </c>
      <c r="I74" s="13">
        <v>496987.98000000004</v>
      </c>
      <c r="J74" s="14">
        <f t="shared" si="2"/>
        <v>0.94990257552641122</v>
      </c>
      <c r="K74" s="15">
        <f t="shared" si="3"/>
        <v>1.0397998740193792</v>
      </c>
      <c r="L74" s="10" t="s">
        <v>20</v>
      </c>
      <c r="N74" s="7"/>
      <c r="O74" s="1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11" customFormat="1" x14ac:dyDescent="0.2">
      <c r="A75" s="12" t="s">
        <v>87</v>
      </c>
      <c r="B75" s="13">
        <v>59591.29</v>
      </c>
      <c r="C75" s="13">
        <v>67378.149999999994</v>
      </c>
      <c r="D75" s="13">
        <v>65217.05</v>
      </c>
      <c r="E75" s="13">
        <v>63819.22</v>
      </c>
      <c r="F75" s="13">
        <v>43578.11</v>
      </c>
      <c r="G75" s="13">
        <v>102015.36</v>
      </c>
      <c r="H75" s="13">
        <v>78201.45</v>
      </c>
      <c r="I75" s="13">
        <v>479800.63</v>
      </c>
      <c r="J75" s="14">
        <f t="shared" si="2"/>
        <v>0.76656544661509796</v>
      </c>
      <c r="K75" s="15">
        <f t="shared" si="3"/>
        <v>1.0020995486653519</v>
      </c>
      <c r="L75" s="10" t="s">
        <v>20</v>
      </c>
      <c r="M75" s="22"/>
      <c r="N75" s="7"/>
      <c r="O75" s="1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11" customFormat="1" x14ac:dyDescent="0.2">
      <c r="A76" s="12" t="s">
        <v>88</v>
      </c>
      <c r="B76" s="13">
        <v>56578.21</v>
      </c>
      <c r="C76" s="13">
        <v>52566.29</v>
      </c>
      <c r="D76" s="13">
        <v>49445.51</v>
      </c>
      <c r="E76" s="13">
        <v>56765.16</v>
      </c>
      <c r="F76" s="13">
        <v>57701.69</v>
      </c>
      <c r="G76" s="13">
        <v>57717.98</v>
      </c>
      <c r="H76" s="13">
        <v>53527.51</v>
      </c>
      <c r="I76" s="13">
        <v>384302.35</v>
      </c>
      <c r="J76" s="14">
        <f t="shared" si="2"/>
        <v>0.92739749381388603</v>
      </c>
      <c r="K76" s="15">
        <f t="shared" si="3"/>
        <v>1.0281400597755597</v>
      </c>
      <c r="L76" s="10" t="s">
        <v>20</v>
      </c>
      <c r="M76" s="22"/>
      <c r="N76" s="7"/>
      <c r="O76" s="1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11" customFormat="1" x14ac:dyDescent="0.2">
      <c r="A77" s="12" t="s">
        <v>89</v>
      </c>
      <c r="B77" s="13">
        <v>57456.82</v>
      </c>
      <c r="C77" s="13">
        <v>53818.99</v>
      </c>
      <c r="D77" s="13">
        <v>51048.65</v>
      </c>
      <c r="E77" s="13">
        <v>53532.05</v>
      </c>
      <c r="F77" s="13">
        <v>56486.86</v>
      </c>
      <c r="G77" s="13">
        <v>59801.95</v>
      </c>
      <c r="H77" s="13">
        <v>70558.73</v>
      </c>
      <c r="I77" s="13">
        <v>402704.05</v>
      </c>
      <c r="J77" s="14">
        <f t="shared" si="2"/>
        <v>1.1798733987771302</v>
      </c>
      <c r="K77" s="15">
        <f t="shared" si="3"/>
        <v>1.1405292927316826</v>
      </c>
      <c r="L77" s="10" t="s">
        <v>20</v>
      </c>
      <c r="M77" s="22"/>
      <c r="N77" s="7"/>
      <c r="O77" s="1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19" customFormat="1" x14ac:dyDescent="0.2">
      <c r="A78" s="12" t="s">
        <v>90</v>
      </c>
      <c r="B78" s="13">
        <v>72260.81</v>
      </c>
      <c r="C78" s="13">
        <v>69358.429999999993</v>
      </c>
      <c r="D78" s="13">
        <v>61322.33</v>
      </c>
      <c r="E78" s="13">
        <v>71106.86</v>
      </c>
      <c r="F78" s="13">
        <v>75766.570000000007</v>
      </c>
      <c r="G78" s="13">
        <v>73296.78</v>
      </c>
      <c r="H78" s="13">
        <v>69700.2</v>
      </c>
      <c r="I78" s="13">
        <v>492811.98000000004</v>
      </c>
      <c r="J78" s="14">
        <f t="shared" si="2"/>
        <v>0.95093126874059131</v>
      </c>
      <c r="K78" s="15">
        <f t="shared" si="3"/>
        <v>1.0360029547111902</v>
      </c>
      <c r="L78" s="10" t="s">
        <v>20</v>
      </c>
      <c r="M78" s="14"/>
      <c r="N78" s="20"/>
      <c r="O78" s="16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</row>
    <row r="79" spans="1:78" s="11" customFormat="1" x14ac:dyDescent="0.2">
      <c r="A79" s="12" t="s">
        <v>91</v>
      </c>
      <c r="B79" s="13">
        <v>31331.85</v>
      </c>
      <c r="C79" s="13">
        <v>79920.27</v>
      </c>
      <c r="D79" s="13">
        <v>49364.37</v>
      </c>
      <c r="E79" s="13">
        <v>54642.52</v>
      </c>
      <c r="F79" s="13">
        <v>61386.05</v>
      </c>
      <c r="G79" s="13">
        <v>59632.89</v>
      </c>
      <c r="H79" s="13">
        <v>53734.77</v>
      </c>
      <c r="I79" s="13">
        <v>390012.72000000003</v>
      </c>
      <c r="J79" s="14">
        <f t="shared" si="2"/>
        <v>0.90109283652024907</v>
      </c>
      <c r="K79" s="15">
        <f t="shared" si="3"/>
        <v>0.94690749863163659</v>
      </c>
      <c r="L79" s="10"/>
      <c r="M79" s="22"/>
      <c r="N79" s="7"/>
      <c r="O79" s="1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11" customFormat="1" x14ac:dyDescent="0.2">
      <c r="A80" s="12" t="s">
        <v>92</v>
      </c>
      <c r="B80" s="13">
        <v>69842.7</v>
      </c>
      <c r="C80" s="13">
        <v>67133.37</v>
      </c>
      <c r="D80" s="13">
        <v>61579.61</v>
      </c>
      <c r="E80" s="13">
        <v>65445</v>
      </c>
      <c r="F80" s="13">
        <v>71791.210000000006</v>
      </c>
      <c r="G80" s="13">
        <v>69844.5</v>
      </c>
      <c r="H80" s="13">
        <v>66971.11</v>
      </c>
      <c r="I80" s="13">
        <v>472607.5</v>
      </c>
      <c r="J80" s="14">
        <f t="shared" si="2"/>
        <v>0.95886018226202496</v>
      </c>
      <c r="K80" s="15">
        <f t="shared" si="3"/>
        <v>1.0266152788051024</v>
      </c>
      <c r="L80" s="10" t="s">
        <v>20</v>
      </c>
      <c r="M80" s="22"/>
      <c r="N80" s="7"/>
      <c r="O80" s="1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11" customFormat="1" x14ac:dyDescent="0.2">
      <c r="A81" s="12" t="s">
        <v>93</v>
      </c>
      <c r="B81" s="13">
        <v>61357.59</v>
      </c>
      <c r="C81" s="13">
        <v>64835.47</v>
      </c>
      <c r="D81" s="13">
        <v>56098.11</v>
      </c>
      <c r="E81" s="13">
        <v>62853.07</v>
      </c>
      <c r="F81" s="13">
        <v>67311.539999999994</v>
      </c>
      <c r="G81" s="13">
        <v>65085.919999999998</v>
      </c>
      <c r="H81" s="13">
        <v>59949.48</v>
      </c>
      <c r="I81" s="13">
        <v>437491.17999999993</v>
      </c>
      <c r="J81" s="14">
        <f t="shared" si="2"/>
        <v>0.92108216339263549</v>
      </c>
      <c r="K81" s="15">
        <f t="shared" si="3"/>
        <v>1.0492493870148298</v>
      </c>
      <c r="L81" s="10" t="s">
        <v>20</v>
      </c>
      <c r="M81" s="22"/>
      <c r="N81" s="7"/>
      <c r="O81" s="1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11" customFormat="1" x14ac:dyDescent="0.2">
      <c r="A82" s="12" t="s">
        <v>94</v>
      </c>
      <c r="B82" s="13">
        <v>60577.79</v>
      </c>
      <c r="C82" s="13">
        <v>58699.4</v>
      </c>
      <c r="D82" s="13">
        <v>53815.59</v>
      </c>
      <c r="E82" s="13">
        <v>59846.78</v>
      </c>
      <c r="F82" s="13">
        <v>64306.11</v>
      </c>
      <c r="G82" s="13">
        <v>65808.820000000007</v>
      </c>
      <c r="H82" s="13">
        <v>59922.400000000001</v>
      </c>
      <c r="I82" s="13">
        <v>422976.89</v>
      </c>
      <c r="J82" s="14">
        <f t="shared" si="2"/>
        <v>0.91055271922517367</v>
      </c>
      <c r="K82" s="15">
        <f t="shared" si="3"/>
        <v>1.0264575391052257</v>
      </c>
      <c r="L82" s="10" t="s">
        <v>20</v>
      </c>
      <c r="M82" s="22"/>
      <c r="N82" s="7"/>
      <c r="O82" s="1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x14ac:dyDescent="0.2">
      <c r="A83" s="12" t="s">
        <v>95</v>
      </c>
      <c r="B83" s="13">
        <v>53194.93</v>
      </c>
      <c r="C83" s="13">
        <v>58727.8</v>
      </c>
      <c r="D83" s="13">
        <v>55612.79</v>
      </c>
      <c r="E83" s="13">
        <v>47328.12</v>
      </c>
      <c r="F83" s="13">
        <v>63360.14</v>
      </c>
      <c r="G83" s="13">
        <v>54286.36</v>
      </c>
      <c r="H83" s="13">
        <v>59036.6</v>
      </c>
      <c r="I83" s="13">
        <v>391546.74</v>
      </c>
      <c r="J83" s="14">
        <f t="shared" si="2"/>
        <v>1.087503380222951</v>
      </c>
      <c r="K83" s="15">
        <f t="shared" si="3"/>
        <v>1.0090869732362988</v>
      </c>
      <c r="L83" s="10" t="s">
        <v>20</v>
      </c>
      <c r="N83" s="7"/>
      <c r="O83" s="1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x14ac:dyDescent="0.2">
      <c r="A84" s="12" t="s">
        <v>96</v>
      </c>
      <c r="B84" s="13">
        <v>56849.46</v>
      </c>
      <c r="C84" s="13">
        <v>54122.95</v>
      </c>
      <c r="D84" s="13">
        <v>50366.18</v>
      </c>
      <c r="E84" s="13">
        <v>53863.08</v>
      </c>
      <c r="F84" s="13">
        <v>55876.12</v>
      </c>
      <c r="G84" s="13">
        <v>57851.27</v>
      </c>
      <c r="H84" s="13">
        <v>56429.46</v>
      </c>
      <c r="I84" s="13">
        <v>385358.52</v>
      </c>
      <c r="J84" s="14">
        <f t="shared" si="2"/>
        <v>0.97542301145679255</v>
      </c>
      <c r="K84" s="15">
        <f t="shared" si="3"/>
        <v>0.99666048701687115</v>
      </c>
      <c r="L84" s="10" t="s">
        <v>20</v>
      </c>
      <c r="N84" s="7"/>
      <c r="O84" s="1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x14ac:dyDescent="0.2">
      <c r="A85" s="12" t="s">
        <v>97</v>
      </c>
      <c r="B85" s="13">
        <v>72542.559999999998</v>
      </c>
      <c r="C85" s="13">
        <v>69315.149999999994</v>
      </c>
      <c r="D85" s="13">
        <v>65529.93</v>
      </c>
      <c r="E85" s="13">
        <v>75043.42</v>
      </c>
      <c r="F85" s="13">
        <v>81530.38</v>
      </c>
      <c r="G85" s="13">
        <v>74295.73</v>
      </c>
      <c r="H85" s="13">
        <v>73183.92</v>
      </c>
      <c r="I85" s="13">
        <v>511441.08999999997</v>
      </c>
      <c r="J85" s="14">
        <f t="shared" si="2"/>
        <v>0.98503534456152464</v>
      </c>
      <c r="K85" s="15">
        <f t="shared" si="3"/>
        <v>0.99531760568248162</v>
      </c>
      <c r="L85" s="10" t="s">
        <v>20</v>
      </c>
      <c r="N85" s="7"/>
      <c r="O85" s="1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x14ac:dyDescent="0.2">
      <c r="A86" s="12" t="s">
        <v>98</v>
      </c>
      <c r="B86" s="13">
        <v>81285.64</v>
      </c>
      <c r="C86" s="13">
        <v>75698.259999999995</v>
      </c>
      <c r="D86" s="13">
        <v>68970.23</v>
      </c>
      <c r="E86" s="13">
        <v>75946.34</v>
      </c>
      <c r="F86" s="13">
        <v>80468.800000000003</v>
      </c>
      <c r="G86" s="13">
        <v>77791.839999999997</v>
      </c>
      <c r="H86" s="13">
        <v>75728.66</v>
      </c>
      <c r="I86" s="13">
        <v>535889.77</v>
      </c>
      <c r="J86" s="14">
        <f t="shared" si="2"/>
        <v>0.97347819514231837</v>
      </c>
      <c r="K86" s="15">
        <f t="shared" si="3"/>
        <v>1.0428068675193531</v>
      </c>
      <c r="L86" s="10" t="s">
        <v>20</v>
      </c>
      <c r="N86" s="7"/>
      <c r="O86" s="1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x14ac:dyDescent="0.2">
      <c r="A87" s="12" t="s">
        <v>99</v>
      </c>
      <c r="B87" s="13">
        <v>30118.09</v>
      </c>
      <c r="C87" s="13">
        <v>37934.14</v>
      </c>
      <c r="D87" s="13">
        <v>45217.01</v>
      </c>
      <c r="E87" s="13">
        <v>35007.379999999997</v>
      </c>
      <c r="F87" s="13">
        <v>52529.93</v>
      </c>
      <c r="G87" s="13">
        <v>56487.16</v>
      </c>
      <c r="H87" s="13">
        <v>54458.43</v>
      </c>
      <c r="I87" s="13">
        <v>311752.14</v>
      </c>
      <c r="J87" s="14">
        <f t="shared" si="2"/>
        <v>0.96408511243971196</v>
      </c>
      <c r="K87" s="15">
        <f t="shared" si="3"/>
        <v>1.4013949433304271</v>
      </c>
      <c r="L87" s="10" t="s">
        <v>20</v>
      </c>
      <c r="N87" s="7"/>
      <c r="O87" s="1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x14ac:dyDescent="0.2">
      <c r="A88" s="12" t="s">
        <v>100</v>
      </c>
      <c r="B88" s="13">
        <v>74946.34</v>
      </c>
      <c r="C88" s="13">
        <v>70733.06</v>
      </c>
      <c r="D88" s="13">
        <v>61854</v>
      </c>
      <c r="E88" s="13">
        <v>74218.38</v>
      </c>
      <c r="F88" s="13">
        <v>80456.289999999994</v>
      </c>
      <c r="G88" s="13">
        <v>84447.039999999994</v>
      </c>
      <c r="H88" s="13">
        <v>78621.429999999993</v>
      </c>
      <c r="I88" s="13">
        <v>525276.54</v>
      </c>
      <c r="J88" s="14">
        <f t="shared" si="2"/>
        <v>0.93101463355021086</v>
      </c>
      <c r="K88" s="15">
        <f t="shared" si="3"/>
        <v>1.0825894524462731</v>
      </c>
      <c r="L88" s="10" t="s">
        <v>20</v>
      </c>
      <c r="N88" s="7"/>
      <c r="O88" s="1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x14ac:dyDescent="0.2">
      <c r="A89" s="12" t="s">
        <v>101</v>
      </c>
      <c r="B89" s="13">
        <v>68760.75</v>
      </c>
      <c r="C89" s="13">
        <v>65082.52</v>
      </c>
      <c r="D89" s="13">
        <v>61043.44</v>
      </c>
      <c r="E89" s="13">
        <v>69337.67</v>
      </c>
      <c r="F89" s="13">
        <v>72103.72</v>
      </c>
      <c r="G89" s="13">
        <v>74476.75</v>
      </c>
      <c r="H89" s="13">
        <v>68378.44</v>
      </c>
      <c r="I89" s="13">
        <v>479183.29</v>
      </c>
      <c r="J89" s="14">
        <f t="shared" si="2"/>
        <v>0.91811793613443127</v>
      </c>
      <c r="K89" s="15">
        <f t="shared" si="3"/>
        <v>0.90377353244114067</v>
      </c>
      <c r="L89" s="10"/>
      <c r="N89" s="7"/>
      <c r="O89" s="1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x14ac:dyDescent="0.2">
      <c r="A90" s="12" t="s">
        <v>102</v>
      </c>
      <c r="B90" s="13">
        <v>61149.18</v>
      </c>
      <c r="C90" s="13">
        <v>58544</v>
      </c>
      <c r="D90" s="13">
        <v>54636.24</v>
      </c>
      <c r="E90" s="13">
        <v>57984.98</v>
      </c>
      <c r="F90" s="13">
        <v>69976.28</v>
      </c>
      <c r="G90" s="13">
        <v>66719.83</v>
      </c>
      <c r="H90" s="13">
        <v>65326.28</v>
      </c>
      <c r="I90" s="13">
        <v>434336.79000000004</v>
      </c>
      <c r="J90" s="14">
        <f t="shared" si="2"/>
        <v>0.9791134060143738</v>
      </c>
      <c r="K90" s="15">
        <f t="shared" si="3"/>
        <v>1.2094779573407834</v>
      </c>
      <c r="L90" s="10" t="s">
        <v>20</v>
      </c>
      <c r="N90" s="7"/>
      <c r="O90" s="1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x14ac:dyDescent="0.2">
      <c r="A91" s="12" t="s">
        <v>103</v>
      </c>
      <c r="B91" s="13">
        <v>59575.97</v>
      </c>
      <c r="C91" s="13">
        <v>56599.02</v>
      </c>
      <c r="D91" s="13">
        <v>50087.26</v>
      </c>
      <c r="E91" s="13">
        <v>60317.83</v>
      </c>
      <c r="F91" s="13">
        <v>65279.46</v>
      </c>
      <c r="G91" s="13">
        <v>66309.73</v>
      </c>
      <c r="H91" s="13">
        <v>58420.62</v>
      </c>
      <c r="I91" s="13">
        <v>416589.89</v>
      </c>
      <c r="J91" s="14">
        <f t="shared" si="2"/>
        <v>0.88102635917835903</v>
      </c>
      <c r="K91" s="15">
        <f t="shared" si="3"/>
        <v>0.91769833871754269</v>
      </c>
      <c r="L91" s="10"/>
      <c r="N91" s="7"/>
      <c r="O91" s="1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x14ac:dyDescent="0.2">
      <c r="A92" s="12" t="s">
        <v>104</v>
      </c>
      <c r="B92" s="13">
        <v>97310.34</v>
      </c>
      <c r="C92" s="13">
        <v>54109.79</v>
      </c>
      <c r="D92" s="13">
        <v>50806.59</v>
      </c>
      <c r="E92" s="13">
        <v>56785.120000000003</v>
      </c>
      <c r="F92" s="13">
        <v>61977.31</v>
      </c>
      <c r="G92" s="13">
        <v>60749.64</v>
      </c>
      <c r="H92" s="13">
        <v>56234.879999999997</v>
      </c>
      <c r="I92" s="13">
        <v>437973.67000000004</v>
      </c>
      <c r="J92" s="14">
        <f t="shared" si="2"/>
        <v>0.92568252256309669</v>
      </c>
      <c r="K92" s="15">
        <f t="shared" si="3"/>
        <v>0.81141975308641967</v>
      </c>
      <c r="L92" s="10"/>
      <c r="M92" s="23"/>
      <c r="N92" s="23"/>
      <c r="O92" s="1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78" x14ac:dyDescent="0.2">
      <c r="A93" s="24" t="s">
        <v>105</v>
      </c>
      <c r="B93" s="13">
        <v>80101.84</v>
      </c>
      <c r="C93" s="13">
        <v>52088.4</v>
      </c>
      <c r="D93" s="13">
        <v>47751.09</v>
      </c>
      <c r="E93" s="13">
        <v>53133.66</v>
      </c>
      <c r="F93" s="13">
        <v>50368.18</v>
      </c>
      <c r="G93" s="13">
        <v>49933.98</v>
      </c>
      <c r="H93" s="13">
        <v>46624.78</v>
      </c>
      <c r="I93" s="13">
        <v>380001.92999999993</v>
      </c>
      <c r="J93" s="14">
        <f t="shared" si="2"/>
        <v>0.9337284951049365</v>
      </c>
      <c r="K93" s="15">
        <f t="shared" si="3"/>
        <v>0.69958847736625507</v>
      </c>
      <c r="L93" s="25"/>
      <c r="M93" s="23"/>
      <c r="N93" s="23"/>
      <c r="O93" s="1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78" x14ac:dyDescent="0.2">
      <c r="A94" s="24" t="s">
        <v>106</v>
      </c>
      <c r="B94" s="13"/>
      <c r="C94" s="13">
        <v>77664.539999999994</v>
      </c>
      <c r="D94" s="13">
        <v>57250.37</v>
      </c>
      <c r="E94" s="13">
        <v>64905.61</v>
      </c>
      <c r="F94" s="13">
        <v>70765.600000000006</v>
      </c>
      <c r="G94" s="13">
        <v>72104.17</v>
      </c>
      <c r="H94" s="13">
        <v>56205.97</v>
      </c>
      <c r="I94" s="13">
        <v>398896.26</v>
      </c>
      <c r="J94" s="14">
        <f t="shared" si="2"/>
        <v>0.77951067185157252</v>
      </c>
      <c r="K94" s="15">
        <f t="shared" si="3"/>
        <v>0.81660899653979235</v>
      </c>
      <c r="L94" s="25"/>
      <c r="M94" s="23"/>
      <c r="N94" s="23"/>
      <c r="O94" s="1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78" x14ac:dyDescent="0.2">
      <c r="A95" s="12" t="s">
        <v>107</v>
      </c>
      <c r="B95" s="13">
        <v>48501.24</v>
      </c>
      <c r="C95" s="13">
        <v>64589.4</v>
      </c>
      <c r="D95" s="13">
        <v>52593.91</v>
      </c>
      <c r="E95" s="13">
        <v>100956.52</v>
      </c>
      <c r="F95" s="13">
        <v>56651.62</v>
      </c>
      <c r="G95" s="13">
        <v>57241.42</v>
      </c>
      <c r="H95" s="13">
        <v>54961.56</v>
      </c>
      <c r="I95" s="13">
        <v>435495.67</v>
      </c>
      <c r="J95" s="14">
        <f t="shared" si="2"/>
        <v>0.96017114879400267</v>
      </c>
      <c r="K95" s="15">
        <f t="shared" si="3"/>
        <v>0.91349480968858132</v>
      </c>
      <c r="L95" s="10"/>
      <c r="M95" s="23"/>
      <c r="N95" s="23"/>
      <c r="O95" s="1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78" x14ac:dyDescent="0.2">
      <c r="A96" s="24" t="s">
        <v>108</v>
      </c>
      <c r="B96" s="13">
        <v>39918.35</v>
      </c>
      <c r="C96" s="13">
        <v>72006.94</v>
      </c>
      <c r="D96" s="13">
        <v>56247.34</v>
      </c>
      <c r="E96" s="13">
        <v>60706.18</v>
      </c>
      <c r="F96" s="13">
        <v>68088.44</v>
      </c>
      <c r="G96" s="13">
        <v>65594.64</v>
      </c>
      <c r="H96" s="13">
        <v>64641.29</v>
      </c>
      <c r="I96" s="13">
        <v>427203.18</v>
      </c>
      <c r="J96" s="14">
        <f t="shared" si="2"/>
        <v>0.98546603807872113</v>
      </c>
      <c r="K96" s="15">
        <f t="shared" si="3"/>
        <v>0.73251028806584362</v>
      </c>
      <c r="L96" s="25"/>
      <c r="M96" s="23"/>
      <c r="N96" s="23"/>
      <c r="O96" s="1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4" t="s">
        <v>109</v>
      </c>
      <c r="B97" s="13"/>
      <c r="C97" s="13"/>
      <c r="D97" s="13"/>
      <c r="E97" s="13"/>
      <c r="F97" s="13"/>
      <c r="G97" s="13">
        <v>48413.159999999996</v>
      </c>
      <c r="H97" s="13">
        <v>61844.11</v>
      </c>
      <c r="I97" s="13">
        <v>110257.26999999999</v>
      </c>
      <c r="J97" s="14">
        <f t="shared" si="2"/>
        <v>1.2774235352536378</v>
      </c>
      <c r="K97" s="15">
        <f t="shared" si="3"/>
        <v>0.8327701854124373</v>
      </c>
      <c r="L97" s="15"/>
      <c r="M97" s="23"/>
      <c r="N97" s="23"/>
      <c r="O97" s="1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0.8" thickBot="1" x14ac:dyDescent="0.25">
      <c r="A98" s="24" t="s">
        <v>110</v>
      </c>
      <c r="B98" s="13"/>
      <c r="C98" s="13"/>
      <c r="D98" s="13"/>
      <c r="E98" s="13"/>
      <c r="F98" s="13">
        <v>82413.490000000005</v>
      </c>
      <c r="G98" s="13">
        <v>105976.69</v>
      </c>
      <c r="H98" s="13">
        <v>74089.05</v>
      </c>
      <c r="I98" s="13">
        <v>262479.23</v>
      </c>
      <c r="J98" s="14">
        <f t="shared" si="2"/>
        <v>0.69910703948198416</v>
      </c>
      <c r="K98" s="15">
        <f t="shared" si="3"/>
        <v>0.96083317758690345</v>
      </c>
      <c r="L98" s="10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0.8" thickTop="1" x14ac:dyDescent="0.2">
      <c r="A99" s="12" t="s">
        <v>6</v>
      </c>
      <c r="B99" s="13">
        <v>5455645.1199999982</v>
      </c>
      <c r="C99" s="13">
        <v>5478974.9500000002</v>
      </c>
      <c r="D99" s="13">
        <v>4927396.0999999987</v>
      </c>
      <c r="E99" s="13">
        <v>5506828.4500000011</v>
      </c>
      <c r="F99" s="13">
        <v>5865937.9099999992</v>
      </c>
      <c r="G99" s="13">
        <v>5948291.6900000032</v>
      </c>
      <c r="H99" s="13">
        <v>5651485.5600000005</v>
      </c>
      <c r="I99" s="13">
        <v>38834559.780000016</v>
      </c>
      <c r="J99" s="26">
        <f>IFERROR((H99/G99),0)</f>
        <v>0.95010229062926088</v>
      </c>
      <c r="K99" s="26">
        <f t="shared" si="3"/>
        <v>0.98829974560495537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5"/>
      <c r="K100" s="15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5"/>
      <c r="K101" s="15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5"/>
      <c r="K102" s="15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5"/>
      <c r="K103" s="15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5"/>
      <c r="K104" s="15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27"/>
      <c r="K105" s="27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20.399999999999999" x14ac:dyDescent="0.2">
      <c r="A106" s="28" t="s">
        <v>111</v>
      </c>
      <c r="B106" s="28" t="s">
        <v>112</v>
      </c>
      <c r="C106" s="28" t="s">
        <v>113</v>
      </c>
      <c r="D106" s="28" t="s">
        <v>114</v>
      </c>
      <c r="E106" s="28" t="s">
        <v>115</v>
      </c>
      <c r="F106" s="28" t="s">
        <v>116</v>
      </c>
      <c r="G106" s="28" t="s">
        <v>117</v>
      </c>
      <c r="H106" s="28" t="s">
        <v>118</v>
      </c>
      <c r="I106" s="29" t="s">
        <v>119</v>
      </c>
      <c r="K106" s="2"/>
      <c r="L106" s="23"/>
      <c r="M106" s="23"/>
      <c r="N106" s="23"/>
      <c r="O106" s="23"/>
      <c r="P106" s="23"/>
      <c r="Q106" s="23"/>
      <c r="R106" s="23"/>
      <c r="S106" s="2"/>
      <c r="T106" s="2"/>
      <c r="U106" s="2"/>
      <c r="V106" s="2"/>
    </row>
    <row r="107" spans="1:27" x14ac:dyDescent="0.2">
      <c r="A107" s="30" t="s">
        <v>18</v>
      </c>
      <c r="B107" s="31" cm="1">
        <f t="array" ref="B107">+TRANSPOSE('[1]Energía Eléctrica'!$CQ$25)</f>
        <v>276</v>
      </c>
      <c r="C107" s="32">
        <v>259.32258064516128</v>
      </c>
      <c r="D107" s="32">
        <v>260.60714285714289</v>
      </c>
      <c r="E107" s="32">
        <v>291.39999999999998</v>
      </c>
      <c r="F107" s="32">
        <v>291.93548387096774</v>
      </c>
      <c r="G107" s="32">
        <v>368.96666666666664</v>
      </c>
      <c r="H107" s="32">
        <v>275.4666666666667</v>
      </c>
      <c r="I107" s="33">
        <f>IFERROR((H107/B107),0)</f>
        <v>0.99806763285024169</v>
      </c>
      <c r="K107" s="2"/>
      <c r="L107" s="23"/>
      <c r="M107" s="23"/>
      <c r="N107" s="23"/>
      <c r="O107" s="23"/>
      <c r="P107" s="23"/>
      <c r="Q107" s="23"/>
      <c r="R107" s="23"/>
      <c r="S107" s="2"/>
      <c r="T107" s="2"/>
      <c r="U107" s="2"/>
      <c r="V107" s="2"/>
    </row>
    <row r="108" spans="1:27" x14ac:dyDescent="0.2">
      <c r="A108" s="30" t="s">
        <v>19</v>
      </c>
      <c r="B108" s="31" cm="1">
        <f t="array" ref="B108">+TRANSPOSE('[1]Energía Eléctrica'!$CS$25)</f>
        <v>91</v>
      </c>
      <c r="C108" s="32">
        <v>87.064516129032256</v>
      </c>
      <c r="D108" s="32">
        <v>80.107142857142861</v>
      </c>
      <c r="E108" s="32">
        <v>95.466666666666669</v>
      </c>
      <c r="F108" s="32">
        <v>93.193548387096769</v>
      </c>
      <c r="G108" s="32">
        <v>103.4</v>
      </c>
      <c r="H108" s="32">
        <v>102.03333333333333</v>
      </c>
      <c r="I108" s="33">
        <f t="shared" ref="I108:I171" si="4">IFERROR((H108/B108),0)</f>
        <v>1.1212454212454213</v>
      </c>
      <c r="K108" s="2"/>
      <c r="L108" s="23"/>
      <c r="M108" s="23"/>
      <c r="N108" s="23"/>
      <c r="O108" s="23"/>
      <c r="P108" s="23"/>
      <c r="Q108" s="23"/>
      <c r="R108" s="23"/>
      <c r="S108" s="2"/>
      <c r="T108" s="2"/>
      <c r="U108" s="2"/>
      <c r="V108" s="2"/>
    </row>
    <row r="109" spans="1:27" x14ac:dyDescent="0.2">
      <c r="A109" s="30" t="s">
        <v>21</v>
      </c>
      <c r="B109" s="31" cm="1">
        <f t="array" ref="B109">+TRANSPOSE('[1]Energía Eléctrica'!$CU$25)</f>
        <v>185</v>
      </c>
      <c r="C109" s="32">
        <v>163.93548387096774</v>
      </c>
      <c r="D109" s="32">
        <v>154.85714285714286</v>
      </c>
      <c r="E109" s="32">
        <v>167.23333333333332</v>
      </c>
      <c r="F109" s="32">
        <v>181.96774193548387</v>
      </c>
      <c r="G109" s="32">
        <v>195.66666666666666</v>
      </c>
      <c r="H109" s="32">
        <v>167</v>
      </c>
      <c r="I109" s="33">
        <f t="shared" si="4"/>
        <v>0.9027027027027027</v>
      </c>
      <c r="K109" s="2"/>
      <c r="L109" s="23"/>
      <c r="M109" s="23"/>
      <c r="N109" s="23"/>
      <c r="O109" s="23"/>
      <c r="P109" s="23"/>
      <c r="Q109" s="23"/>
      <c r="R109" s="23"/>
      <c r="S109" s="2"/>
      <c r="T109" s="2"/>
      <c r="U109" s="2"/>
      <c r="V109" s="2"/>
    </row>
    <row r="110" spans="1:27" x14ac:dyDescent="0.2">
      <c r="A110" s="30" t="s">
        <v>22</v>
      </c>
      <c r="B110" s="34" cm="1">
        <f t="array" ref="B110">+TRANSPOSE('[1]Energía Eléctrica'!$CP$25)</f>
        <v>2</v>
      </c>
      <c r="C110" s="32">
        <v>2.6129032258064515</v>
      </c>
      <c r="D110" s="32">
        <v>1.8571428571428572</v>
      </c>
      <c r="E110" s="32">
        <v>2.193548387096774</v>
      </c>
      <c r="F110" s="32">
        <v>1.9666666666666666</v>
      </c>
      <c r="G110" s="32">
        <v>1.9666666666666666</v>
      </c>
      <c r="H110" s="32">
        <v>1.967741935483871</v>
      </c>
      <c r="I110" s="33">
        <f t="shared" si="4"/>
        <v>0.9838709677419355</v>
      </c>
      <c r="K110" s="2"/>
      <c r="L110" s="23"/>
      <c r="M110" s="23"/>
      <c r="N110" s="23"/>
      <c r="O110" s="23"/>
      <c r="P110" s="23"/>
      <c r="Q110" s="23"/>
      <c r="R110" s="23"/>
      <c r="S110" s="2"/>
      <c r="T110" s="2"/>
      <c r="U110" s="2"/>
      <c r="V110" s="2"/>
    </row>
    <row r="111" spans="1:27" x14ac:dyDescent="0.2">
      <c r="A111" s="30" t="s">
        <v>23</v>
      </c>
      <c r="B111" s="31" cm="1">
        <f t="array" ref="B111">+TRANSPOSE('[1]Energía Eléctrica'!$CT$25)</f>
        <v>159</v>
      </c>
      <c r="C111" s="32">
        <v>202.38709677419357</v>
      </c>
      <c r="D111" s="32">
        <v>151.46428571428572</v>
      </c>
      <c r="E111" s="32">
        <v>0</v>
      </c>
      <c r="F111" s="32">
        <v>141</v>
      </c>
      <c r="G111" s="32">
        <v>139.9</v>
      </c>
      <c r="H111" s="32">
        <v>173.43333333333334</v>
      </c>
      <c r="I111" s="33">
        <f t="shared" si="4"/>
        <v>1.0907756813417191</v>
      </c>
      <c r="K111" s="2"/>
      <c r="L111" s="23"/>
      <c r="M111" s="23"/>
      <c r="N111" s="23"/>
      <c r="O111" s="23"/>
      <c r="P111" s="23"/>
      <c r="Q111" s="23"/>
      <c r="R111" s="23"/>
      <c r="S111" s="2"/>
      <c r="T111" s="2"/>
      <c r="U111" s="2"/>
      <c r="V111" s="2"/>
    </row>
    <row r="112" spans="1:27" x14ac:dyDescent="0.2">
      <c r="A112" s="30" t="s">
        <v>24</v>
      </c>
      <c r="B112" s="31" cm="1">
        <f t="array" ref="B112:B121">+TRANSPOSE('[1]Energía Eléctrica'!$B$25:$K$25)</f>
        <v>287.34424534204669</v>
      </c>
      <c r="C112" s="32">
        <v>286.20314238042272</v>
      </c>
      <c r="D112" s="32">
        <v>211.85714285714286</v>
      </c>
      <c r="E112" s="32">
        <v>285.01720430107525</v>
      </c>
      <c r="F112" s="32">
        <v>229.98279569892472</v>
      </c>
      <c r="G112" s="32">
        <v>249.4</v>
      </c>
      <c r="H112" s="32">
        <v>223.06989247311827</v>
      </c>
      <c r="I112" s="33">
        <f t="shared" si="4"/>
        <v>0.77631585141919934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2">
      <c r="A113" s="30" t="s">
        <v>25</v>
      </c>
      <c r="B113" s="31">
        <v>262.64979606970707</v>
      </c>
      <c r="C113" s="32">
        <v>250.56666666666666</v>
      </c>
      <c r="D113" s="32">
        <v>253.78571428571428</v>
      </c>
      <c r="E113" s="32">
        <v>264.83333333333331</v>
      </c>
      <c r="F113" s="32">
        <v>263.54838709677421</v>
      </c>
      <c r="G113" s="32">
        <v>281.76666666666665</v>
      </c>
      <c r="H113" s="32">
        <v>253.5</v>
      </c>
      <c r="I113" s="33">
        <f t="shared" si="4"/>
        <v>0.96516351352019047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">
      <c r="A114" s="30" t="s">
        <v>26</v>
      </c>
      <c r="B114" s="31">
        <v>328.75087702666264</v>
      </c>
      <c r="C114" s="32">
        <v>322.650723025584</v>
      </c>
      <c r="D114" s="32">
        <v>311.25</v>
      </c>
      <c r="E114" s="32">
        <v>309.43870967741935</v>
      </c>
      <c r="F114" s="32">
        <v>317.47526881720432</v>
      </c>
      <c r="G114" s="32">
        <v>327.23333333333335</v>
      </c>
      <c r="H114" s="32">
        <v>321.59354838709675</v>
      </c>
      <c r="I114" s="33">
        <f t="shared" si="4"/>
        <v>0.97822871621119534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">
      <c r="A115" s="30" t="s">
        <v>27</v>
      </c>
      <c r="B115" s="31">
        <v>279.83198345383761</v>
      </c>
      <c r="C115" s="32">
        <v>254.87096774193549</v>
      </c>
      <c r="D115" s="32">
        <v>261.75</v>
      </c>
      <c r="E115" s="32">
        <v>289.13333333333333</v>
      </c>
      <c r="F115" s="32">
        <v>299.93548387096774</v>
      </c>
      <c r="G115" s="32">
        <v>311.66666666666669</v>
      </c>
      <c r="H115" s="32">
        <v>302.10000000000002</v>
      </c>
      <c r="I115" s="33">
        <f t="shared" si="4"/>
        <v>1.0795763810530823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">
      <c r="A116" s="30" t="s">
        <v>28</v>
      </c>
      <c r="B116" s="31">
        <v>317.7688577586207</v>
      </c>
      <c r="C116" s="32">
        <v>269.54838709677421</v>
      </c>
      <c r="D116" s="32">
        <v>324.75</v>
      </c>
      <c r="E116" s="32">
        <v>281.46666666666664</v>
      </c>
      <c r="F116" s="32">
        <v>285.80645161290323</v>
      </c>
      <c r="G116" s="32">
        <v>283.26666666666665</v>
      </c>
      <c r="H116" s="32">
        <v>283.03333333333336</v>
      </c>
      <c r="I116" s="33">
        <f t="shared" si="4"/>
        <v>0.89068933730544275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">
      <c r="A117" s="30" t="s">
        <v>29</v>
      </c>
      <c r="B117" s="31">
        <v>358.74270891268077</v>
      </c>
      <c r="C117" s="32">
        <v>355.03225806451616</v>
      </c>
      <c r="D117" s="32">
        <v>358.75</v>
      </c>
      <c r="E117" s="32">
        <v>306.7</v>
      </c>
      <c r="F117" s="32">
        <v>258.90322580645159</v>
      </c>
      <c r="G117" s="32">
        <v>279.73333333333335</v>
      </c>
      <c r="H117" s="32">
        <v>297.96666666666664</v>
      </c>
      <c r="I117" s="33">
        <f t="shared" si="4"/>
        <v>0.83058598617872614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">
      <c r="A118" s="30" t="s">
        <v>30</v>
      </c>
      <c r="B118" s="31">
        <v>345</v>
      </c>
      <c r="C118" s="32">
        <v>341.6709677419355</v>
      </c>
      <c r="D118" s="32">
        <v>341.14285714285717</v>
      </c>
      <c r="E118" s="32">
        <v>359.66666666666669</v>
      </c>
      <c r="F118" s="32">
        <v>354.32258064516134</v>
      </c>
      <c r="G118" s="32">
        <v>372.59999999999997</v>
      </c>
      <c r="H118" s="32">
        <v>352.2</v>
      </c>
      <c r="I118" s="33">
        <f t="shared" si="4"/>
        <v>1.0208695652173914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">
      <c r="A119" s="30" t="s">
        <v>31</v>
      </c>
      <c r="B119" s="31">
        <v>244.72547043010752</v>
      </c>
      <c r="C119" s="32">
        <v>235.09677419354838</v>
      </c>
      <c r="D119" s="32">
        <v>232</v>
      </c>
      <c r="E119" s="32">
        <v>263.53333333333336</v>
      </c>
      <c r="F119" s="32">
        <v>264.64516129032256</v>
      </c>
      <c r="G119" s="32">
        <v>270</v>
      </c>
      <c r="H119" s="32">
        <v>237.56666666666666</v>
      </c>
      <c r="I119" s="33">
        <f t="shared" si="4"/>
        <v>0.97074761466038173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">
      <c r="A120" s="30" t="s">
        <v>32</v>
      </c>
      <c r="B120" s="31">
        <v>320.25213199851686</v>
      </c>
      <c r="C120" s="32">
        <v>420.64516129032256</v>
      </c>
      <c r="D120" s="32">
        <v>301.42857142857144</v>
      </c>
      <c r="E120" s="32">
        <v>208</v>
      </c>
      <c r="F120" s="32">
        <v>401.29032258064518</v>
      </c>
      <c r="G120" s="32">
        <v>300</v>
      </c>
      <c r="H120" s="32">
        <v>313.33333333333331</v>
      </c>
      <c r="I120" s="33">
        <f t="shared" si="4"/>
        <v>0.97839577640902142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">
      <c r="A121" s="30" t="s">
        <v>33</v>
      </c>
      <c r="B121" s="31">
        <v>290.72843089543937</v>
      </c>
      <c r="C121" s="32">
        <v>259.90322580645159</v>
      </c>
      <c r="D121" s="32">
        <v>276.64285714285717</v>
      </c>
      <c r="E121" s="32">
        <v>302.73333333333335</v>
      </c>
      <c r="F121" s="32">
        <v>288.96774193548384</v>
      </c>
      <c r="G121" s="32">
        <v>314.23333333333335</v>
      </c>
      <c r="H121" s="32">
        <v>305.2</v>
      </c>
      <c r="I121" s="33">
        <f t="shared" si="4"/>
        <v>1.0497769312068599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">
      <c r="A122" s="30" t="s">
        <v>34</v>
      </c>
      <c r="B122" s="31" cm="1">
        <f t="array" ref="B122:B126">+TRANSPOSE('[1]Energía Eléctrica'!$M$25:$Q$25)</f>
        <v>336.34003717303733</v>
      </c>
      <c r="C122" s="32">
        <v>316.67956989247313</v>
      </c>
      <c r="D122" s="32">
        <v>317.67857142857144</v>
      </c>
      <c r="E122" s="32">
        <v>337.2494623655914</v>
      </c>
      <c r="F122" s="32">
        <v>361.48924731182797</v>
      </c>
      <c r="G122" s="32">
        <v>357.3</v>
      </c>
      <c r="H122" s="32">
        <v>352.27419354838707</v>
      </c>
      <c r="I122" s="33">
        <f t="shared" si="4"/>
        <v>1.0473751400793003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">
      <c r="A123" s="30" t="s">
        <v>35</v>
      </c>
      <c r="B123" s="31">
        <v>320.48742526418243</v>
      </c>
      <c r="C123" s="32">
        <v>348.73333333333335</v>
      </c>
      <c r="D123" s="32">
        <v>331.42857142857144</v>
      </c>
      <c r="E123" s="32">
        <v>338.8</v>
      </c>
      <c r="F123" s="32">
        <v>382.90322580645164</v>
      </c>
      <c r="G123" s="32">
        <v>391.63333333333333</v>
      </c>
      <c r="H123" s="32">
        <v>364.43333333333334</v>
      </c>
      <c r="I123" s="33">
        <f t="shared" si="4"/>
        <v>1.1371220977950247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">
      <c r="A124" s="30" t="s">
        <v>36</v>
      </c>
      <c r="B124" s="31">
        <v>231.31307355394884</v>
      </c>
      <c r="C124" s="32">
        <v>233.38709677419354</v>
      </c>
      <c r="D124" s="32">
        <v>252.28571428571431</v>
      </c>
      <c r="E124" s="32">
        <v>214.1</v>
      </c>
      <c r="F124" s="32">
        <v>170.67741935483872</v>
      </c>
      <c r="G124" s="32">
        <v>182.16666666666669</v>
      </c>
      <c r="H124" s="32">
        <v>171.56666666666666</v>
      </c>
      <c r="I124" s="33">
        <f t="shared" si="4"/>
        <v>0.7417076087861173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">
      <c r="A125" s="30" t="s">
        <v>37</v>
      </c>
      <c r="B125" s="31">
        <v>217.34912055061179</v>
      </c>
      <c r="C125" s="32">
        <v>181.53333333333333</v>
      </c>
      <c r="D125" s="32">
        <v>191.92857142857144</v>
      </c>
      <c r="E125" s="32">
        <v>227.3</v>
      </c>
      <c r="F125" s="32">
        <v>230.51612903225805</v>
      </c>
      <c r="G125" s="32">
        <v>248.93333333333334</v>
      </c>
      <c r="H125" s="32">
        <v>222.56666666666666</v>
      </c>
      <c r="I125" s="33">
        <f t="shared" si="4"/>
        <v>1.0240053702671408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">
      <c r="A126" s="30" t="s">
        <v>38</v>
      </c>
      <c r="B126" s="31">
        <v>289.96176307007784</v>
      </c>
      <c r="C126" s="32">
        <v>286.64516129032256</v>
      </c>
      <c r="D126" s="32">
        <v>298.46428571428572</v>
      </c>
      <c r="E126" s="32">
        <v>315.7</v>
      </c>
      <c r="F126" s="32">
        <v>321.38709677419354</v>
      </c>
      <c r="G126" s="32">
        <v>337.3</v>
      </c>
      <c r="H126" s="32">
        <v>310.13333333333333</v>
      </c>
      <c r="I126" s="33">
        <f t="shared" si="4"/>
        <v>1.0695663112600831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">
      <c r="A127" s="30" t="s">
        <v>39</v>
      </c>
      <c r="B127" s="31" cm="1">
        <f t="array" ref="B127:B130">+TRANSPOSE('[1]Energía Eléctrica'!$S$25:$V$25)</f>
        <v>318.37519128998548</v>
      </c>
      <c r="C127" s="32">
        <v>280.43145161290323</v>
      </c>
      <c r="D127" s="32">
        <v>283.5</v>
      </c>
      <c r="E127" s="32">
        <v>303.64301075268816</v>
      </c>
      <c r="F127" s="32">
        <v>305.5311827956989</v>
      </c>
      <c r="G127" s="32">
        <v>320.63333333333338</v>
      </c>
      <c r="H127" s="32">
        <v>304.64946236559138</v>
      </c>
      <c r="I127" s="33">
        <f t="shared" si="4"/>
        <v>0.95688819575174655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">
      <c r="A128" s="30" t="s">
        <v>40</v>
      </c>
      <c r="B128" s="31">
        <v>252.67001529477199</v>
      </c>
      <c r="C128" s="32">
        <v>289.61290322580646</v>
      </c>
      <c r="D128" s="32">
        <v>282.89285714285717</v>
      </c>
      <c r="E128" s="32">
        <v>313.73333333333335</v>
      </c>
      <c r="F128" s="32">
        <v>293.09677419354841</v>
      </c>
      <c r="G128" s="32">
        <v>307.93333333333334</v>
      </c>
      <c r="H128" s="32">
        <v>293.23333333333335</v>
      </c>
      <c r="I128" s="33">
        <f t="shared" si="4"/>
        <v>1.1605387089213537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">
      <c r="A129" s="30" t="s">
        <v>41</v>
      </c>
      <c r="B129" s="31">
        <v>287.32960233592883</v>
      </c>
      <c r="C129" s="32">
        <v>253.70967741935485</v>
      </c>
      <c r="D129" s="32">
        <v>259.78571428571428</v>
      </c>
      <c r="E129" s="32">
        <v>276.66666666666669</v>
      </c>
      <c r="F129" s="32">
        <v>288.19354838709677</v>
      </c>
      <c r="G129" s="32">
        <v>292.06666666666666</v>
      </c>
      <c r="H129" s="32">
        <v>272.5</v>
      </c>
      <c r="I129" s="33">
        <f t="shared" si="4"/>
        <v>0.94838818480460318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">
      <c r="A130" s="30" t="s">
        <v>42</v>
      </c>
      <c r="B130" s="31">
        <v>272.51976154060065</v>
      </c>
      <c r="C130" s="32">
        <v>254.48387096774192</v>
      </c>
      <c r="D130" s="32">
        <v>254.35714285714286</v>
      </c>
      <c r="E130" s="32">
        <v>277.73333333333335</v>
      </c>
      <c r="F130" s="32">
        <v>260.51612903225805</v>
      </c>
      <c r="G130" s="32">
        <v>291.16666666666669</v>
      </c>
      <c r="H130" s="32">
        <v>257.2</v>
      </c>
      <c r="I130" s="33">
        <f t="shared" si="4"/>
        <v>0.94378476828984637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">
      <c r="A131" s="30" t="s">
        <v>43</v>
      </c>
      <c r="B131" s="31" cm="1">
        <f t="array" ref="B131">+TRANSPOSE('[1]Energía Eléctrica'!$X$25)</f>
        <v>249.48335824527251</v>
      </c>
      <c r="C131" s="32">
        <v>225</v>
      </c>
      <c r="D131" s="32">
        <v>230.57142857142858</v>
      </c>
      <c r="E131" s="32">
        <v>252.63333333333333</v>
      </c>
      <c r="F131" s="32">
        <v>241.67741935483872</v>
      </c>
      <c r="G131" s="32">
        <v>261.73333333333335</v>
      </c>
      <c r="H131" s="32">
        <v>245</v>
      </c>
      <c r="I131" s="33">
        <f t="shared" si="4"/>
        <v>0.98202942963087414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">
      <c r="A132" s="30" t="s">
        <v>44</v>
      </c>
      <c r="B132" s="31" cm="1">
        <f t="array" ref="B132:B198">+TRANSPOSE('[1]Energía Eléctrica'!$Z$25:$CN$25)</f>
        <v>267.24066671301443</v>
      </c>
      <c r="C132" s="32">
        <v>281.29032258064518</v>
      </c>
      <c r="D132" s="32">
        <v>261.42857142857144</v>
      </c>
      <c r="E132" s="32">
        <v>289.33333333333331</v>
      </c>
      <c r="F132" s="32">
        <v>319.38709677419354</v>
      </c>
      <c r="G132" s="32">
        <v>325.10000000000002</v>
      </c>
      <c r="H132" s="32">
        <v>293.5</v>
      </c>
      <c r="I132" s="33">
        <f t="shared" si="4"/>
        <v>1.0982609930216387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">
      <c r="A133" s="30" t="s">
        <v>45</v>
      </c>
      <c r="B133" s="31">
        <v>249.97711540811338</v>
      </c>
      <c r="C133" s="32">
        <v>230.3516129032258</v>
      </c>
      <c r="D133" s="32">
        <v>223.89285714285714</v>
      </c>
      <c r="E133" s="32">
        <v>240.58505747126438</v>
      </c>
      <c r="F133" s="32">
        <v>251.34173387096774</v>
      </c>
      <c r="G133" s="32">
        <v>258.26666666666665</v>
      </c>
      <c r="H133" s="32">
        <v>235.97471264367815</v>
      </c>
      <c r="I133" s="33">
        <f t="shared" si="4"/>
        <v>0.94398526144453321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">
      <c r="A134" s="30" t="s">
        <v>46</v>
      </c>
      <c r="B134" s="31">
        <v>324.78125</v>
      </c>
      <c r="C134" s="32">
        <v>314.16129032258061</v>
      </c>
      <c r="D134" s="32">
        <v>311.96428571428567</v>
      </c>
      <c r="E134" s="32">
        <v>342.8</v>
      </c>
      <c r="F134" s="32">
        <v>376.22580645161293</v>
      </c>
      <c r="G134" s="32">
        <v>370.0333333333333</v>
      </c>
      <c r="H134" s="32">
        <v>349.4666666666667</v>
      </c>
      <c r="I134" s="33">
        <f t="shared" si="4"/>
        <v>1.0760062862824338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">
      <c r="A135" s="30" t="s">
        <v>47</v>
      </c>
      <c r="B135" s="31">
        <v>255.48135949666295</v>
      </c>
      <c r="C135" s="32">
        <v>256.16666666666663</v>
      </c>
      <c r="D135" s="32">
        <v>253.46428571428572</v>
      </c>
      <c r="E135" s="32">
        <v>272.66666666666663</v>
      </c>
      <c r="F135" s="32">
        <v>268.51612903225805</v>
      </c>
      <c r="G135" s="32">
        <v>287.39999999999998</v>
      </c>
      <c r="H135" s="32">
        <v>272.23333333333335</v>
      </c>
      <c r="I135" s="33">
        <f t="shared" si="4"/>
        <v>1.0655702391347623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">
      <c r="A136" s="30" t="s">
        <v>48</v>
      </c>
      <c r="B136" s="31">
        <v>336.05500034760843</v>
      </c>
      <c r="C136" s="32">
        <v>307.96774193548384</v>
      </c>
      <c r="D136" s="32">
        <v>305.21428571428572</v>
      </c>
      <c r="E136" s="32">
        <v>325.26666666666665</v>
      </c>
      <c r="F136" s="32">
        <v>323.35483870967738</v>
      </c>
      <c r="G136" s="32">
        <v>349.23333333333335</v>
      </c>
      <c r="H136" s="32">
        <v>327.13333333333333</v>
      </c>
      <c r="I136" s="33">
        <f t="shared" si="4"/>
        <v>0.97345176532101374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2">
      <c r="A137" s="30" t="s">
        <v>49</v>
      </c>
      <c r="B137" s="31">
        <v>296.17074527252504</v>
      </c>
      <c r="C137" s="32">
        <v>300.64516129032256</v>
      </c>
      <c r="D137" s="32">
        <v>310</v>
      </c>
      <c r="E137" s="32">
        <v>322.66666666666669</v>
      </c>
      <c r="F137" s="32">
        <v>345.80645161290323</v>
      </c>
      <c r="G137" s="32">
        <v>348</v>
      </c>
      <c r="H137" s="32">
        <v>326.66666666666669</v>
      </c>
      <c r="I137" s="33">
        <f t="shared" si="4"/>
        <v>1.1029673655515182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2">
      <c r="A138" s="30" t="s">
        <v>50</v>
      </c>
      <c r="B138" s="31">
        <v>195</v>
      </c>
      <c r="C138" s="32">
        <v>180.48387096774192</v>
      </c>
      <c r="D138" s="32">
        <v>180.78571428571428</v>
      </c>
      <c r="E138" s="32">
        <v>175.83333333333334</v>
      </c>
      <c r="F138" s="32">
        <v>173.45161290322579</v>
      </c>
      <c r="G138" s="32">
        <v>182.13333333333333</v>
      </c>
      <c r="H138" s="32">
        <v>171.66666666666666</v>
      </c>
      <c r="I138" s="33">
        <f t="shared" si="4"/>
        <v>0.88034188034188032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2">
      <c r="A139" s="30" t="s">
        <v>51</v>
      </c>
      <c r="B139" s="31">
        <v>270.96145022246941</v>
      </c>
      <c r="C139" s="32">
        <v>266.45161290322579</v>
      </c>
      <c r="D139" s="32">
        <v>261.85714285714283</v>
      </c>
      <c r="E139" s="32">
        <v>279.73333333333335</v>
      </c>
      <c r="F139" s="32">
        <v>294.51612903225805</v>
      </c>
      <c r="G139" s="32">
        <v>319.96666666666664</v>
      </c>
      <c r="H139" s="32">
        <v>301.66666666666669</v>
      </c>
      <c r="I139" s="33">
        <f t="shared" si="4"/>
        <v>1.1133195014234947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2">
      <c r="A140" s="35" t="s">
        <v>52</v>
      </c>
      <c r="B140" s="31">
        <v>354.19165392102332</v>
      </c>
      <c r="C140" s="32">
        <v>350.7</v>
      </c>
      <c r="D140" s="32">
        <v>341.5</v>
      </c>
      <c r="E140" s="32">
        <v>379.16666666666669</v>
      </c>
      <c r="F140" s="32">
        <v>411.90322580645159</v>
      </c>
      <c r="G140" s="32">
        <v>391.16666666666669</v>
      </c>
      <c r="H140" s="32">
        <v>330.93333333333334</v>
      </c>
      <c r="I140" s="33">
        <f t="shared" si="4"/>
        <v>0.93433408063060663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">
      <c r="A141" s="35" t="s">
        <v>53</v>
      </c>
      <c r="B141" s="31">
        <v>381.33377363737486</v>
      </c>
      <c r="C141" s="32">
        <v>376.77419354838707</v>
      </c>
      <c r="D141" s="32">
        <v>371.42857142857144</v>
      </c>
      <c r="E141" s="32">
        <v>350.66666666666669</v>
      </c>
      <c r="F141" s="32">
        <v>349.67741935483872</v>
      </c>
      <c r="G141" s="32">
        <v>350.66666666666669</v>
      </c>
      <c r="H141" s="32">
        <v>329.33333333333331</v>
      </c>
      <c r="I141" s="33">
        <f t="shared" si="4"/>
        <v>0.86363536644543115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2">
      <c r="A142" s="30" t="s">
        <v>54</v>
      </c>
      <c r="B142" s="31">
        <v>226.84891777901373</v>
      </c>
      <c r="C142" s="32">
        <v>200.12903225806451</v>
      </c>
      <c r="D142" s="32">
        <v>196.82142857142856</v>
      </c>
      <c r="E142" s="32">
        <v>209.83333333333331</v>
      </c>
      <c r="F142" s="32">
        <v>210.81505376344089</v>
      </c>
      <c r="G142" s="32">
        <v>223.62903225806451</v>
      </c>
      <c r="H142" s="32">
        <v>222.29999999999998</v>
      </c>
      <c r="I142" s="33">
        <f t="shared" si="4"/>
        <v>0.97994736839148111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">
      <c r="A143" s="30" t="s">
        <v>55</v>
      </c>
      <c r="B143" s="31">
        <v>190.74784968056139</v>
      </c>
      <c r="C143" s="32">
        <v>181.93548387096774</v>
      </c>
      <c r="D143" s="32">
        <v>181.10714285714286</v>
      </c>
      <c r="E143" s="32">
        <v>198.06666666666666</v>
      </c>
      <c r="F143" s="32">
        <v>229.61290322580646</v>
      </c>
      <c r="G143" s="32">
        <v>199.83333333333334</v>
      </c>
      <c r="H143" s="32">
        <v>199.6</v>
      </c>
      <c r="I143" s="33">
        <f t="shared" si="4"/>
        <v>1.0464076021525957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2">
      <c r="A144" s="30" t="s">
        <v>56</v>
      </c>
      <c r="B144" s="31">
        <v>234.4374391685206</v>
      </c>
      <c r="C144" s="32">
        <v>231.70967741935485</v>
      </c>
      <c r="D144" s="32">
        <v>229.10714285714286</v>
      </c>
      <c r="E144" s="32">
        <v>238.96666666666667</v>
      </c>
      <c r="F144" s="32">
        <v>251.67741935483872</v>
      </c>
      <c r="G144" s="32">
        <v>248.83333333333334</v>
      </c>
      <c r="H144" s="32">
        <v>245.6</v>
      </c>
      <c r="I144" s="33">
        <f t="shared" si="4"/>
        <v>1.0476142414414253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2">
      <c r="A145" s="30" t="s">
        <v>57</v>
      </c>
      <c r="B145" s="31">
        <v>299.81555026418243</v>
      </c>
      <c r="C145" s="32">
        <v>297</v>
      </c>
      <c r="D145" s="32">
        <v>327.78571428571428</v>
      </c>
      <c r="E145" s="32">
        <v>349.59999999999997</v>
      </c>
      <c r="F145" s="32">
        <v>360</v>
      </c>
      <c r="G145" s="32">
        <v>374.76666666666665</v>
      </c>
      <c r="H145" s="32">
        <v>333.59999999999997</v>
      </c>
      <c r="I145" s="33">
        <f t="shared" si="4"/>
        <v>1.1126841143031052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">
      <c r="A146" s="30" t="s">
        <v>58</v>
      </c>
      <c r="B146" s="31">
        <v>261.95752688172047</v>
      </c>
      <c r="C146" s="32">
        <v>212.06451612903226</v>
      </c>
      <c r="D146" s="32">
        <v>199.35714285714286</v>
      </c>
      <c r="E146" s="32">
        <v>225.36559139784947</v>
      </c>
      <c r="F146" s="32">
        <v>245.76666666666668</v>
      </c>
      <c r="G146" s="32">
        <v>266.13333333333333</v>
      </c>
      <c r="H146" s="32">
        <v>226.71720430107524</v>
      </c>
      <c r="I146" s="33">
        <f t="shared" si="4"/>
        <v>0.86547314368043715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">
      <c r="A147" s="30" t="s">
        <v>59</v>
      </c>
      <c r="B147" s="31">
        <v>285</v>
      </c>
      <c r="C147" s="32">
        <v>266.25806451612902</v>
      </c>
      <c r="D147" s="32">
        <v>266.85714285714289</v>
      </c>
      <c r="E147" s="32">
        <v>293.36666666666662</v>
      </c>
      <c r="F147" s="32">
        <v>311.38709677419359</v>
      </c>
      <c r="G147" s="32">
        <v>329.03333333333336</v>
      </c>
      <c r="H147" s="32">
        <v>321.66666666666669</v>
      </c>
      <c r="I147" s="33">
        <f t="shared" si="4"/>
        <v>1.128654970760234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">
      <c r="A148" s="30" t="s">
        <v>60</v>
      </c>
      <c r="B148" s="31">
        <v>295.69267936596214</v>
      </c>
      <c r="C148" s="32">
        <v>270.03225806451616</v>
      </c>
      <c r="D148" s="32">
        <v>275.07142857142856</v>
      </c>
      <c r="E148" s="32">
        <v>284.66666666666663</v>
      </c>
      <c r="F148" s="32">
        <v>299</v>
      </c>
      <c r="G148" s="32">
        <v>304.83333333333331</v>
      </c>
      <c r="H148" s="32">
        <v>296.5333333333333</v>
      </c>
      <c r="I148" s="33">
        <f t="shared" si="4"/>
        <v>1.0028429989175713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">
      <c r="A149" s="30" t="s">
        <v>61</v>
      </c>
      <c r="B149" s="31">
        <v>259.0314736506773</v>
      </c>
      <c r="C149" s="32">
        <v>248.625</v>
      </c>
      <c r="D149" s="32">
        <v>235.71428571428572</v>
      </c>
      <c r="E149" s="32">
        <v>255</v>
      </c>
      <c r="F149" s="32">
        <v>237.75</v>
      </c>
      <c r="G149" s="32">
        <v>272.36666666666667</v>
      </c>
      <c r="H149" s="32">
        <v>270</v>
      </c>
      <c r="I149" s="33">
        <f t="shared" si="4"/>
        <v>1.0423443769003706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2">
      <c r="A150" s="30" t="s">
        <v>62</v>
      </c>
      <c r="B150" s="31">
        <v>290.48634767797552</v>
      </c>
      <c r="C150" s="32">
        <v>243.45161290322579</v>
      </c>
      <c r="D150" s="32">
        <v>238.60714285714286</v>
      </c>
      <c r="E150" s="32">
        <v>248.03333333333333</v>
      </c>
      <c r="F150" s="32">
        <v>271.25806451612902</v>
      </c>
      <c r="G150" s="32">
        <v>292.5</v>
      </c>
      <c r="H150" s="32">
        <v>296.3</v>
      </c>
      <c r="I150" s="33">
        <f t="shared" si="4"/>
        <v>1.0200135130910502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">
      <c r="A151" s="30" t="s">
        <v>63</v>
      </c>
      <c r="B151" s="31">
        <v>279.61602301167966</v>
      </c>
      <c r="C151" s="32">
        <v>255.48387096774192</v>
      </c>
      <c r="D151" s="32">
        <v>249.96428571428572</v>
      </c>
      <c r="E151" s="32">
        <v>262.36666666666667</v>
      </c>
      <c r="F151" s="32">
        <v>271.80645161290323</v>
      </c>
      <c r="G151" s="32">
        <v>282.56666666666666</v>
      </c>
      <c r="H151" s="32">
        <v>261.16666666666669</v>
      </c>
      <c r="I151" s="33">
        <f t="shared" si="4"/>
        <v>0.93401895876245145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">
      <c r="A152" s="30" t="s">
        <v>64</v>
      </c>
      <c r="B152" s="31">
        <v>315.46835288367549</v>
      </c>
      <c r="C152" s="32">
        <v>325.40020161290323</v>
      </c>
      <c r="D152" s="32">
        <v>325.5</v>
      </c>
      <c r="E152" s="32">
        <v>346.09892473118282</v>
      </c>
      <c r="F152" s="32">
        <v>348.16881720430109</v>
      </c>
      <c r="G152" s="32">
        <v>359.83333333333331</v>
      </c>
      <c r="H152" s="32">
        <v>332.2021505376344</v>
      </c>
      <c r="I152" s="33">
        <f t="shared" si="4"/>
        <v>1.0530442990588322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">
      <c r="A153" s="30" t="s">
        <v>65</v>
      </c>
      <c r="B153" s="31">
        <v>259.58454706618465</v>
      </c>
      <c r="C153" s="32">
        <v>253.70967741935485</v>
      </c>
      <c r="D153" s="32">
        <v>244.42857142857142</v>
      </c>
      <c r="E153" s="32">
        <v>265.86666666666667</v>
      </c>
      <c r="F153" s="32">
        <v>267.38709677419354</v>
      </c>
      <c r="G153" s="32">
        <v>280.10000000000002</v>
      </c>
      <c r="H153" s="32">
        <v>253.93333333333334</v>
      </c>
      <c r="I153" s="33">
        <f t="shared" si="4"/>
        <v>0.97822977601432315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">
      <c r="A154" s="30" t="s">
        <v>66</v>
      </c>
      <c r="B154" s="31">
        <v>277.09070842602893</v>
      </c>
      <c r="C154" s="32">
        <v>248.52725250278087</v>
      </c>
      <c r="D154" s="32">
        <v>247.21428571428572</v>
      </c>
      <c r="E154" s="32">
        <v>261.2</v>
      </c>
      <c r="F154" s="32">
        <v>270.22580645161287</v>
      </c>
      <c r="G154" s="32">
        <v>279.66666666666669</v>
      </c>
      <c r="H154" s="32">
        <v>256.10919540229884</v>
      </c>
      <c r="I154" s="33">
        <f t="shared" si="4"/>
        <v>0.92427926167964147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2">
      <c r="A155" s="30" t="s">
        <v>67</v>
      </c>
      <c r="B155" s="31">
        <v>243.49438800446862</v>
      </c>
      <c r="C155" s="32">
        <v>222.96774193548387</v>
      </c>
      <c r="D155" s="32">
        <v>213.14285714285714</v>
      </c>
      <c r="E155" s="32">
        <v>245.37931034482759</v>
      </c>
      <c r="F155" s="32">
        <v>281.625</v>
      </c>
      <c r="G155" s="32">
        <v>253.93333333333334</v>
      </c>
      <c r="H155" s="32">
        <v>231.41379310344828</v>
      </c>
      <c r="I155" s="33">
        <f t="shared" si="4"/>
        <v>0.95038655716041132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2">
      <c r="A156" s="35" t="s">
        <v>68</v>
      </c>
      <c r="B156" s="31">
        <v>357.69207105116794</v>
      </c>
      <c r="C156" s="32">
        <v>377.51612903225805</v>
      </c>
      <c r="D156" s="32">
        <v>283</v>
      </c>
      <c r="E156" s="32">
        <v>396.48095238095237</v>
      </c>
      <c r="F156" s="32">
        <v>319.94854070660517</v>
      </c>
      <c r="G156" s="32">
        <v>326.5</v>
      </c>
      <c r="H156" s="32">
        <v>305.5</v>
      </c>
      <c r="I156" s="33">
        <f t="shared" si="4"/>
        <v>0.85408658654974257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">
      <c r="A157" s="30" t="s">
        <v>69</v>
      </c>
      <c r="B157" s="31">
        <v>239.54333808398221</v>
      </c>
      <c r="C157" s="32">
        <v>231.70967741935485</v>
      </c>
      <c r="D157" s="32">
        <v>222.96428571428572</v>
      </c>
      <c r="E157" s="32">
        <v>228.76666666666668</v>
      </c>
      <c r="F157" s="32">
        <v>234.90322580645162</v>
      </c>
      <c r="G157" s="32">
        <v>229.23333333333332</v>
      </c>
      <c r="H157" s="32">
        <v>236.5</v>
      </c>
      <c r="I157" s="33">
        <f t="shared" si="4"/>
        <v>0.98729525058670076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">
      <c r="A158" s="30" t="s">
        <v>70</v>
      </c>
      <c r="B158" s="31">
        <v>320</v>
      </c>
      <c r="C158" s="32">
        <v>311.12903225806457</v>
      </c>
      <c r="D158" s="32">
        <v>301.17857142857144</v>
      </c>
      <c r="E158" s="32">
        <v>320.5</v>
      </c>
      <c r="F158" s="32">
        <v>348.35483870967738</v>
      </c>
      <c r="G158" s="32">
        <v>305.13333333333333</v>
      </c>
      <c r="H158" s="32">
        <v>336.3</v>
      </c>
      <c r="I158" s="33">
        <f t="shared" si="4"/>
        <v>1.0509375000000001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">
      <c r="A159" s="30" t="s">
        <v>71</v>
      </c>
      <c r="B159" s="31">
        <v>254.81695807842047</v>
      </c>
      <c r="C159" s="32">
        <v>216.48387096774192</v>
      </c>
      <c r="D159" s="32">
        <v>207.89285714285714</v>
      </c>
      <c r="E159" s="32">
        <v>236.76666666666668</v>
      </c>
      <c r="F159" s="32">
        <v>235.67741935483872</v>
      </c>
      <c r="G159" s="32">
        <v>237.43333333333334</v>
      </c>
      <c r="H159" s="32">
        <v>229.76666666666668</v>
      </c>
      <c r="I159" s="33">
        <f t="shared" si="4"/>
        <v>0.90169299719823004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">
      <c r="A160" s="30" t="s">
        <v>72</v>
      </c>
      <c r="B160" s="31">
        <v>242.36041666666668</v>
      </c>
      <c r="C160" s="32">
        <v>229.51612903225808</v>
      </c>
      <c r="D160" s="32">
        <v>228.17857142857142</v>
      </c>
      <c r="E160" s="32">
        <v>250.06666666666666</v>
      </c>
      <c r="F160" s="32">
        <v>257.67741935483872</v>
      </c>
      <c r="G160" s="32">
        <v>266.66666666666669</v>
      </c>
      <c r="H160" s="32">
        <v>249.63333333333333</v>
      </c>
      <c r="I160" s="33">
        <f t="shared" si="4"/>
        <v>1.0300086819733008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">
      <c r="A161" s="30" t="s">
        <v>73</v>
      </c>
      <c r="B161" s="31">
        <v>324.32016476640712</v>
      </c>
      <c r="C161" s="32">
        <v>321.87096774193549</v>
      </c>
      <c r="D161" s="32">
        <v>316.25</v>
      </c>
      <c r="E161" s="32">
        <v>335.66666666666669</v>
      </c>
      <c r="F161" s="32">
        <v>343.77419354838707</v>
      </c>
      <c r="G161" s="32">
        <v>346.53333333333336</v>
      </c>
      <c r="H161" s="32">
        <v>326.96666666666664</v>
      </c>
      <c r="I161" s="33">
        <f t="shared" si="4"/>
        <v>1.0081601521822292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">
      <c r="A162" s="30" t="s">
        <v>74</v>
      </c>
      <c r="B162" s="31">
        <v>315.86522351223584</v>
      </c>
      <c r="C162" s="32">
        <v>274.64516129032256</v>
      </c>
      <c r="D162" s="32">
        <v>263.17857142857144</v>
      </c>
      <c r="E162" s="32">
        <v>278.46666666666664</v>
      </c>
      <c r="F162" s="32">
        <v>298.74193548387098</v>
      </c>
      <c r="G162" s="32">
        <v>288.3</v>
      </c>
      <c r="H162" s="32">
        <v>258.7</v>
      </c>
      <c r="I162" s="33">
        <f t="shared" si="4"/>
        <v>0.8190202046411057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">
      <c r="A163" s="30" t="s">
        <v>75</v>
      </c>
      <c r="B163" s="31">
        <v>244.08397810187125</v>
      </c>
      <c r="C163" s="32">
        <v>228.32258064516128</v>
      </c>
      <c r="D163" s="32">
        <v>256.89285714285717</v>
      </c>
      <c r="E163" s="32">
        <v>216.65517241379311</v>
      </c>
      <c r="F163" s="32">
        <v>255.15625</v>
      </c>
      <c r="G163" s="32">
        <v>254.36666666666667</v>
      </c>
      <c r="H163" s="32">
        <v>232.9655172413793</v>
      </c>
      <c r="I163" s="33">
        <f t="shared" si="4"/>
        <v>0.95444821513089428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">
      <c r="A164" s="30" t="s">
        <v>76</v>
      </c>
      <c r="B164" s="31">
        <v>264.90725806451616</v>
      </c>
      <c r="C164" s="32">
        <v>297.06451612903226</v>
      </c>
      <c r="D164" s="32">
        <v>513.78571428571433</v>
      </c>
      <c r="E164" s="32">
        <v>272.78571428571428</v>
      </c>
      <c r="F164" s="32">
        <v>302.70967741935482</v>
      </c>
      <c r="G164" s="32">
        <v>338.7</v>
      </c>
      <c r="H164" s="32">
        <v>315.29032258064518</v>
      </c>
      <c r="I164" s="33">
        <f t="shared" si="4"/>
        <v>1.1901913329375771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">
      <c r="A165" s="30" t="s">
        <v>77</v>
      </c>
      <c r="B165" s="31">
        <v>275.16653052002221</v>
      </c>
      <c r="C165" s="32">
        <v>255.87096774193549</v>
      </c>
      <c r="D165" s="32">
        <v>250.42857142857142</v>
      </c>
      <c r="E165" s="32">
        <v>267.8</v>
      </c>
      <c r="F165" s="32">
        <v>288.35483870967744</v>
      </c>
      <c r="G165" s="32">
        <v>282.60000000000002</v>
      </c>
      <c r="H165" s="32">
        <v>274.86666666666667</v>
      </c>
      <c r="I165" s="33">
        <f t="shared" si="4"/>
        <v>0.99891024590531108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">
      <c r="A166" s="30" t="s">
        <v>78</v>
      </c>
      <c r="B166" s="31">
        <v>208</v>
      </c>
      <c r="C166" s="32">
        <v>196.45161290322579</v>
      </c>
      <c r="D166" s="32">
        <v>192.82142857142858</v>
      </c>
      <c r="E166" s="32">
        <v>201.2</v>
      </c>
      <c r="F166" s="32">
        <v>212.70967741935485</v>
      </c>
      <c r="G166" s="32">
        <v>220.93333333333334</v>
      </c>
      <c r="H166" s="32">
        <v>222.03333333333333</v>
      </c>
      <c r="I166" s="33">
        <f t="shared" si="4"/>
        <v>1.0674679487179488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">
      <c r="A167" s="30" t="s">
        <v>79</v>
      </c>
      <c r="B167" s="31">
        <v>303.04741379310349</v>
      </c>
      <c r="C167" s="32">
        <v>275.74193548387098</v>
      </c>
      <c r="D167" s="32">
        <v>273.57142857142856</v>
      </c>
      <c r="E167" s="32">
        <v>289.96666666666664</v>
      </c>
      <c r="F167" s="32">
        <v>291.16129032258067</v>
      </c>
      <c r="G167" s="32">
        <v>301.93333333333334</v>
      </c>
      <c r="H167" s="32">
        <v>288.5</v>
      </c>
      <c r="I167" s="33">
        <f t="shared" si="4"/>
        <v>0.95199624503961189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">
      <c r="A168" s="30" t="s">
        <v>80</v>
      </c>
      <c r="B168" s="31">
        <v>254.79913445494995</v>
      </c>
      <c r="C168" s="32">
        <v>259.48387096774195</v>
      </c>
      <c r="D168" s="32">
        <v>258</v>
      </c>
      <c r="E168" s="32">
        <v>314.89999999999998</v>
      </c>
      <c r="F168" s="32">
        <v>329.67741935483872</v>
      </c>
      <c r="G168" s="32">
        <v>329</v>
      </c>
      <c r="H168" s="32">
        <v>299.76666666666665</v>
      </c>
      <c r="I168" s="33">
        <f t="shared" si="4"/>
        <v>1.1764822800827341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">
      <c r="A169" s="30" t="s">
        <v>81</v>
      </c>
      <c r="B169" s="31">
        <v>248</v>
      </c>
      <c r="C169" s="32">
        <v>261.74193548387098</v>
      </c>
      <c r="D169" s="32">
        <v>245.39285714285714</v>
      </c>
      <c r="E169" s="32">
        <v>243.13793103448276</v>
      </c>
      <c r="F169" s="32">
        <v>256.51612903225805</v>
      </c>
      <c r="G169" s="32">
        <v>265.53333333333336</v>
      </c>
      <c r="H169" s="32">
        <v>250.68965517241378</v>
      </c>
      <c r="I169" s="33">
        <f t="shared" si="4"/>
        <v>1.0108453837597329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">
      <c r="A170" s="30" t="s">
        <v>82</v>
      </c>
      <c r="B170" s="31">
        <v>281.85727196885432</v>
      </c>
      <c r="C170" s="32">
        <v>273.54838709677421</v>
      </c>
      <c r="D170" s="32">
        <v>272.85714285714283</v>
      </c>
      <c r="E170" s="32">
        <v>292</v>
      </c>
      <c r="F170" s="32">
        <v>295.48387096774195</v>
      </c>
      <c r="G170" s="32">
        <v>290.66666666666669</v>
      </c>
      <c r="H170" s="32">
        <v>280</v>
      </c>
      <c r="I170" s="33">
        <f t="shared" si="4"/>
        <v>0.9934105941071496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">
      <c r="A171" s="30" t="s">
        <v>83</v>
      </c>
      <c r="B171" s="31">
        <v>205</v>
      </c>
      <c r="C171" s="32">
        <v>193.45161290322579</v>
      </c>
      <c r="D171" s="32">
        <v>184.92857142857142</v>
      </c>
      <c r="E171" s="32">
        <v>194.16666666666666</v>
      </c>
      <c r="F171" s="32">
        <v>200.58064516129033</v>
      </c>
      <c r="G171" s="32">
        <v>189.5</v>
      </c>
      <c r="H171" s="32">
        <v>175.06666666666666</v>
      </c>
      <c r="I171" s="33">
        <f t="shared" si="4"/>
        <v>0.85398373983739839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">
      <c r="A172" s="35" t="s">
        <v>84</v>
      </c>
      <c r="B172" s="31">
        <v>373.01161012235821</v>
      </c>
      <c r="C172" s="32">
        <v>368.35483870967744</v>
      </c>
      <c r="D172" s="32">
        <v>368.28571428571428</v>
      </c>
      <c r="E172" s="32">
        <v>372</v>
      </c>
      <c r="F172" s="32">
        <v>384.70967741935482</v>
      </c>
      <c r="G172" s="32">
        <v>389.96666666666664</v>
      </c>
      <c r="H172" s="32">
        <v>371.66666666666669</v>
      </c>
      <c r="I172" s="33">
        <f t="shared" ref="I172:I200" si="5">IFERROR((H172/B172),0)</f>
        <v>0.99639436570017126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">
      <c r="A173" s="30" t="s">
        <v>85</v>
      </c>
      <c r="B173" s="31">
        <v>296.58667609272447</v>
      </c>
      <c r="C173" s="32">
        <v>274.83870967741933</v>
      </c>
      <c r="D173" s="32">
        <v>285.71428571428572</v>
      </c>
      <c r="E173" s="32">
        <v>313.33333333333331</v>
      </c>
      <c r="F173" s="32">
        <v>335.48387096774195</v>
      </c>
      <c r="G173" s="32">
        <v>328</v>
      </c>
      <c r="H173" s="32">
        <v>337.33333333333331</v>
      </c>
      <c r="I173" s="33">
        <f t="shared" si="5"/>
        <v>1.1373853261967501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">
      <c r="A174" s="30" t="s">
        <v>86</v>
      </c>
      <c r="B174" s="31">
        <v>302.20558896459033</v>
      </c>
      <c r="C174" s="32">
        <v>260.23387096774195</v>
      </c>
      <c r="D174" s="32">
        <v>278.32142857142856</v>
      </c>
      <c r="E174" s="32">
        <v>311.46666666666664</v>
      </c>
      <c r="F174" s="32">
        <v>335.81290322580645</v>
      </c>
      <c r="G174" s="32">
        <v>334.94193548387096</v>
      </c>
      <c r="H174" s="32">
        <v>314.23333333333335</v>
      </c>
      <c r="I174" s="33">
        <f t="shared" si="5"/>
        <v>1.0397998740193792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">
      <c r="A175" s="30" t="s">
        <v>87</v>
      </c>
      <c r="B175" s="31">
        <v>295.12231182795699</v>
      </c>
      <c r="C175" s="32">
        <v>284.45161290322579</v>
      </c>
      <c r="D175" s="32">
        <v>275.74193548387098</v>
      </c>
      <c r="E175" s="32">
        <v>259.89285714285717</v>
      </c>
      <c r="F175" s="32">
        <v>148.64516129032259</v>
      </c>
      <c r="G175" s="32">
        <v>311.3</v>
      </c>
      <c r="H175" s="32">
        <v>295.74193548387098</v>
      </c>
      <c r="I175" s="33">
        <f t="shared" si="5"/>
        <v>1.0020995486653519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">
      <c r="A176" s="30" t="s">
        <v>88</v>
      </c>
      <c r="B176" s="31">
        <v>256.83919632925472</v>
      </c>
      <c r="C176" s="32">
        <v>250.48387096774192</v>
      </c>
      <c r="D176" s="32">
        <v>256.78571428571428</v>
      </c>
      <c r="E176" s="32">
        <v>280.06666666666666</v>
      </c>
      <c r="F176" s="32">
        <v>276.70967741935482</v>
      </c>
      <c r="G176" s="32">
        <v>286.03333333333336</v>
      </c>
      <c r="H176" s="32">
        <v>264.06666666666666</v>
      </c>
      <c r="I176" s="33">
        <f t="shared" si="5"/>
        <v>1.0281400597755597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">
      <c r="A177" s="30" t="s">
        <v>89</v>
      </c>
      <c r="B177" s="31">
        <v>245.0767754590839</v>
      </c>
      <c r="C177" s="32">
        <v>220.51612903225808</v>
      </c>
      <c r="D177" s="32">
        <v>232.46428571428572</v>
      </c>
      <c r="E177" s="32">
        <v>242</v>
      </c>
      <c r="F177" s="32">
        <v>234.15625</v>
      </c>
      <c r="G177" s="32">
        <v>263.56666666666666</v>
      </c>
      <c r="H177" s="32">
        <v>279.51724137931035</v>
      </c>
      <c r="I177" s="33">
        <f t="shared" si="5"/>
        <v>1.1405292927316826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">
      <c r="A178" s="30" t="s">
        <v>90</v>
      </c>
      <c r="B178" s="31">
        <v>282.27075222469409</v>
      </c>
      <c r="C178" s="32">
        <v>285.67741935483872</v>
      </c>
      <c r="D178" s="32">
        <v>274.57142857142856</v>
      </c>
      <c r="E178" s="32">
        <v>308.23333333333335</v>
      </c>
      <c r="F178" s="32">
        <v>314.96774193548384</v>
      </c>
      <c r="G178" s="32">
        <v>316.16666666666669</v>
      </c>
      <c r="H178" s="32">
        <v>292.43333333333334</v>
      </c>
      <c r="I178" s="33">
        <f t="shared" si="5"/>
        <v>1.0360029547111902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">
      <c r="A179" s="30" t="s">
        <v>91</v>
      </c>
      <c r="B179" s="31">
        <v>252</v>
      </c>
      <c r="C179" s="32">
        <v>357.41935483870969</v>
      </c>
      <c r="D179" s="32">
        <v>222.85714285714286</v>
      </c>
      <c r="E179" s="32">
        <v>244.13793103448276</v>
      </c>
      <c r="F179" s="32">
        <v>255</v>
      </c>
      <c r="G179" s="32">
        <v>262.66666666666669</v>
      </c>
      <c r="H179" s="32">
        <v>238.62068965517241</v>
      </c>
      <c r="I179" s="33">
        <f t="shared" si="5"/>
        <v>0.94690749863163659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">
      <c r="A180" s="22" t="s">
        <v>92</v>
      </c>
      <c r="B180" s="31">
        <v>285.72858731924362</v>
      </c>
      <c r="C180" s="32">
        <v>275</v>
      </c>
      <c r="D180" s="32">
        <v>284.28571428571428</v>
      </c>
      <c r="E180" s="32">
        <v>297.33333333333331</v>
      </c>
      <c r="F180" s="32">
        <v>301.93548387096774</v>
      </c>
      <c r="G180" s="32">
        <v>309.33333333333331</v>
      </c>
      <c r="H180" s="32">
        <v>293.33333333333331</v>
      </c>
      <c r="I180" s="33">
        <f t="shared" si="5"/>
        <v>1.0266152788051024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">
      <c r="A181" s="22" t="s">
        <v>93</v>
      </c>
      <c r="B181" s="31">
        <v>243.98394048943271</v>
      </c>
      <c r="C181" s="32">
        <v>265</v>
      </c>
      <c r="D181" s="32">
        <v>257.14285714285717</v>
      </c>
      <c r="E181" s="32">
        <v>272</v>
      </c>
      <c r="F181" s="32">
        <v>282.58064516129031</v>
      </c>
      <c r="G181" s="32">
        <v>284</v>
      </c>
      <c r="H181" s="32">
        <v>256</v>
      </c>
      <c r="I181" s="33">
        <f t="shared" si="5"/>
        <v>1.0492493870148298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">
      <c r="A182" s="22" t="s">
        <v>94</v>
      </c>
      <c r="B182" s="31">
        <v>245.50455367074528</v>
      </c>
      <c r="C182" s="32">
        <v>241.93548387096774</v>
      </c>
      <c r="D182" s="32">
        <v>240</v>
      </c>
      <c r="E182" s="32">
        <v>256</v>
      </c>
      <c r="F182" s="32">
        <v>267.09677419354841</v>
      </c>
      <c r="G182" s="32">
        <v>284</v>
      </c>
      <c r="H182" s="32">
        <v>252</v>
      </c>
      <c r="I182" s="33">
        <f t="shared" si="5"/>
        <v>1.0264575391052257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">
      <c r="A183" s="22" t="s">
        <v>95</v>
      </c>
      <c r="B183" s="31">
        <v>221.66317204301077</v>
      </c>
      <c r="C183" s="32">
        <v>216.1875</v>
      </c>
      <c r="D183" s="32">
        <v>207.03225806451613</v>
      </c>
      <c r="E183" s="32">
        <v>194.5</v>
      </c>
      <c r="F183" s="32">
        <v>247.13333333333333</v>
      </c>
      <c r="G183" s="32">
        <v>201.19354838709677</v>
      </c>
      <c r="H183" s="32">
        <v>223.67741935483872</v>
      </c>
      <c r="I183" s="33">
        <f t="shared" si="5"/>
        <v>1.0090869732362988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">
      <c r="A184" s="22" t="s">
        <v>96</v>
      </c>
      <c r="B184" s="31">
        <v>246.33989666247732</v>
      </c>
      <c r="C184" s="32">
        <v>225.80645161290323</v>
      </c>
      <c r="D184" s="32">
        <v>228.57142857142858</v>
      </c>
      <c r="E184" s="32">
        <v>235.86206896551724</v>
      </c>
      <c r="F184" s="32">
        <v>227.5</v>
      </c>
      <c r="G184" s="32">
        <v>249.33333333333334</v>
      </c>
      <c r="H184" s="32">
        <v>245.51724137931035</v>
      </c>
      <c r="I184" s="33">
        <f t="shared" si="5"/>
        <v>0.99666048701687115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">
      <c r="A185" s="22" t="s">
        <v>97</v>
      </c>
      <c r="B185" s="31">
        <v>320.16580923248051</v>
      </c>
      <c r="C185" s="32">
        <v>292.90322580645159</v>
      </c>
      <c r="D185" s="32">
        <v>298.57142857142856</v>
      </c>
      <c r="E185" s="32">
        <v>325.33333333333331</v>
      </c>
      <c r="F185" s="32">
        <v>348.38709677419354</v>
      </c>
      <c r="G185" s="32">
        <v>325.33333333333331</v>
      </c>
      <c r="H185" s="32">
        <v>318.66666666666669</v>
      </c>
      <c r="I185" s="33">
        <f t="shared" si="5"/>
        <v>0.99531760568248162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">
      <c r="A186" s="22" t="s">
        <v>98</v>
      </c>
      <c r="B186" s="31">
        <v>307.47144396551721</v>
      </c>
      <c r="C186" s="32">
        <v>322.06451612903226</v>
      </c>
      <c r="D186" s="32">
        <v>314.07142857142856</v>
      </c>
      <c r="E186" s="32">
        <v>330.13333333333333</v>
      </c>
      <c r="F186" s="32">
        <v>339.19354838709677</v>
      </c>
      <c r="G186" s="32">
        <v>332.4</v>
      </c>
      <c r="H186" s="32">
        <v>320.63333333333333</v>
      </c>
      <c r="I186" s="33">
        <f t="shared" si="5"/>
        <v>1.0428068675193531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">
      <c r="A187" s="22" t="s">
        <v>99</v>
      </c>
      <c r="B187" s="31">
        <v>185</v>
      </c>
      <c r="C187" s="32">
        <v>213.74193548387098</v>
      </c>
      <c r="D187" s="32">
        <v>247.1875</v>
      </c>
      <c r="E187" s="32">
        <v>218.21428571428572</v>
      </c>
      <c r="F187" s="32">
        <v>265.41379310344826</v>
      </c>
      <c r="G187" s="32">
        <v>266.32258064516128</v>
      </c>
      <c r="H187" s="32">
        <v>259.25806451612902</v>
      </c>
      <c r="I187" s="33">
        <f t="shared" si="5"/>
        <v>1.4013949433304271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">
      <c r="A188" s="22" t="s">
        <v>100</v>
      </c>
      <c r="B188" s="31">
        <v>310.33617213570631</v>
      </c>
      <c r="C188" s="32">
        <v>296.48387096774195</v>
      </c>
      <c r="D188" s="32">
        <v>269.35714285714283</v>
      </c>
      <c r="E188" s="32">
        <v>317.10000000000002</v>
      </c>
      <c r="F188" s="32">
        <v>339.12903225806451</v>
      </c>
      <c r="G188" s="32">
        <v>360.13333333333333</v>
      </c>
      <c r="H188" s="32">
        <v>335.96666666666664</v>
      </c>
      <c r="I188" s="33">
        <f t="shared" si="5"/>
        <v>1.0825894524462731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">
      <c r="A189" s="22" t="s">
        <v>101</v>
      </c>
      <c r="B189" s="31">
        <v>320.02855024100853</v>
      </c>
      <c r="C189" s="32">
        <v>271.09677419354841</v>
      </c>
      <c r="D189" s="32">
        <v>268.85714285714283</v>
      </c>
      <c r="E189" s="32">
        <v>294.96666666666664</v>
      </c>
      <c r="F189" s="32">
        <v>296.09677419354841</v>
      </c>
      <c r="G189" s="32">
        <v>318.60000000000002</v>
      </c>
      <c r="H189" s="32">
        <v>289.23333333333335</v>
      </c>
      <c r="I189" s="33">
        <f t="shared" si="5"/>
        <v>0.90377353244114067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">
      <c r="A190" s="22" t="s">
        <v>102</v>
      </c>
      <c r="B190" s="31">
        <v>263.4745550611791</v>
      </c>
      <c r="C190" s="32">
        <v>277.41935483870969</v>
      </c>
      <c r="D190" s="32">
        <v>281.42857142857144</v>
      </c>
      <c r="E190" s="32">
        <v>278.66666666666669</v>
      </c>
      <c r="F190" s="32">
        <v>336.77419354838707</v>
      </c>
      <c r="G190" s="32">
        <v>328</v>
      </c>
      <c r="H190" s="32">
        <v>318.66666666666669</v>
      </c>
      <c r="I190" s="33">
        <f t="shared" si="5"/>
        <v>1.2094779573407834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">
      <c r="A191" s="22" t="s">
        <v>103</v>
      </c>
      <c r="B191" s="31">
        <v>265.88257786429369</v>
      </c>
      <c r="C191" s="32">
        <v>234.83870967741936</v>
      </c>
      <c r="D191" s="32">
        <v>222.85714285714286</v>
      </c>
      <c r="E191" s="32">
        <v>254.66666666666666</v>
      </c>
      <c r="F191" s="32">
        <v>268.38709677419354</v>
      </c>
      <c r="G191" s="32">
        <v>286.66666666666669</v>
      </c>
      <c r="H191" s="32">
        <v>244</v>
      </c>
      <c r="I191" s="33">
        <f t="shared" si="5"/>
        <v>0.91769833871754269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">
      <c r="A192" s="22" t="s">
        <v>104</v>
      </c>
      <c r="B192" s="31">
        <v>324</v>
      </c>
      <c r="C192" s="32">
        <v>251.06451612903226</v>
      </c>
      <c r="D192" s="32">
        <v>246.71428571428572</v>
      </c>
      <c r="E192" s="32">
        <v>266.86666666666667</v>
      </c>
      <c r="F192" s="32">
        <v>284.93548387096774</v>
      </c>
      <c r="G192" s="32">
        <v>291.33333333333331</v>
      </c>
      <c r="H192" s="32">
        <v>262.89999999999998</v>
      </c>
      <c r="I192" s="33">
        <f t="shared" si="5"/>
        <v>0.81141975308641967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40" x14ac:dyDescent="0.2">
      <c r="A193" s="22" t="s">
        <v>105</v>
      </c>
      <c r="B193" s="31">
        <v>324</v>
      </c>
      <c r="C193" s="32">
        <v>211.61290322580646</v>
      </c>
      <c r="D193" s="32">
        <v>214.28571428571428</v>
      </c>
      <c r="E193" s="32">
        <v>228</v>
      </c>
      <c r="F193" s="32">
        <v>237.41935483870967</v>
      </c>
      <c r="G193" s="32">
        <v>242.66666666666666</v>
      </c>
      <c r="H193" s="32">
        <v>226.66666666666666</v>
      </c>
      <c r="I193" s="33">
        <f t="shared" si="5"/>
        <v>0.69958847736625507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40" x14ac:dyDescent="0.2">
      <c r="A194" s="22" t="s">
        <v>106</v>
      </c>
      <c r="B194" s="31">
        <v>289</v>
      </c>
      <c r="C194" s="32">
        <v>460</v>
      </c>
      <c r="D194" s="32">
        <v>214.28571428571428</v>
      </c>
      <c r="E194" s="32">
        <v>232</v>
      </c>
      <c r="F194" s="32">
        <v>254.19354838709677</v>
      </c>
      <c r="G194" s="32">
        <v>265.33333333333331</v>
      </c>
      <c r="H194" s="32">
        <v>236</v>
      </c>
      <c r="I194" s="33">
        <f t="shared" si="5"/>
        <v>0.81660899653979235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40" x14ac:dyDescent="0.2">
      <c r="A195" s="22" t="s">
        <v>107</v>
      </c>
      <c r="B195" s="31">
        <v>289</v>
      </c>
      <c r="C195" s="32">
        <v>255</v>
      </c>
      <c r="D195" s="32">
        <v>232.85714285714286</v>
      </c>
      <c r="E195" s="32">
        <v>499.24764890282131</v>
      </c>
      <c r="F195" s="32">
        <v>272.25806451612902</v>
      </c>
      <c r="G195" s="32">
        <v>278.66666666666669</v>
      </c>
      <c r="H195" s="32">
        <v>264</v>
      </c>
      <c r="I195" s="33">
        <f t="shared" si="5"/>
        <v>0.91349480968858132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40" x14ac:dyDescent="0.2">
      <c r="A196" s="22" t="s">
        <v>108</v>
      </c>
      <c r="B196" s="31">
        <v>324</v>
      </c>
      <c r="C196" s="32">
        <v>240</v>
      </c>
      <c r="D196" s="32">
        <v>217.14285714285714</v>
      </c>
      <c r="E196" s="32">
        <v>226.66666666666666</v>
      </c>
      <c r="F196" s="32">
        <v>249.03225806451613</v>
      </c>
      <c r="G196" s="32">
        <v>224.4</v>
      </c>
      <c r="H196" s="32">
        <v>237.33333333333334</v>
      </c>
      <c r="I196" s="33">
        <f t="shared" si="5"/>
        <v>0.73251028806584362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40" x14ac:dyDescent="0.2">
      <c r="A197" s="22" t="s">
        <v>109</v>
      </c>
      <c r="B197" s="31">
        <v>282.27075222469409</v>
      </c>
      <c r="C197" s="32"/>
      <c r="D197" s="32"/>
      <c r="E197" s="32"/>
      <c r="F197" s="32">
        <v>0</v>
      </c>
      <c r="G197" s="32">
        <v>148.77017543859648</v>
      </c>
      <c r="H197" s="32">
        <v>235.06666666666666</v>
      </c>
      <c r="I197" s="33">
        <f t="shared" si="5"/>
        <v>0.8327701854124373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40" x14ac:dyDescent="0.2">
      <c r="A198" s="22" t="s">
        <v>110</v>
      </c>
      <c r="B198" s="31">
        <v>336.34003717303733</v>
      </c>
      <c r="C198" s="2"/>
      <c r="D198" s="2"/>
      <c r="E198" s="2"/>
      <c r="F198" s="32">
        <v>286.4273425499232</v>
      </c>
      <c r="G198" s="32">
        <v>337.83333333333331</v>
      </c>
      <c r="H198" s="32">
        <v>323.16666666666669</v>
      </c>
      <c r="I198" s="33">
        <f t="shared" si="5"/>
        <v>0.96083317758690345</v>
      </c>
      <c r="W198" s="3"/>
    </row>
    <row r="199" spans="1:40" x14ac:dyDescent="0.2">
      <c r="A199" s="3" t="s">
        <v>120</v>
      </c>
      <c r="B199" s="36">
        <f>SUM(B107:B198)</f>
        <v>25201.851387251165</v>
      </c>
      <c r="C199" s="36">
        <f t="shared" ref="C199:H199" si="6">SUM(C107:C198)</f>
        <v>23760.693550704484</v>
      </c>
      <c r="D199" s="36">
        <f t="shared" si="6"/>
        <v>23188.06883640552</v>
      </c>
      <c r="E199" s="36">
        <f t="shared" si="6"/>
        <v>24344.918714637239</v>
      </c>
      <c r="F199" s="36">
        <f t="shared" si="6"/>
        <v>25362.396329585787</v>
      </c>
      <c r="G199" s="36">
        <f t="shared" si="6"/>
        <v>26240.657272212793</v>
      </c>
      <c r="H199" s="36">
        <f t="shared" si="6"/>
        <v>24906.983314794219</v>
      </c>
      <c r="I199" s="37">
        <f t="shared" si="5"/>
        <v>0.98829974560495537</v>
      </c>
      <c r="W199" s="3"/>
    </row>
    <row r="200" spans="1:40" x14ac:dyDescent="0.2">
      <c r="B200" s="38"/>
      <c r="C200" s="38"/>
      <c r="D200" s="38"/>
      <c r="E200" s="38"/>
      <c r="F200" s="38"/>
      <c r="G200" s="38"/>
      <c r="H200" s="38"/>
      <c r="I200" s="38"/>
    </row>
    <row r="201" spans="1:40" ht="14.4" customHeight="1" x14ac:dyDescent="0.2">
      <c r="J201" s="39"/>
      <c r="K201" s="39"/>
      <c r="L201" s="39"/>
      <c r="M201" s="39"/>
      <c r="N201" s="39"/>
      <c r="AM201" s="40"/>
      <c r="AN201" s="40"/>
    </row>
    <row r="202" spans="1:40" ht="39.75" customHeight="1" x14ac:dyDescent="0.3">
      <c r="A202" s="41" t="s">
        <v>121</v>
      </c>
      <c r="B202" s="41"/>
      <c r="C202" s="41"/>
      <c r="D202" s="41"/>
      <c r="E202" s="41"/>
      <c r="F202" s="39"/>
      <c r="G202" s="39"/>
      <c r="H202" s="39"/>
      <c r="I202" s="39"/>
      <c r="J202" s="42"/>
      <c r="K202" s="42"/>
      <c r="L202" s="42"/>
      <c r="M202" s="42"/>
      <c r="N202" s="43"/>
      <c r="O202" s="44" t="s">
        <v>122</v>
      </c>
      <c r="P202" s="44"/>
      <c r="Q202" s="44"/>
      <c r="R202" s="44"/>
      <c r="S202" s="44"/>
      <c r="T202" s="44"/>
      <c r="U202" s="44"/>
      <c r="V202" s="44"/>
    </row>
    <row r="203" spans="1:40" ht="20.399999999999999" x14ac:dyDescent="0.2">
      <c r="A203" s="45" t="s">
        <v>123</v>
      </c>
      <c r="B203" s="46" t="s">
        <v>112</v>
      </c>
      <c r="C203" s="46" t="s">
        <v>118</v>
      </c>
      <c r="D203" s="46" t="s">
        <v>124</v>
      </c>
      <c r="E203" s="46" t="s">
        <v>125</v>
      </c>
      <c r="F203" s="42"/>
      <c r="G203" s="42"/>
      <c r="H203" s="42"/>
      <c r="I203" s="42"/>
      <c r="J203" s="47"/>
      <c r="K203" s="47"/>
      <c r="L203" s="47"/>
      <c r="M203" s="47"/>
      <c r="N203" s="48"/>
      <c r="O203" s="45" t="s">
        <v>123</v>
      </c>
      <c r="P203" s="49"/>
      <c r="Q203" s="46" t="s">
        <v>112</v>
      </c>
      <c r="R203" s="46" t="s">
        <v>118</v>
      </c>
      <c r="S203" s="46" t="s">
        <v>124</v>
      </c>
      <c r="T203" s="50" t="s">
        <v>126</v>
      </c>
      <c r="U203" s="50" t="s">
        <v>127</v>
      </c>
      <c r="V203" s="50" t="s">
        <v>128</v>
      </c>
      <c r="W203" s="11"/>
    </row>
    <row r="204" spans="1:40" x14ac:dyDescent="0.2">
      <c r="A204" s="51" t="s">
        <v>129</v>
      </c>
      <c r="B204" s="36"/>
      <c r="C204" s="52"/>
      <c r="D204" s="52">
        <f>+C204-B204</f>
        <v>0</v>
      </c>
      <c r="E204" s="53"/>
      <c r="F204" s="47"/>
      <c r="G204" s="47"/>
      <c r="H204" s="47"/>
      <c r="I204" s="47"/>
      <c r="J204" s="47"/>
      <c r="K204" s="47"/>
      <c r="L204" s="47"/>
      <c r="M204" s="47"/>
      <c r="N204" s="54"/>
      <c r="O204" s="55" t="s">
        <v>129</v>
      </c>
      <c r="P204" s="24"/>
      <c r="Q204" s="56"/>
      <c r="R204" s="11"/>
      <c r="S204" s="33"/>
      <c r="T204" s="48"/>
      <c r="U204" s="48"/>
      <c r="V204" s="48"/>
      <c r="W204" s="11"/>
      <c r="AN204" s="57"/>
    </row>
    <row r="205" spans="1:40" x14ac:dyDescent="0.2">
      <c r="A205" s="51" t="s">
        <v>18</v>
      </c>
      <c r="B205" s="58" cm="1">
        <f t="array" ref="B205">+TRANSPOSE('[1]Energía Eléctrica'!$CQ$10)</f>
        <v>63600.139441601779</v>
      </c>
      <c r="C205" s="59">
        <f>+H7</f>
        <v>73532.97</v>
      </c>
      <c r="D205" s="52">
        <f t="shared" ref="D205:D268" si="7">+C205-B205</f>
        <v>9932.8305583982219</v>
      </c>
      <c r="E205" s="53">
        <f>IFERROR((D205/B205),0)</f>
        <v>0.15617623869392042</v>
      </c>
      <c r="F205" s="47"/>
      <c r="G205" s="47"/>
      <c r="H205" s="47"/>
      <c r="I205" s="47"/>
      <c r="J205" s="47"/>
      <c r="K205" s="47"/>
      <c r="L205" s="47"/>
      <c r="M205" s="47"/>
      <c r="N205" s="48"/>
      <c r="O205" s="55" t="s">
        <v>18</v>
      </c>
      <c r="P205" s="24"/>
      <c r="Q205" s="56">
        <f t="shared" ref="Q205:Q268" si="8">+B107</f>
        <v>276</v>
      </c>
      <c r="R205" s="56">
        <f>+H107</f>
        <v>275.4666666666667</v>
      </c>
      <c r="S205" s="33">
        <f>IFERROR((R205/Q205),0)</f>
        <v>0.99806763285024169</v>
      </c>
      <c r="T205" s="56">
        <f>(S205-1)*Q205*31*$B$300</f>
        <v>-111.05646666665824</v>
      </c>
      <c r="U205" s="56">
        <v>0</v>
      </c>
      <c r="V205" s="56">
        <f t="shared" ref="V205:V268" si="9">IFERROR((D205-T205-U205),0)</f>
        <v>10043.88702506488</v>
      </c>
      <c r="W205" s="11"/>
      <c r="AN205" s="57"/>
    </row>
    <row r="206" spans="1:40" x14ac:dyDescent="0.2">
      <c r="A206" s="51" t="s">
        <v>19</v>
      </c>
      <c r="B206" s="58" cm="1">
        <f t="array" ref="B206">+TRANSPOSE('[1]Energía Eléctrica'!$CS$10)</f>
        <v>26736.900816532256</v>
      </c>
      <c r="C206" s="59">
        <f t="shared" ref="C206:C269" si="10">+H8</f>
        <v>29877.25</v>
      </c>
      <c r="D206" s="52">
        <f t="shared" si="7"/>
        <v>3140.3491834677443</v>
      </c>
      <c r="E206" s="53">
        <f t="shared" ref="E206:E269" si="11">IFERROR((D206/B206),0)</f>
        <v>0.1174537469775094</v>
      </c>
      <c r="F206" s="47"/>
      <c r="G206" s="47"/>
      <c r="H206" s="47"/>
      <c r="I206" s="47"/>
      <c r="J206" s="47"/>
      <c r="K206" s="47"/>
      <c r="L206" s="47"/>
      <c r="M206" s="47"/>
      <c r="N206" s="48"/>
      <c r="O206" s="55" t="s">
        <v>19</v>
      </c>
      <c r="P206" s="24"/>
      <c r="Q206" s="56">
        <f t="shared" si="8"/>
        <v>91</v>
      </c>
      <c r="R206" s="56">
        <f t="shared" ref="R206:R269" si="12">+H108</f>
        <v>102.03333333333333</v>
      </c>
      <c r="S206" s="33">
        <f t="shared" ref="S206:S269" si="13">IFERROR((R206/Q206),0)</f>
        <v>1.1212454212454213</v>
      </c>
      <c r="T206" s="56">
        <f t="shared" ref="T206:T269" si="14">(S206-1)*Q206*31*$B$300</f>
        <v>2297.4806541666671</v>
      </c>
      <c r="U206" s="56"/>
      <c r="V206" s="56">
        <f t="shared" si="9"/>
        <v>842.86852930107716</v>
      </c>
      <c r="W206" s="11"/>
      <c r="AN206" s="57"/>
    </row>
    <row r="207" spans="1:40" x14ac:dyDescent="0.2">
      <c r="A207" s="51" t="s">
        <v>21</v>
      </c>
      <c r="B207" s="58" cm="1">
        <f t="array" ref="B207">+TRANSPOSE('[1]Energía Eléctrica'!$CU$10)</f>
        <v>47895.091690767527</v>
      </c>
      <c r="C207" s="59">
        <f t="shared" si="10"/>
        <v>41725</v>
      </c>
      <c r="D207" s="52">
        <f t="shared" si="7"/>
        <v>-6170.0916907675273</v>
      </c>
      <c r="E207" s="53">
        <f t="shared" si="11"/>
        <v>-0.12882513579062427</v>
      </c>
      <c r="F207" s="47"/>
      <c r="G207" s="47"/>
      <c r="H207" s="47"/>
      <c r="I207" s="47"/>
      <c r="J207" s="47"/>
      <c r="K207" s="47"/>
      <c r="L207" s="47"/>
      <c r="M207" s="47"/>
      <c r="N207" s="48"/>
      <c r="O207" s="55" t="s">
        <v>21</v>
      </c>
      <c r="P207" s="24"/>
      <c r="Q207" s="56">
        <f t="shared" si="8"/>
        <v>185</v>
      </c>
      <c r="R207" s="56">
        <f t="shared" si="12"/>
        <v>167</v>
      </c>
      <c r="S207" s="33">
        <f t="shared" si="13"/>
        <v>0.9027027027027027</v>
      </c>
      <c r="T207" s="56">
        <f t="shared" si="14"/>
        <v>-3748.1557500000004</v>
      </c>
      <c r="U207" s="56"/>
      <c r="V207" s="56">
        <f t="shared" si="9"/>
        <v>-2421.935940767527</v>
      </c>
      <c r="W207" s="11"/>
      <c r="AN207" s="57"/>
    </row>
    <row r="208" spans="1:40" x14ac:dyDescent="0.2">
      <c r="A208" s="51" t="s">
        <v>22</v>
      </c>
      <c r="B208" s="58" cm="1">
        <f t="array" ref="B208">+TRANSPOSE('[1]Energía Eléctrica'!$CP$10)</f>
        <v>616.88</v>
      </c>
      <c r="C208" s="59">
        <f t="shared" si="10"/>
        <v>408.98</v>
      </c>
      <c r="D208" s="52">
        <f t="shared" si="7"/>
        <v>-207.89999999999998</v>
      </c>
      <c r="E208" s="53">
        <f t="shared" si="11"/>
        <v>-0.33701854493580596</v>
      </c>
      <c r="F208" s="47"/>
      <c r="G208" s="47"/>
      <c r="H208" s="47"/>
      <c r="I208" s="47"/>
      <c r="J208" s="47"/>
      <c r="K208" s="47"/>
      <c r="L208" s="47"/>
      <c r="M208" s="47"/>
      <c r="N208" s="48"/>
      <c r="O208" s="55" t="s">
        <v>22</v>
      </c>
      <c r="P208" s="24"/>
      <c r="Q208" s="56">
        <f t="shared" si="8"/>
        <v>2</v>
      </c>
      <c r="R208" s="56">
        <f t="shared" si="12"/>
        <v>1.967741935483871</v>
      </c>
      <c r="S208" s="33">
        <f t="shared" si="13"/>
        <v>0.9838709677419355</v>
      </c>
      <c r="T208" s="56">
        <f t="shared" si="14"/>
        <v>-6.717124999999994</v>
      </c>
      <c r="U208" s="56"/>
      <c r="V208" s="56">
        <f t="shared" si="9"/>
        <v>-201.182875</v>
      </c>
      <c r="W208" s="11"/>
      <c r="AN208" s="57"/>
    </row>
    <row r="209" spans="1:40" x14ac:dyDescent="0.2">
      <c r="A209" s="51" t="s">
        <v>23</v>
      </c>
      <c r="B209" s="58" cm="1">
        <f t="array" ref="B209">+TRANSPOSE('[1]Energía Eléctrica'!$CT$10)</f>
        <v>36502.244135483867</v>
      </c>
      <c r="C209" s="59">
        <f t="shared" si="10"/>
        <v>37757.08</v>
      </c>
      <c r="D209" s="52">
        <f t="shared" si="7"/>
        <v>1254.8358645161352</v>
      </c>
      <c r="E209" s="53">
        <f t="shared" si="11"/>
        <v>3.4376951177538917E-2</v>
      </c>
      <c r="F209" s="47"/>
      <c r="G209" s="47"/>
      <c r="H209" s="47"/>
      <c r="I209" s="47"/>
      <c r="J209" s="47"/>
      <c r="K209" s="47"/>
      <c r="L209" s="47"/>
      <c r="M209" s="47"/>
      <c r="N209" s="48"/>
      <c r="O209" s="55" t="s">
        <v>23</v>
      </c>
      <c r="P209" s="24"/>
      <c r="Q209" s="56">
        <f t="shared" si="8"/>
        <v>159</v>
      </c>
      <c r="R209" s="56">
        <f t="shared" si="12"/>
        <v>173.43333333333334</v>
      </c>
      <c r="S209" s="33">
        <f t="shared" si="13"/>
        <v>1.0907756813417191</v>
      </c>
      <c r="T209" s="56">
        <f t="shared" si="14"/>
        <v>3005.465629166667</v>
      </c>
      <c r="U209" s="56"/>
      <c r="V209" s="56">
        <f t="shared" si="9"/>
        <v>-1750.6297646505318</v>
      </c>
      <c r="W209" s="11"/>
      <c r="AN209" s="57"/>
    </row>
    <row r="210" spans="1:40" x14ac:dyDescent="0.2">
      <c r="A210" s="51" t="s">
        <v>24</v>
      </c>
      <c r="B210" s="60" cm="1">
        <f t="array" ref="B210:B219">+TRANSPOSE('[1]Energía Eléctrica'!$B$10:$K$10)</f>
        <v>66296.347115093144</v>
      </c>
      <c r="C210" s="59">
        <f t="shared" si="10"/>
        <v>46365.69</v>
      </c>
      <c r="D210" s="52">
        <f t="shared" si="7"/>
        <v>-19930.657115093141</v>
      </c>
      <c r="E210" s="53">
        <f t="shared" si="11"/>
        <v>-0.30062979307883603</v>
      </c>
      <c r="F210" s="47"/>
      <c r="G210" s="47"/>
      <c r="H210" s="47"/>
      <c r="I210" s="47"/>
      <c r="J210" s="47"/>
      <c r="K210" s="47"/>
      <c r="L210" s="47"/>
      <c r="M210" s="47"/>
      <c r="N210" s="48"/>
      <c r="O210" s="55" t="s">
        <v>24</v>
      </c>
      <c r="P210" s="24"/>
      <c r="Q210" s="56">
        <f t="shared" si="8"/>
        <v>287.34424534204669</v>
      </c>
      <c r="R210" s="56">
        <f t="shared" si="12"/>
        <v>223.06989247311827</v>
      </c>
      <c r="S210" s="33">
        <f t="shared" si="13"/>
        <v>0.77631585141919934</v>
      </c>
      <c r="T210" s="56">
        <f t="shared" si="14"/>
        <v>-13383.904737955721</v>
      </c>
      <c r="U210" s="56"/>
      <c r="V210" s="56">
        <f t="shared" si="9"/>
        <v>-6546.7523771374199</v>
      </c>
      <c r="W210" s="11"/>
      <c r="AN210" s="57"/>
    </row>
    <row r="211" spans="1:40" x14ac:dyDescent="0.2">
      <c r="A211" s="51" t="s">
        <v>25</v>
      </c>
      <c r="B211" s="60">
        <v>60613.561670745265</v>
      </c>
      <c r="C211" s="59">
        <f t="shared" si="10"/>
        <v>53165.82</v>
      </c>
      <c r="D211" s="52">
        <f t="shared" si="7"/>
        <v>-7447.7416707452649</v>
      </c>
      <c r="E211" s="53">
        <f t="shared" si="11"/>
        <v>-0.12287252993317943</v>
      </c>
      <c r="F211" s="47"/>
      <c r="G211" s="47"/>
      <c r="H211" s="47"/>
      <c r="I211" s="47"/>
      <c r="J211" s="47"/>
      <c r="K211" s="47"/>
      <c r="L211" s="47"/>
      <c r="M211" s="47"/>
      <c r="N211" s="48"/>
      <c r="O211" s="55" t="s">
        <v>25</v>
      </c>
      <c r="P211" s="24"/>
      <c r="Q211" s="56">
        <f t="shared" si="8"/>
        <v>262.64979606970707</v>
      </c>
      <c r="R211" s="56">
        <f t="shared" si="12"/>
        <v>253.5</v>
      </c>
      <c r="S211" s="33">
        <f t="shared" si="13"/>
        <v>0.96516351352019047</v>
      </c>
      <c r="T211" s="56">
        <f t="shared" si="14"/>
        <v>-1905.2700416666664</v>
      </c>
      <c r="U211" s="56"/>
      <c r="V211" s="56">
        <f t="shared" si="9"/>
        <v>-5542.4716290785982</v>
      </c>
      <c r="W211" s="11"/>
      <c r="AN211" s="57"/>
    </row>
    <row r="212" spans="1:40" x14ac:dyDescent="0.2">
      <c r="A212" s="51" t="s">
        <v>26</v>
      </c>
      <c r="B212" s="60">
        <v>75825.00682488372</v>
      </c>
      <c r="C212" s="59">
        <f t="shared" si="10"/>
        <v>64481.04</v>
      </c>
      <c r="D212" s="52">
        <f t="shared" si="7"/>
        <v>-11343.966824883719</v>
      </c>
      <c r="E212" s="53">
        <f t="shared" si="11"/>
        <v>-0.1496071982041805</v>
      </c>
      <c r="F212" s="47"/>
      <c r="G212" s="47"/>
      <c r="H212" s="47"/>
      <c r="I212" s="47"/>
      <c r="J212" s="47"/>
      <c r="K212" s="47"/>
      <c r="L212" s="47"/>
      <c r="M212" s="47"/>
      <c r="N212" s="48"/>
      <c r="O212" s="55" t="s">
        <v>26</v>
      </c>
      <c r="P212" s="24"/>
      <c r="Q212" s="56">
        <f t="shared" si="8"/>
        <v>328.75087702666264</v>
      </c>
      <c r="R212" s="56">
        <f t="shared" si="12"/>
        <v>321.59354838709675</v>
      </c>
      <c r="S212" s="33">
        <f t="shared" si="13"/>
        <v>0.97822871621119534</v>
      </c>
      <c r="T212" s="56">
        <f t="shared" si="14"/>
        <v>-1490.3768052793662</v>
      </c>
      <c r="U212" s="56"/>
      <c r="V212" s="56">
        <f t="shared" si="9"/>
        <v>-9853.5900196043531</v>
      </c>
      <c r="W212" s="11"/>
      <c r="AN212" s="57"/>
    </row>
    <row r="213" spans="1:40" x14ac:dyDescent="0.2">
      <c r="A213" s="51" t="s">
        <v>27</v>
      </c>
      <c r="B213" s="60">
        <v>64567.595360330924</v>
      </c>
      <c r="C213" s="59">
        <f t="shared" si="10"/>
        <v>62526.66</v>
      </c>
      <c r="D213" s="52">
        <f t="shared" si="7"/>
        <v>-2040.935360330921</v>
      </c>
      <c r="E213" s="53">
        <f t="shared" si="11"/>
        <v>-3.1609282472749974E-2</v>
      </c>
      <c r="F213" s="47"/>
      <c r="G213" s="47"/>
      <c r="H213" s="47"/>
      <c r="I213" s="47"/>
      <c r="J213" s="47"/>
      <c r="K213" s="47"/>
      <c r="L213" s="47"/>
      <c r="M213" s="47"/>
      <c r="N213" s="48"/>
      <c r="O213" s="55" t="s">
        <v>27</v>
      </c>
      <c r="P213" s="24"/>
      <c r="Q213" s="56">
        <f t="shared" si="8"/>
        <v>279.83198345383761</v>
      </c>
      <c r="R213" s="56">
        <f t="shared" si="12"/>
        <v>302.10000000000002</v>
      </c>
      <c r="S213" s="33">
        <f t="shared" si="13"/>
        <v>1.0795763810530823</v>
      </c>
      <c r="T213" s="56">
        <f t="shared" si="14"/>
        <v>4636.8885699218745</v>
      </c>
      <c r="U213" s="56"/>
      <c r="V213" s="56">
        <f t="shared" si="9"/>
        <v>-6677.8239302527954</v>
      </c>
      <c r="W213" s="11"/>
      <c r="AN213" s="57"/>
    </row>
    <row r="214" spans="1:40" x14ac:dyDescent="0.2">
      <c r="A214" s="51" t="s">
        <v>28</v>
      </c>
      <c r="B214" s="60">
        <v>73297.780622844832</v>
      </c>
      <c r="C214" s="59">
        <f t="shared" si="10"/>
        <v>57974.62</v>
      </c>
      <c r="D214" s="52">
        <f t="shared" si="7"/>
        <v>-15323.160622844829</v>
      </c>
      <c r="E214" s="53">
        <f t="shared" si="11"/>
        <v>-0.20905354149384758</v>
      </c>
      <c r="F214" s="47"/>
      <c r="G214" s="47"/>
      <c r="H214" s="47"/>
      <c r="I214" s="47"/>
      <c r="J214" s="47"/>
      <c r="K214" s="47"/>
      <c r="L214" s="47"/>
      <c r="M214" s="47"/>
      <c r="N214" s="48"/>
      <c r="O214" s="55" t="s">
        <v>28</v>
      </c>
      <c r="P214" s="24"/>
      <c r="Q214" s="56">
        <f t="shared" si="8"/>
        <v>317.7688577586207</v>
      </c>
      <c r="R214" s="56">
        <f t="shared" si="12"/>
        <v>283.03333333333336</v>
      </c>
      <c r="S214" s="33">
        <f t="shared" si="13"/>
        <v>0.89068933730544275</v>
      </c>
      <c r="T214" s="56">
        <f t="shared" si="14"/>
        <v>-7233.0086446614532</v>
      </c>
      <c r="U214" s="56"/>
      <c r="V214" s="56">
        <f t="shared" si="9"/>
        <v>-8090.1519781833758</v>
      </c>
      <c r="W214" s="11"/>
      <c r="AN214" s="57"/>
    </row>
    <row r="215" spans="1:40" x14ac:dyDescent="0.2">
      <c r="A215" s="51" t="s">
        <v>29</v>
      </c>
      <c r="B215" s="60">
        <v>82726.847145821754</v>
      </c>
      <c r="C215" s="59">
        <f t="shared" si="10"/>
        <v>65467.29</v>
      </c>
      <c r="D215" s="52">
        <f t="shared" si="7"/>
        <v>-17259.557145821753</v>
      </c>
      <c r="E215" s="53">
        <f t="shared" si="11"/>
        <v>-0.20863308274517595</v>
      </c>
      <c r="F215" s="47"/>
      <c r="G215" s="47"/>
      <c r="H215" s="47"/>
      <c r="I215" s="47"/>
      <c r="J215" s="47"/>
      <c r="K215" s="47"/>
      <c r="L215" s="47"/>
      <c r="M215" s="47"/>
      <c r="N215" s="48"/>
      <c r="O215" s="55" t="s">
        <v>29</v>
      </c>
      <c r="P215" s="24"/>
      <c r="Q215" s="56">
        <f t="shared" si="8"/>
        <v>358.74270891268077</v>
      </c>
      <c r="R215" s="56">
        <f t="shared" si="12"/>
        <v>297.96666666666664</v>
      </c>
      <c r="S215" s="33">
        <f t="shared" si="13"/>
        <v>0.83058598617872614</v>
      </c>
      <c r="T215" s="56">
        <f t="shared" si="14"/>
        <v>-12655.448455924487</v>
      </c>
      <c r="U215" s="56"/>
      <c r="V215" s="56">
        <f t="shared" si="9"/>
        <v>-4604.1086898972662</v>
      </c>
      <c r="W215" s="11"/>
      <c r="AN215" s="57"/>
    </row>
    <row r="216" spans="1:40" x14ac:dyDescent="0.2">
      <c r="A216" s="51" t="s">
        <v>30</v>
      </c>
      <c r="B216" s="60">
        <v>79564.319999999992</v>
      </c>
      <c r="C216" s="59">
        <f t="shared" si="10"/>
        <v>74619.23</v>
      </c>
      <c r="D216" s="52">
        <f t="shared" si="7"/>
        <v>-4945.0899999999965</v>
      </c>
      <c r="E216" s="53">
        <f t="shared" si="11"/>
        <v>-6.2152105365822233E-2</v>
      </c>
      <c r="F216" s="47"/>
      <c r="G216" s="47"/>
      <c r="H216" s="47"/>
      <c r="I216" s="47"/>
      <c r="J216" s="47"/>
      <c r="K216" s="47"/>
      <c r="L216" s="47"/>
      <c r="M216" s="47"/>
      <c r="N216" s="48"/>
      <c r="O216" s="55" t="s">
        <v>30</v>
      </c>
      <c r="P216" s="24"/>
      <c r="Q216" s="56">
        <f t="shared" si="8"/>
        <v>345</v>
      </c>
      <c r="R216" s="56">
        <f t="shared" si="12"/>
        <v>352.2</v>
      </c>
      <c r="S216" s="33">
        <f t="shared" si="13"/>
        <v>1.0208695652173914</v>
      </c>
      <c r="T216" s="56">
        <f t="shared" si="14"/>
        <v>1499.2623000000042</v>
      </c>
      <c r="U216" s="56"/>
      <c r="V216" s="56">
        <f t="shared" si="9"/>
        <v>-6444.3523000000005</v>
      </c>
      <c r="W216" s="11"/>
      <c r="AN216" s="57"/>
    </row>
    <row r="217" spans="1:40" x14ac:dyDescent="0.2">
      <c r="A217" s="51" t="s">
        <v>31</v>
      </c>
      <c r="B217" s="60">
        <v>56488.744157258057</v>
      </c>
      <c r="C217" s="59">
        <f t="shared" si="10"/>
        <v>53041.17</v>
      </c>
      <c r="D217" s="52">
        <f t="shared" si="7"/>
        <v>-3447.5741572580591</v>
      </c>
      <c r="E217" s="53">
        <f t="shared" si="11"/>
        <v>-6.1031170168350989E-2</v>
      </c>
      <c r="F217" s="47"/>
      <c r="G217" s="47"/>
      <c r="H217" s="47"/>
      <c r="I217" s="47"/>
      <c r="J217" s="47"/>
      <c r="K217" s="47"/>
      <c r="L217" s="47"/>
      <c r="M217" s="47"/>
      <c r="N217" s="48"/>
      <c r="O217" s="55" t="s">
        <v>31</v>
      </c>
      <c r="P217" s="24"/>
      <c r="Q217" s="56">
        <f t="shared" si="8"/>
        <v>244.72547043010752</v>
      </c>
      <c r="R217" s="56">
        <f t="shared" si="12"/>
        <v>237.56666666666666</v>
      </c>
      <c r="S217" s="33">
        <f t="shared" si="13"/>
        <v>0.97074761466038173</v>
      </c>
      <c r="T217" s="56">
        <f t="shared" si="14"/>
        <v>-1490.6839716145837</v>
      </c>
      <c r="U217" s="56"/>
      <c r="V217" s="56">
        <f t="shared" si="9"/>
        <v>-1956.8901856434754</v>
      </c>
      <c r="W217" s="11"/>
      <c r="AN217" s="57"/>
    </row>
    <row r="218" spans="1:40" x14ac:dyDescent="0.2">
      <c r="A218" s="51" t="s">
        <v>32</v>
      </c>
      <c r="B218" s="60">
        <v>73869.241624026676</v>
      </c>
      <c r="C218" s="59">
        <f t="shared" si="10"/>
        <v>67244.69</v>
      </c>
      <c r="D218" s="52">
        <f t="shared" si="7"/>
        <v>-6624.5516240266734</v>
      </c>
      <c r="E218" s="53">
        <f t="shared" si="11"/>
        <v>-8.9679431904062953E-2</v>
      </c>
      <c r="F218" s="47"/>
      <c r="G218" s="47"/>
      <c r="H218" s="47"/>
      <c r="I218" s="47"/>
      <c r="J218" s="47"/>
      <c r="K218" s="47"/>
      <c r="L218" s="47"/>
      <c r="M218" s="47"/>
      <c r="N218" s="48"/>
      <c r="O218" s="55" t="s">
        <v>32</v>
      </c>
      <c r="P218" s="24"/>
      <c r="Q218" s="56">
        <f t="shared" si="8"/>
        <v>320.25213199851686</v>
      </c>
      <c r="R218" s="56">
        <f t="shared" si="12"/>
        <v>313.33333333333331</v>
      </c>
      <c r="S218" s="33">
        <f t="shared" si="13"/>
        <v>0.97839577640902142</v>
      </c>
      <c r="T218" s="56">
        <f t="shared" si="14"/>
        <v>-1440.7075000000013</v>
      </c>
      <c r="U218" s="56"/>
      <c r="V218" s="56">
        <f t="shared" si="9"/>
        <v>-5183.844124026672</v>
      </c>
      <c r="W218" s="11"/>
      <c r="AN218" s="57"/>
    </row>
    <row r="219" spans="1:40" x14ac:dyDescent="0.2">
      <c r="A219" s="51" t="s">
        <v>33</v>
      </c>
      <c r="B219" s="60">
        <v>67075.129431382084</v>
      </c>
      <c r="C219" s="59">
        <f t="shared" si="10"/>
        <v>63031.57</v>
      </c>
      <c r="D219" s="52">
        <f t="shared" si="7"/>
        <v>-4043.5594313820839</v>
      </c>
      <c r="E219" s="53">
        <f t="shared" si="11"/>
        <v>-6.0284034718392138E-2</v>
      </c>
      <c r="F219" s="47"/>
      <c r="G219" s="47"/>
      <c r="H219" s="47"/>
      <c r="I219" s="47"/>
      <c r="J219" s="47"/>
      <c r="K219" s="47"/>
      <c r="L219" s="47"/>
      <c r="M219" s="47"/>
      <c r="N219" s="48"/>
      <c r="O219" s="55" t="s">
        <v>33</v>
      </c>
      <c r="P219" s="24"/>
      <c r="Q219" s="56">
        <f t="shared" si="8"/>
        <v>290.72843089543937</v>
      </c>
      <c r="R219" s="56">
        <f t="shared" si="12"/>
        <v>305.2</v>
      </c>
      <c r="S219" s="33">
        <f t="shared" si="13"/>
        <v>1.0497769312068599</v>
      </c>
      <c r="T219" s="56">
        <f t="shared" si="14"/>
        <v>3013.4274972656212</v>
      </c>
      <c r="U219" s="56"/>
      <c r="V219" s="56">
        <f t="shared" si="9"/>
        <v>-7056.9869286477051</v>
      </c>
      <c r="W219" s="11"/>
      <c r="AN219" s="57"/>
    </row>
    <row r="220" spans="1:40" x14ac:dyDescent="0.2">
      <c r="A220" s="51" t="s">
        <v>34</v>
      </c>
      <c r="B220" s="60" cm="1">
        <f t="array" ref="B220:B224">+TRANSPOSE('[1]Energía Eléctrica'!$M$10:$Q$10)</f>
        <v>77571.454714408028</v>
      </c>
      <c r="C220" s="59">
        <f t="shared" si="10"/>
        <v>83093.97</v>
      </c>
      <c r="D220" s="52">
        <f t="shared" si="7"/>
        <v>5522.5152855919732</v>
      </c>
      <c r="E220" s="53">
        <f t="shared" si="11"/>
        <v>7.1192622414057008E-2</v>
      </c>
      <c r="F220" s="47"/>
      <c r="G220" s="47"/>
      <c r="H220" s="47"/>
      <c r="I220" s="47"/>
      <c r="J220" s="47"/>
      <c r="K220" s="47"/>
      <c r="L220" s="47"/>
      <c r="M220" s="47"/>
      <c r="N220" s="48"/>
      <c r="O220" s="55" t="s">
        <v>34</v>
      </c>
      <c r="P220" s="24"/>
      <c r="Q220" s="56">
        <f t="shared" si="8"/>
        <v>336.34003717303733</v>
      </c>
      <c r="R220" s="56">
        <f t="shared" si="12"/>
        <v>352.27419354838707</v>
      </c>
      <c r="S220" s="33">
        <f t="shared" si="13"/>
        <v>1.0473751400793003</v>
      </c>
      <c r="T220" s="56">
        <f t="shared" si="14"/>
        <v>3317.9833244259012</v>
      </c>
      <c r="U220" s="56"/>
      <c r="V220" s="56">
        <f t="shared" si="9"/>
        <v>2204.5319611660721</v>
      </c>
      <c r="W220" s="11"/>
      <c r="AN220" s="57"/>
    </row>
    <row r="221" spans="1:40" x14ac:dyDescent="0.2">
      <c r="A221" s="51" t="s">
        <v>35</v>
      </c>
      <c r="B221" s="60">
        <v>73923.388251494718</v>
      </c>
      <c r="C221" s="59">
        <f t="shared" si="10"/>
        <v>77832.23</v>
      </c>
      <c r="D221" s="52">
        <f t="shared" si="7"/>
        <v>3908.8417485052778</v>
      </c>
      <c r="E221" s="53">
        <f t="shared" si="11"/>
        <v>5.2876928952539481E-2</v>
      </c>
      <c r="F221" s="47"/>
      <c r="G221" s="47"/>
      <c r="H221" s="47"/>
      <c r="I221" s="47"/>
      <c r="J221" s="47"/>
      <c r="K221" s="47"/>
      <c r="L221" s="47"/>
      <c r="M221" s="47"/>
      <c r="N221" s="48"/>
      <c r="O221" s="55" t="s">
        <v>35</v>
      </c>
      <c r="P221" s="24"/>
      <c r="Q221" s="56">
        <f t="shared" si="8"/>
        <v>320.48742526418243</v>
      </c>
      <c r="R221" s="56">
        <f t="shared" si="12"/>
        <v>364.43333333333334</v>
      </c>
      <c r="S221" s="33">
        <f t="shared" si="13"/>
        <v>1.1371220977950247</v>
      </c>
      <c r="T221" s="56">
        <f t="shared" si="14"/>
        <v>9150.8948899088518</v>
      </c>
      <c r="U221" s="56"/>
      <c r="V221" s="56">
        <f t="shared" si="9"/>
        <v>-5242.053141403574</v>
      </c>
      <c r="W221" s="11"/>
      <c r="AN221" s="57"/>
    </row>
    <row r="222" spans="1:40" x14ac:dyDescent="0.2">
      <c r="A222" s="51" t="s">
        <v>36</v>
      </c>
      <c r="B222" s="60">
        <v>53402.22973852892</v>
      </c>
      <c r="C222" s="59">
        <f t="shared" si="10"/>
        <v>38273.160000000003</v>
      </c>
      <c r="D222" s="52">
        <f t="shared" si="7"/>
        <v>-15129.069738528917</v>
      </c>
      <c r="E222" s="53">
        <f t="shared" si="11"/>
        <v>-0.28330408323032091</v>
      </c>
      <c r="F222" s="47"/>
      <c r="G222" s="47"/>
      <c r="H222" s="47"/>
      <c r="I222" s="47"/>
      <c r="J222" s="47"/>
      <c r="K222" s="47"/>
      <c r="L222" s="47"/>
      <c r="M222" s="47"/>
      <c r="N222" s="48"/>
      <c r="O222" s="55" t="s">
        <v>36</v>
      </c>
      <c r="P222" s="24"/>
      <c r="Q222" s="56">
        <f t="shared" si="8"/>
        <v>231.31307355394884</v>
      </c>
      <c r="R222" s="56">
        <f t="shared" si="12"/>
        <v>171.56666666666666</v>
      </c>
      <c r="S222" s="33">
        <f t="shared" si="13"/>
        <v>0.7417076087861173</v>
      </c>
      <c r="T222" s="56">
        <f t="shared" si="14"/>
        <v>-12441.046584244796</v>
      </c>
      <c r="U222" s="56"/>
      <c r="V222" s="56">
        <f t="shared" si="9"/>
        <v>-2688.0231542841211</v>
      </c>
      <c r="W222" s="11"/>
      <c r="AN222" s="57"/>
    </row>
    <row r="223" spans="1:40" x14ac:dyDescent="0.2">
      <c r="A223" s="51" t="s">
        <v>37</v>
      </c>
      <c r="B223" s="60">
        <v>50188.789017588992</v>
      </c>
      <c r="C223" s="59">
        <f t="shared" si="10"/>
        <v>54193.799999999996</v>
      </c>
      <c r="D223" s="52">
        <f t="shared" si="7"/>
        <v>4005.0109824110041</v>
      </c>
      <c r="E223" s="53">
        <f t="shared" si="11"/>
        <v>7.9798916467329423E-2</v>
      </c>
      <c r="F223" s="47"/>
      <c r="G223" s="47"/>
      <c r="H223" s="47"/>
      <c r="I223" s="47"/>
      <c r="J223" s="47"/>
      <c r="K223" s="47"/>
      <c r="L223" s="47"/>
      <c r="M223" s="47"/>
      <c r="N223" s="48"/>
      <c r="O223" s="55" t="s">
        <v>37</v>
      </c>
      <c r="P223" s="24"/>
      <c r="Q223" s="56">
        <f t="shared" si="8"/>
        <v>217.34912055061179</v>
      </c>
      <c r="R223" s="56">
        <f t="shared" si="12"/>
        <v>222.56666666666666</v>
      </c>
      <c r="S223" s="33">
        <f t="shared" si="13"/>
        <v>1.0240053702671408</v>
      </c>
      <c r="T223" s="56">
        <f t="shared" si="14"/>
        <v>1086.4541930989537</v>
      </c>
      <c r="U223" s="56">
        <v>5757.3004000000001</v>
      </c>
      <c r="V223" s="56">
        <f t="shared" si="9"/>
        <v>-2838.7436106879495</v>
      </c>
      <c r="W223" s="11"/>
      <c r="AN223" s="57"/>
    </row>
    <row r="224" spans="1:40" x14ac:dyDescent="0.2">
      <c r="A224" s="51" t="s">
        <v>38</v>
      </c>
      <c r="B224" s="60">
        <v>66898.700764738576</v>
      </c>
      <c r="C224" s="59">
        <f t="shared" si="10"/>
        <v>63836.52</v>
      </c>
      <c r="D224" s="52">
        <f t="shared" si="7"/>
        <v>-3062.1807647385795</v>
      </c>
      <c r="E224" s="53">
        <f t="shared" si="11"/>
        <v>-4.5773396639006397E-2</v>
      </c>
      <c r="F224" s="47"/>
      <c r="G224" s="47"/>
      <c r="H224" s="47"/>
      <c r="I224" s="47"/>
      <c r="J224" s="47"/>
      <c r="K224" s="47"/>
      <c r="L224" s="47"/>
      <c r="M224" s="47"/>
      <c r="N224" s="48"/>
      <c r="O224" s="55" t="s">
        <v>38</v>
      </c>
      <c r="P224" s="24"/>
      <c r="Q224" s="56">
        <f t="shared" si="8"/>
        <v>289.96176307007784</v>
      </c>
      <c r="R224" s="56">
        <f t="shared" si="12"/>
        <v>310.13333333333333</v>
      </c>
      <c r="S224" s="33">
        <f t="shared" si="13"/>
        <v>1.0695663112600831</v>
      </c>
      <c r="T224" s="56">
        <f t="shared" si="14"/>
        <v>4200.3437260416722</v>
      </c>
      <c r="U224" s="61"/>
      <c r="V224" s="56">
        <f t="shared" si="9"/>
        <v>-7262.5244907802517</v>
      </c>
      <c r="W224" s="11"/>
      <c r="AN224" s="57"/>
    </row>
    <row r="225" spans="1:40" x14ac:dyDescent="0.2">
      <c r="A225" s="51" t="s">
        <v>39</v>
      </c>
      <c r="B225" s="60" cm="1">
        <f t="array" ref="B225:B228">+TRANSPOSE('[1]Energía Eléctrica'!$S$10:$V$10)</f>
        <v>73437.312520416614</v>
      </c>
      <c r="C225" s="59">
        <f t="shared" si="10"/>
        <v>64915.68</v>
      </c>
      <c r="D225" s="52">
        <f t="shared" si="7"/>
        <v>-8521.6325204166133</v>
      </c>
      <c r="E225" s="53">
        <f t="shared" si="11"/>
        <v>-0.116039547580768</v>
      </c>
      <c r="F225" s="47"/>
      <c r="G225" s="47"/>
      <c r="H225" s="47"/>
      <c r="I225" s="47"/>
      <c r="J225" s="47"/>
      <c r="K225" s="47"/>
      <c r="L225" s="47"/>
      <c r="M225" s="47"/>
      <c r="N225" s="48"/>
      <c r="O225" s="55" t="s">
        <v>39</v>
      </c>
      <c r="P225" s="24"/>
      <c r="Q225" s="56">
        <f t="shared" si="8"/>
        <v>318.37519128998548</v>
      </c>
      <c r="R225" s="56">
        <f t="shared" si="12"/>
        <v>304.64946236559138</v>
      </c>
      <c r="S225" s="33">
        <f t="shared" si="13"/>
        <v>0.95688819575174655</v>
      </c>
      <c r="T225" s="56">
        <f t="shared" si="14"/>
        <v>-2858.1205439393925</v>
      </c>
      <c r="U225" s="56"/>
      <c r="V225" s="56">
        <f t="shared" si="9"/>
        <v>-5663.5119764772207</v>
      </c>
      <c r="W225" s="11"/>
      <c r="AN225" s="57"/>
    </row>
    <row r="226" spans="1:40" x14ac:dyDescent="0.2">
      <c r="A226" s="51" t="s">
        <v>40</v>
      </c>
      <c r="B226" s="60">
        <v>58316.974599694106</v>
      </c>
      <c r="C226" s="59">
        <f t="shared" si="10"/>
        <v>59637.19</v>
      </c>
      <c r="D226" s="52">
        <f t="shared" si="7"/>
        <v>1320.2154003058968</v>
      </c>
      <c r="E226" s="53">
        <f t="shared" si="11"/>
        <v>2.263861267441027E-2</v>
      </c>
      <c r="F226" s="47"/>
      <c r="G226" s="47"/>
      <c r="H226" s="47"/>
      <c r="I226" s="47"/>
      <c r="J226" s="47"/>
      <c r="K226" s="47"/>
      <c r="L226" s="47"/>
      <c r="M226" s="47"/>
      <c r="N226" s="48"/>
      <c r="O226" s="55" t="s">
        <v>40</v>
      </c>
      <c r="P226" s="24"/>
      <c r="Q226" s="56">
        <f t="shared" si="8"/>
        <v>252.67001529477199</v>
      </c>
      <c r="R226" s="56">
        <f t="shared" si="12"/>
        <v>293.23333333333335</v>
      </c>
      <c r="S226" s="33">
        <f t="shared" si="13"/>
        <v>1.1605387089213537</v>
      </c>
      <c r="T226" s="56">
        <f t="shared" si="14"/>
        <v>8446.5352080729208</v>
      </c>
      <c r="U226" s="56"/>
      <c r="V226" s="56">
        <f t="shared" si="9"/>
        <v>-7126.319807767024</v>
      </c>
      <c r="W226" s="11"/>
      <c r="AN226" s="57"/>
    </row>
    <row r="227" spans="1:40" x14ac:dyDescent="0.2">
      <c r="A227" s="51" t="s">
        <v>41</v>
      </c>
      <c r="B227" s="60">
        <v>66292.97740795328</v>
      </c>
      <c r="C227" s="59">
        <f t="shared" si="10"/>
        <v>64397.3</v>
      </c>
      <c r="D227" s="52">
        <f t="shared" si="7"/>
        <v>-1895.677407953277</v>
      </c>
      <c r="E227" s="53">
        <f t="shared" si="11"/>
        <v>-2.859544829745193E-2</v>
      </c>
      <c r="F227" s="47"/>
      <c r="G227" s="47"/>
      <c r="H227" s="47"/>
      <c r="I227" s="47"/>
      <c r="J227" s="47"/>
      <c r="K227" s="47"/>
      <c r="L227" s="47"/>
      <c r="M227" s="47"/>
      <c r="N227" s="48"/>
      <c r="O227" s="55" t="s">
        <v>41</v>
      </c>
      <c r="P227" s="24"/>
      <c r="Q227" s="56">
        <f t="shared" si="8"/>
        <v>287.32960233592883</v>
      </c>
      <c r="R227" s="56">
        <f t="shared" si="12"/>
        <v>272.5</v>
      </c>
      <c r="S227" s="33">
        <f t="shared" si="13"/>
        <v>0.94838818480460318</v>
      </c>
      <c r="T227" s="56">
        <f t="shared" si="14"/>
        <v>-3087.9810703125013</v>
      </c>
      <c r="U227" s="56"/>
      <c r="V227" s="56">
        <f t="shared" si="9"/>
        <v>1192.3036623592243</v>
      </c>
      <c r="W227" s="11"/>
      <c r="AN227" s="57"/>
    </row>
    <row r="228" spans="1:40" x14ac:dyDescent="0.2">
      <c r="A228" s="51" t="s">
        <v>42</v>
      </c>
      <c r="B228" s="60">
        <v>62884.877604769179</v>
      </c>
      <c r="C228" s="59">
        <f t="shared" si="10"/>
        <v>56660.99</v>
      </c>
      <c r="D228" s="52">
        <f t="shared" si="7"/>
        <v>-6223.8876047691811</v>
      </c>
      <c r="E228" s="53">
        <f t="shared" si="11"/>
        <v>-9.8972723520052819E-2</v>
      </c>
      <c r="F228" s="47"/>
      <c r="G228" s="47"/>
      <c r="H228" s="47"/>
      <c r="I228" s="47"/>
      <c r="J228" s="47"/>
      <c r="K228" s="47"/>
      <c r="L228" s="47"/>
      <c r="M228" s="47"/>
      <c r="N228" s="48"/>
      <c r="O228" s="55" t="s">
        <v>42</v>
      </c>
      <c r="P228" s="24"/>
      <c r="Q228" s="56">
        <f t="shared" si="8"/>
        <v>272.51976154060065</v>
      </c>
      <c r="R228" s="56">
        <f t="shared" si="12"/>
        <v>257.2</v>
      </c>
      <c r="S228" s="33">
        <f t="shared" si="13"/>
        <v>0.94378476828984637</v>
      </c>
      <c r="T228" s="56">
        <f t="shared" si="14"/>
        <v>-3190.0473503906278</v>
      </c>
      <c r="U228" s="56"/>
      <c r="V228" s="56">
        <f t="shared" si="9"/>
        <v>-3033.8402543785533</v>
      </c>
      <c r="W228" s="11"/>
      <c r="AN228" s="57"/>
    </row>
    <row r="229" spans="1:40" x14ac:dyDescent="0.2">
      <c r="A229" s="51" t="s">
        <v>43</v>
      </c>
      <c r="B229" s="60" cm="1">
        <f t="array" ref="B229">+TRANSPOSE('[1]Energía Eléctrica'!$X$10)</f>
        <v>57583.648332835095</v>
      </c>
      <c r="C229" s="59">
        <f t="shared" si="10"/>
        <v>51780.04</v>
      </c>
      <c r="D229" s="52">
        <f t="shared" si="7"/>
        <v>-5803.6083328350942</v>
      </c>
      <c r="E229" s="53">
        <f t="shared" si="11"/>
        <v>-0.10078570046986388</v>
      </c>
      <c r="F229" s="47"/>
      <c r="G229" s="47"/>
      <c r="H229" s="47"/>
      <c r="I229" s="47"/>
      <c r="J229" s="47"/>
      <c r="K229" s="47"/>
      <c r="L229" s="47"/>
      <c r="M229" s="47"/>
      <c r="N229" s="48"/>
      <c r="O229" s="55" t="s">
        <v>43</v>
      </c>
      <c r="P229" s="24"/>
      <c r="Q229" s="56">
        <f t="shared" si="8"/>
        <v>249.48335824527251</v>
      </c>
      <c r="R229" s="56">
        <f t="shared" si="12"/>
        <v>245</v>
      </c>
      <c r="S229" s="33">
        <f t="shared" si="13"/>
        <v>0.98202942963087414</v>
      </c>
      <c r="T229" s="56">
        <f t="shared" si="14"/>
        <v>-933.57361035155861</v>
      </c>
      <c r="U229" s="56"/>
      <c r="V229" s="56">
        <f t="shared" si="9"/>
        <v>-4870.0347224835359</v>
      </c>
      <c r="W229" s="11"/>
      <c r="AN229" s="57"/>
    </row>
    <row r="230" spans="1:40" x14ac:dyDescent="0.2">
      <c r="A230" s="51" t="s">
        <v>44</v>
      </c>
      <c r="B230" s="60" cm="1">
        <f t="array" ref="B230:B296">+TRANSPOSE('[1]Energía Eléctrica'!$Z$10:$CN$10)</f>
        <v>61670.031186665728</v>
      </c>
      <c r="C230" s="59">
        <f t="shared" si="10"/>
        <v>65578.97</v>
      </c>
      <c r="D230" s="52">
        <f t="shared" si="7"/>
        <v>3908.9388133342727</v>
      </c>
      <c r="E230" s="53">
        <f t="shared" si="11"/>
        <v>6.3384738715349664E-2</v>
      </c>
      <c r="F230" s="47"/>
      <c r="G230" s="47"/>
      <c r="H230" s="47"/>
      <c r="I230" s="47"/>
      <c r="J230" s="47"/>
      <c r="K230" s="47"/>
      <c r="L230" s="47"/>
      <c r="M230" s="47"/>
      <c r="N230" s="48"/>
      <c r="O230" s="55" t="s">
        <v>44</v>
      </c>
      <c r="P230" s="24"/>
      <c r="Q230" s="56">
        <f t="shared" si="8"/>
        <v>267.24066671301443</v>
      </c>
      <c r="R230" s="56">
        <f t="shared" si="12"/>
        <v>293.5</v>
      </c>
      <c r="S230" s="33">
        <f t="shared" si="13"/>
        <v>1.0982609930216387</v>
      </c>
      <c r="T230" s="56">
        <f t="shared" si="14"/>
        <v>5468.0039472656354</v>
      </c>
      <c r="U230" s="56"/>
      <c r="V230" s="56">
        <f t="shared" si="9"/>
        <v>-1559.0651339313627</v>
      </c>
      <c r="W230" s="11"/>
      <c r="AN230" s="57"/>
    </row>
    <row r="231" spans="1:40" x14ac:dyDescent="0.2">
      <c r="A231" s="51" t="s">
        <v>45</v>
      </c>
      <c r="B231" s="60">
        <v>57697.273706176682</v>
      </c>
      <c r="C231" s="59">
        <f t="shared" si="10"/>
        <v>69085.16</v>
      </c>
      <c r="D231" s="52">
        <f t="shared" si="7"/>
        <v>11387.886293823321</v>
      </c>
      <c r="E231" s="53">
        <f t="shared" si="11"/>
        <v>0.19737303970056061</v>
      </c>
      <c r="F231" s="47"/>
      <c r="G231" s="47"/>
      <c r="H231" s="47"/>
      <c r="I231" s="47"/>
      <c r="J231" s="47"/>
      <c r="K231" s="47"/>
      <c r="L231" s="47"/>
      <c r="M231" s="47"/>
      <c r="N231" s="48"/>
      <c r="O231" s="55" t="s">
        <v>45</v>
      </c>
      <c r="P231" s="24"/>
      <c r="Q231" s="56">
        <f t="shared" si="8"/>
        <v>249.97711540811338</v>
      </c>
      <c r="R231" s="56">
        <f t="shared" si="12"/>
        <v>235.97471264367815</v>
      </c>
      <c r="S231" s="33">
        <f t="shared" si="13"/>
        <v>0.94398526144453321</v>
      </c>
      <c r="T231" s="56">
        <f t="shared" si="14"/>
        <v>-2915.7325797407652</v>
      </c>
      <c r="U231" s="61">
        <v>13037.52</v>
      </c>
      <c r="V231" s="56">
        <f t="shared" si="9"/>
        <v>1266.0988735640858</v>
      </c>
      <c r="W231" s="11"/>
      <c r="AN231" s="57"/>
    </row>
    <row r="232" spans="1:40" x14ac:dyDescent="0.2">
      <c r="A232" s="51" t="s">
        <v>46</v>
      </c>
      <c r="B232" s="60">
        <v>74911.500374999989</v>
      </c>
      <c r="C232" s="59">
        <f t="shared" si="10"/>
        <v>82240.28</v>
      </c>
      <c r="D232" s="52">
        <f t="shared" si="7"/>
        <v>7328.7796250000101</v>
      </c>
      <c r="E232" s="53">
        <f t="shared" si="11"/>
        <v>9.7832503531671666E-2</v>
      </c>
      <c r="F232" s="47"/>
      <c r="G232" s="47"/>
      <c r="H232" s="47"/>
      <c r="I232" s="47"/>
      <c r="J232" s="47"/>
      <c r="K232" s="47"/>
      <c r="L232" s="47"/>
      <c r="M232" s="47"/>
      <c r="N232" s="48"/>
      <c r="O232" s="55" t="s">
        <v>46</v>
      </c>
      <c r="P232" s="24"/>
      <c r="Q232" s="56">
        <f t="shared" si="8"/>
        <v>324.78125</v>
      </c>
      <c r="R232" s="56">
        <f t="shared" si="12"/>
        <v>349.4666666666667</v>
      </c>
      <c r="S232" s="33">
        <f t="shared" si="13"/>
        <v>1.0760062862824338</v>
      </c>
      <c r="T232" s="56">
        <f t="shared" si="14"/>
        <v>5140.2659122395889</v>
      </c>
      <c r="U232" s="56">
        <v>549.36</v>
      </c>
      <c r="V232" s="56">
        <f t="shared" si="9"/>
        <v>1639.1537127604211</v>
      </c>
      <c r="W232" s="11"/>
      <c r="AN232" s="57"/>
    </row>
    <row r="233" spans="1:40" x14ac:dyDescent="0.2">
      <c r="A233" s="51" t="s">
        <v>47</v>
      </c>
      <c r="B233" s="60">
        <v>58963.932372810057</v>
      </c>
      <c r="C233" s="59">
        <f t="shared" si="10"/>
        <v>57262.31</v>
      </c>
      <c r="D233" s="52">
        <f t="shared" si="7"/>
        <v>-1701.6223728100595</v>
      </c>
      <c r="E233" s="53">
        <f t="shared" si="11"/>
        <v>-2.8858698942452587E-2</v>
      </c>
      <c r="F233" s="47"/>
      <c r="G233" s="47"/>
      <c r="H233" s="47"/>
      <c r="I233" s="47"/>
      <c r="J233" s="47"/>
      <c r="K233" s="47"/>
      <c r="L233" s="47"/>
      <c r="M233" s="47"/>
      <c r="N233" s="48"/>
      <c r="O233" s="55" t="s">
        <v>47</v>
      </c>
      <c r="P233" s="24"/>
      <c r="Q233" s="56">
        <f t="shared" si="8"/>
        <v>255.48135949666295</v>
      </c>
      <c r="R233" s="56">
        <f t="shared" si="12"/>
        <v>272.23333333333335</v>
      </c>
      <c r="S233" s="33">
        <f t="shared" si="13"/>
        <v>1.0655702391347623</v>
      </c>
      <c r="T233" s="56">
        <f t="shared" si="14"/>
        <v>3488.2781699869802</v>
      </c>
      <c r="U233" s="61">
        <v>999.84</v>
      </c>
      <c r="V233" s="56">
        <f t="shared" si="9"/>
        <v>-6189.7405427970398</v>
      </c>
      <c r="W233" s="11"/>
      <c r="AN233" s="57"/>
    </row>
    <row r="234" spans="1:40" x14ac:dyDescent="0.2">
      <c r="A234" s="51" t="s">
        <v>48</v>
      </c>
      <c r="B234" s="60">
        <v>77505.860899993044</v>
      </c>
      <c r="C234" s="59">
        <f t="shared" si="10"/>
        <v>67376.98</v>
      </c>
      <c r="D234" s="52">
        <f t="shared" si="7"/>
        <v>-10128.880899993048</v>
      </c>
      <c r="E234" s="53">
        <f t="shared" si="11"/>
        <v>-0.13068535440258502</v>
      </c>
      <c r="F234" s="47"/>
      <c r="G234" s="47"/>
      <c r="H234" s="47"/>
      <c r="I234" s="47"/>
      <c r="J234" s="47"/>
      <c r="K234" s="47"/>
      <c r="L234" s="47"/>
      <c r="M234" s="47"/>
      <c r="N234" s="48"/>
      <c r="O234" s="55" t="s">
        <v>48</v>
      </c>
      <c r="P234" s="24"/>
      <c r="Q234" s="56">
        <f t="shared" si="8"/>
        <v>336.05500034760843</v>
      </c>
      <c r="R234" s="56">
        <f t="shared" si="12"/>
        <v>327.13333333333333</v>
      </c>
      <c r="S234" s="33">
        <f t="shared" si="13"/>
        <v>0.97345176532101374</v>
      </c>
      <c r="T234" s="56">
        <f t="shared" si="14"/>
        <v>-1857.7665288411454</v>
      </c>
      <c r="U234" s="56"/>
      <c r="V234" s="56">
        <f t="shared" si="9"/>
        <v>-8271.1143711519035</v>
      </c>
      <c r="W234" s="11"/>
      <c r="AN234" s="57"/>
    </row>
    <row r="235" spans="1:40" x14ac:dyDescent="0.2">
      <c r="A235" s="51" t="s">
        <v>49</v>
      </c>
      <c r="B235" s="60">
        <v>68327.536585094553</v>
      </c>
      <c r="C235" s="59">
        <f t="shared" si="10"/>
        <v>74575.88</v>
      </c>
      <c r="D235" s="52">
        <f t="shared" si="7"/>
        <v>6248.3434149054519</v>
      </c>
      <c r="E235" s="53">
        <f t="shared" si="11"/>
        <v>9.1446929410718858E-2</v>
      </c>
      <c r="F235" s="47"/>
      <c r="G235" s="47"/>
      <c r="H235" s="47"/>
      <c r="I235" s="47"/>
      <c r="J235" s="47"/>
      <c r="K235" s="47"/>
      <c r="L235" s="47"/>
      <c r="M235" s="47"/>
      <c r="N235" s="48"/>
      <c r="O235" s="55" t="s">
        <v>49</v>
      </c>
      <c r="P235" s="24"/>
      <c r="Q235" s="56">
        <f t="shared" si="8"/>
        <v>296.17074527252504</v>
      </c>
      <c r="R235" s="56">
        <f t="shared" si="12"/>
        <v>326.66666666666669</v>
      </c>
      <c r="S235" s="33">
        <f t="shared" si="13"/>
        <v>1.1029673655515182</v>
      </c>
      <c r="T235" s="56">
        <f t="shared" si="14"/>
        <v>6350.1923958333391</v>
      </c>
      <c r="U235" s="56"/>
      <c r="V235" s="56">
        <f t="shared" si="9"/>
        <v>-101.84898092788717</v>
      </c>
      <c r="W235" s="11"/>
      <c r="AN235" s="57"/>
    </row>
    <row r="236" spans="1:40" x14ac:dyDescent="0.2">
      <c r="A236" s="51" t="s">
        <v>50</v>
      </c>
      <c r="B236" s="60">
        <v>45045.72</v>
      </c>
      <c r="C236" s="59">
        <f t="shared" si="10"/>
        <v>39663.67</v>
      </c>
      <c r="D236" s="52">
        <f t="shared" si="7"/>
        <v>-5382.0500000000029</v>
      </c>
      <c r="E236" s="53">
        <f t="shared" si="11"/>
        <v>-0.11947971971587984</v>
      </c>
      <c r="F236" s="47"/>
      <c r="G236" s="47"/>
      <c r="H236" s="47"/>
      <c r="I236" s="47"/>
      <c r="J236" s="47"/>
      <c r="K236" s="47"/>
      <c r="L236" s="47"/>
      <c r="M236" s="47"/>
      <c r="N236" s="48"/>
      <c r="O236" s="55" t="s">
        <v>50</v>
      </c>
      <c r="P236" s="24"/>
      <c r="Q236" s="56">
        <f t="shared" si="8"/>
        <v>195</v>
      </c>
      <c r="R236" s="56">
        <f t="shared" si="12"/>
        <v>171.66666666666666</v>
      </c>
      <c r="S236" s="33">
        <f t="shared" si="13"/>
        <v>0.88034188034188032</v>
      </c>
      <c r="T236" s="56">
        <f t="shared" si="14"/>
        <v>-4858.720416666667</v>
      </c>
      <c r="U236" s="56"/>
      <c r="V236" s="56">
        <f t="shared" si="9"/>
        <v>-523.3295833333359</v>
      </c>
      <c r="W236" s="11"/>
      <c r="AN236" s="57"/>
    </row>
    <row r="237" spans="1:40" x14ac:dyDescent="0.2">
      <c r="A237" s="51" t="s">
        <v>51</v>
      </c>
      <c r="B237" s="60">
        <v>62526.272770995551</v>
      </c>
      <c r="C237" s="59">
        <f t="shared" si="10"/>
        <v>69154.759999999995</v>
      </c>
      <c r="D237" s="52">
        <f t="shared" si="7"/>
        <v>6628.4872290044441</v>
      </c>
      <c r="E237" s="53">
        <f t="shared" si="11"/>
        <v>0.10601123232279473</v>
      </c>
      <c r="F237" s="47"/>
      <c r="G237" s="47"/>
      <c r="H237" s="47"/>
      <c r="I237" s="47"/>
      <c r="J237" s="47"/>
      <c r="K237" s="47"/>
      <c r="L237" s="47"/>
      <c r="M237" s="47"/>
      <c r="N237" s="48"/>
      <c r="O237" s="55" t="s">
        <v>51</v>
      </c>
      <c r="P237" s="24"/>
      <c r="Q237" s="56">
        <f t="shared" si="8"/>
        <v>270.96145022246941</v>
      </c>
      <c r="R237" s="56">
        <f t="shared" si="12"/>
        <v>301.66666666666669</v>
      </c>
      <c r="S237" s="33">
        <f t="shared" si="13"/>
        <v>1.1133195014234947</v>
      </c>
      <c r="T237" s="56">
        <f t="shared" si="14"/>
        <v>6393.7740872395934</v>
      </c>
      <c r="U237" s="56"/>
      <c r="V237" s="56">
        <f t="shared" si="9"/>
        <v>234.71314176485066</v>
      </c>
      <c r="W237" s="11"/>
      <c r="AN237" s="57"/>
    </row>
    <row r="238" spans="1:40" x14ac:dyDescent="0.2">
      <c r="A238" s="51" t="s">
        <v>52</v>
      </c>
      <c r="B238" s="60">
        <v>81679.540166921564</v>
      </c>
      <c r="C238" s="59">
        <f t="shared" si="10"/>
        <v>76615.509999999995</v>
      </c>
      <c r="D238" s="52">
        <f t="shared" si="7"/>
        <v>-5064.0301669215696</v>
      </c>
      <c r="E238" s="53">
        <f t="shared" si="11"/>
        <v>-6.1998759500514325E-2</v>
      </c>
      <c r="F238" s="47"/>
      <c r="G238" s="47"/>
      <c r="H238" s="47"/>
      <c r="I238" s="47"/>
      <c r="J238" s="47"/>
      <c r="K238" s="47"/>
      <c r="L238" s="47"/>
      <c r="M238" s="47"/>
      <c r="N238" s="48"/>
      <c r="O238" s="55" t="s">
        <v>52</v>
      </c>
      <c r="P238" s="24"/>
      <c r="Q238" s="56">
        <f t="shared" si="8"/>
        <v>354.19165392102332</v>
      </c>
      <c r="R238" s="56">
        <f t="shared" si="12"/>
        <v>330.93333333333334</v>
      </c>
      <c r="S238" s="33">
        <f t="shared" si="13"/>
        <v>0.93433408063060663</v>
      </c>
      <c r="T238" s="56">
        <f t="shared" si="14"/>
        <v>-4843.1004470052021</v>
      </c>
      <c r="U238" s="56"/>
      <c r="V238" s="56">
        <f t="shared" si="9"/>
        <v>-220.9297199163675</v>
      </c>
      <c r="W238" s="11"/>
      <c r="AN238" s="57"/>
    </row>
    <row r="239" spans="1:40" x14ac:dyDescent="0.2">
      <c r="A239" s="51" t="s">
        <v>53</v>
      </c>
      <c r="B239" s="60">
        <v>87925.593324527232</v>
      </c>
      <c r="C239" s="59">
        <f t="shared" si="10"/>
        <v>85620.21</v>
      </c>
      <c r="D239" s="52">
        <f t="shared" si="7"/>
        <v>-2305.3833245272253</v>
      </c>
      <c r="E239" s="53">
        <f t="shared" si="11"/>
        <v>-2.6219707338433491E-2</v>
      </c>
      <c r="F239" s="47"/>
      <c r="G239" s="47"/>
      <c r="H239" s="47"/>
      <c r="I239" s="47"/>
      <c r="J239" s="47"/>
      <c r="K239" s="47"/>
      <c r="L239" s="47"/>
      <c r="M239" s="47"/>
      <c r="N239" s="48"/>
      <c r="O239" s="55" t="s">
        <v>53</v>
      </c>
      <c r="P239" s="24"/>
      <c r="Q239" s="56">
        <f t="shared" si="8"/>
        <v>381.33377363737486</v>
      </c>
      <c r="R239" s="56">
        <f t="shared" si="12"/>
        <v>329.33333333333331</v>
      </c>
      <c r="S239" s="33">
        <f t="shared" si="13"/>
        <v>0.86363536644543115</v>
      </c>
      <c r="T239" s="56">
        <f t="shared" si="14"/>
        <v>-10828.097184895834</v>
      </c>
      <c r="U239" s="56">
        <v>0</v>
      </c>
      <c r="V239" s="56">
        <f t="shared" si="9"/>
        <v>8522.7138603686089</v>
      </c>
      <c r="W239" s="11"/>
      <c r="AN239" s="57"/>
    </row>
    <row r="240" spans="1:40" x14ac:dyDescent="0.2">
      <c r="A240" s="51" t="s">
        <v>54</v>
      </c>
      <c r="B240" s="60">
        <v>52374.920354977752</v>
      </c>
      <c r="C240" s="59">
        <f t="shared" si="10"/>
        <v>47272.33</v>
      </c>
      <c r="D240" s="52">
        <f t="shared" si="7"/>
        <v>-5102.5903549777504</v>
      </c>
      <c r="E240" s="53">
        <f t="shared" si="11"/>
        <v>-9.7424307672341809E-2</v>
      </c>
      <c r="F240" s="47"/>
      <c r="G240" s="47"/>
      <c r="H240" s="47"/>
      <c r="I240" s="47"/>
      <c r="J240" s="47"/>
      <c r="K240" s="47"/>
      <c r="L240" s="47"/>
      <c r="M240" s="47"/>
      <c r="N240" s="48"/>
      <c r="O240" s="55" t="s">
        <v>54</v>
      </c>
      <c r="P240" s="24"/>
      <c r="Q240" s="56">
        <f t="shared" si="8"/>
        <v>226.84891777901373</v>
      </c>
      <c r="R240" s="56">
        <f t="shared" si="12"/>
        <v>222.29999999999998</v>
      </c>
      <c r="S240" s="33">
        <f t="shared" si="13"/>
        <v>0.97994736839148111</v>
      </c>
      <c r="T240" s="56">
        <f t="shared" si="14"/>
        <v>-947.22512942709056</v>
      </c>
      <c r="U240" s="56"/>
      <c r="V240" s="56">
        <f t="shared" si="9"/>
        <v>-4155.3652255506595</v>
      </c>
      <c r="W240" s="11"/>
      <c r="AN240" s="57"/>
    </row>
    <row r="241" spans="1:41" x14ac:dyDescent="0.2">
      <c r="A241" s="51" t="s">
        <v>55</v>
      </c>
      <c r="B241" s="60">
        <v>44067.198159889507</v>
      </c>
      <c r="C241" s="59">
        <f t="shared" si="10"/>
        <v>46462.58</v>
      </c>
      <c r="D241" s="52">
        <f t="shared" si="7"/>
        <v>2395.3818401104945</v>
      </c>
      <c r="E241" s="53">
        <f t="shared" si="11"/>
        <v>5.4357479942775212E-2</v>
      </c>
      <c r="F241" s="47"/>
      <c r="G241" s="47"/>
      <c r="H241" s="47"/>
      <c r="I241" s="47"/>
      <c r="J241" s="47"/>
      <c r="K241" s="47"/>
      <c r="L241" s="47"/>
      <c r="M241" s="47"/>
      <c r="N241" s="48"/>
      <c r="O241" s="55" t="s">
        <v>55</v>
      </c>
      <c r="P241" s="24"/>
      <c r="Q241" s="56">
        <f t="shared" si="8"/>
        <v>190.74784968056139</v>
      </c>
      <c r="R241" s="56">
        <f t="shared" si="12"/>
        <v>199.6</v>
      </c>
      <c r="S241" s="33">
        <f t="shared" si="13"/>
        <v>1.0464076021525957</v>
      </c>
      <c r="T241" s="56">
        <f t="shared" si="14"/>
        <v>1843.2910066482316</v>
      </c>
      <c r="U241" s="56"/>
      <c r="V241" s="56">
        <f t="shared" si="9"/>
        <v>552.09083346226294</v>
      </c>
      <c r="W241" s="11"/>
      <c r="AN241" s="57"/>
    </row>
    <row r="242" spans="1:41" x14ac:dyDescent="0.2">
      <c r="A242" s="51" t="s">
        <v>56</v>
      </c>
      <c r="B242" s="60">
        <v>54121.221251216637</v>
      </c>
      <c r="C242" s="59">
        <f t="shared" si="10"/>
        <v>57171.29</v>
      </c>
      <c r="D242" s="52">
        <f t="shared" si="7"/>
        <v>3050.0687487833638</v>
      </c>
      <c r="E242" s="53">
        <f t="shared" si="11"/>
        <v>5.635624396991594E-2</v>
      </c>
      <c r="F242" s="47"/>
      <c r="G242" s="47"/>
      <c r="H242" s="47"/>
      <c r="I242" s="47"/>
      <c r="J242" s="47"/>
      <c r="K242" s="47"/>
      <c r="L242" s="47"/>
      <c r="M242" s="47"/>
      <c r="N242" s="48"/>
      <c r="O242" s="55" t="s">
        <v>56</v>
      </c>
      <c r="P242" s="24"/>
      <c r="Q242" s="56">
        <f t="shared" si="8"/>
        <v>234.4374391685206</v>
      </c>
      <c r="R242" s="56">
        <f t="shared" si="12"/>
        <v>245.6</v>
      </c>
      <c r="S242" s="33">
        <f t="shared" si="13"/>
        <v>1.0476142414414253</v>
      </c>
      <c r="T242" s="56">
        <f t="shared" si="14"/>
        <v>2324.3898091796841</v>
      </c>
      <c r="U242" s="56"/>
      <c r="V242" s="56">
        <f t="shared" si="9"/>
        <v>725.67893960367974</v>
      </c>
      <c r="W242" s="11"/>
      <c r="AN242" s="57"/>
    </row>
    <row r="243" spans="1:41" x14ac:dyDescent="0.2">
      <c r="A243" s="51" t="s">
        <v>57</v>
      </c>
      <c r="B243" s="60">
        <v>69166.293688994716</v>
      </c>
      <c r="C243" s="59">
        <f t="shared" si="10"/>
        <v>78251.009999999995</v>
      </c>
      <c r="D243" s="52">
        <f t="shared" si="7"/>
        <v>9084.7163110052788</v>
      </c>
      <c r="E243" s="53">
        <f t="shared" si="11"/>
        <v>0.13134600433926069</v>
      </c>
      <c r="F243" s="47"/>
      <c r="G243" s="47"/>
      <c r="H243" s="47"/>
      <c r="I243" s="47"/>
      <c r="J243" s="47"/>
      <c r="K243" s="47"/>
      <c r="L243" s="47"/>
      <c r="M243" s="47"/>
      <c r="N243" s="48"/>
      <c r="O243" s="55" t="s">
        <v>57</v>
      </c>
      <c r="P243" s="24"/>
      <c r="Q243" s="56">
        <f t="shared" si="8"/>
        <v>299.81555026418243</v>
      </c>
      <c r="R243" s="56">
        <f t="shared" si="12"/>
        <v>333.59999999999997</v>
      </c>
      <c r="S243" s="33">
        <f t="shared" si="13"/>
        <v>1.1126841143031052</v>
      </c>
      <c r="T243" s="56">
        <f t="shared" si="14"/>
        <v>7034.9655298828002</v>
      </c>
      <c r="U243" s="56"/>
      <c r="V243" s="56">
        <f t="shared" si="9"/>
        <v>2049.7507811224787</v>
      </c>
      <c r="W243" s="11"/>
      <c r="AN243" s="57"/>
    </row>
    <row r="244" spans="1:41" x14ac:dyDescent="0.2">
      <c r="A244" s="51" t="s">
        <v>58</v>
      </c>
      <c r="B244" s="60">
        <v>60454.253916129041</v>
      </c>
      <c r="C244" s="59">
        <f t="shared" si="10"/>
        <v>54296.240000000005</v>
      </c>
      <c r="D244" s="52">
        <f t="shared" si="7"/>
        <v>-6158.0139161290354</v>
      </c>
      <c r="E244" s="53">
        <f t="shared" si="11"/>
        <v>-0.10186237555213783</v>
      </c>
      <c r="F244" s="47"/>
      <c r="G244" s="47"/>
      <c r="H244" s="47"/>
      <c r="I244" s="47"/>
      <c r="J244" s="47"/>
      <c r="K244" s="47"/>
      <c r="L244" s="47"/>
      <c r="M244" s="47"/>
      <c r="N244" s="48"/>
      <c r="O244" s="55" t="s">
        <v>58</v>
      </c>
      <c r="P244" s="24"/>
      <c r="Q244" s="56">
        <f t="shared" si="8"/>
        <v>261.95752688172047</v>
      </c>
      <c r="R244" s="56">
        <f t="shared" si="12"/>
        <v>226.71720430107524</v>
      </c>
      <c r="S244" s="33">
        <f t="shared" si="13"/>
        <v>0.86547314368043715</v>
      </c>
      <c r="T244" s="56">
        <f t="shared" si="14"/>
        <v>-7338.1232062500158</v>
      </c>
      <c r="U244" s="56"/>
      <c r="V244" s="56">
        <f t="shared" si="9"/>
        <v>1180.1092901209804</v>
      </c>
      <c r="W244" s="11"/>
      <c r="AN244" s="57"/>
    </row>
    <row r="245" spans="1:41" x14ac:dyDescent="0.2">
      <c r="A245" s="51" t="s">
        <v>59</v>
      </c>
      <c r="B245" s="60">
        <v>65756.88</v>
      </c>
      <c r="C245" s="59">
        <f t="shared" si="10"/>
        <v>75255.64</v>
      </c>
      <c r="D245" s="52">
        <f t="shared" si="7"/>
        <v>9498.7599999999948</v>
      </c>
      <c r="E245" s="53">
        <f t="shared" si="11"/>
        <v>0.14445271734303686</v>
      </c>
      <c r="F245" s="47"/>
      <c r="G245" s="47"/>
      <c r="H245" s="47"/>
      <c r="I245" s="47"/>
      <c r="J245" s="47"/>
      <c r="K245" s="47"/>
      <c r="L245" s="47"/>
      <c r="M245" s="47"/>
      <c r="N245" s="48"/>
      <c r="O245" s="55" t="s">
        <v>59</v>
      </c>
      <c r="P245" s="24"/>
      <c r="Q245" s="56">
        <f t="shared" si="8"/>
        <v>285</v>
      </c>
      <c r="R245" s="56">
        <f t="shared" si="12"/>
        <v>321.66666666666669</v>
      </c>
      <c r="S245" s="33">
        <f t="shared" si="13"/>
        <v>1.128654970760234</v>
      </c>
      <c r="T245" s="56">
        <f t="shared" si="14"/>
        <v>7635.1320833333402</v>
      </c>
      <c r="U245" s="56"/>
      <c r="V245" s="56">
        <f t="shared" si="9"/>
        <v>1863.6279166666545</v>
      </c>
      <c r="W245" s="11"/>
      <c r="AN245" s="57"/>
    </row>
    <row r="246" spans="1:41" x14ac:dyDescent="0.2">
      <c r="A246" s="51" t="s">
        <v>60</v>
      </c>
      <c r="B246" s="60">
        <v>68217.522146412666</v>
      </c>
      <c r="C246" s="59">
        <f t="shared" si="10"/>
        <v>68370.48</v>
      </c>
      <c r="D246" s="52">
        <f t="shared" si="7"/>
        <v>152.95785358732974</v>
      </c>
      <c r="E246" s="53">
        <f t="shared" si="11"/>
        <v>2.242207702282738E-3</v>
      </c>
      <c r="F246" s="47"/>
      <c r="G246" s="47"/>
      <c r="H246" s="47"/>
      <c r="I246" s="47"/>
      <c r="J246" s="47"/>
      <c r="K246" s="47"/>
      <c r="L246" s="47"/>
      <c r="M246" s="47"/>
      <c r="N246" s="48"/>
      <c r="O246" s="55" t="s">
        <v>60</v>
      </c>
      <c r="P246" s="24"/>
      <c r="Q246" s="56">
        <f t="shared" si="8"/>
        <v>295.69267936596214</v>
      </c>
      <c r="R246" s="56">
        <f t="shared" si="12"/>
        <v>296.5333333333333</v>
      </c>
      <c r="S246" s="33">
        <f t="shared" si="13"/>
        <v>1.0028429989175713</v>
      </c>
      <c r="T246" s="56">
        <f t="shared" si="14"/>
        <v>175.05011119792621</v>
      </c>
      <c r="U246" s="56"/>
      <c r="V246" s="56">
        <f t="shared" si="9"/>
        <v>-22.092257610596477</v>
      </c>
      <c r="W246" s="11"/>
      <c r="AN246" s="57"/>
    </row>
    <row r="247" spans="1:41" x14ac:dyDescent="0.2">
      <c r="A247" s="51" t="s">
        <v>61</v>
      </c>
      <c r="B247" s="60">
        <v>59780.898842388466</v>
      </c>
      <c r="C247" s="59">
        <f t="shared" si="10"/>
        <v>55104.17</v>
      </c>
      <c r="D247" s="52">
        <f t="shared" si="7"/>
        <v>-4676.7288423884675</v>
      </c>
      <c r="E247" s="53">
        <f t="shared" si="11"/>
        <v>-7.8231156321663886E-2</v>
      </c>
      <c r="F247" s="47"/>
      <c r="G247" s="47"/>
      <c r="H247" s="47"/>
      <c r="I247" s="47"/>
      <c r="J247" s="47"/>
      <c r="K247" s="47"/>
      <c r="L247" s="47"/>
      <c r="M247" s="47"/>
      <c r="N247" s="48"/>
      <c r="O247" s="55" t="s">
        <v>61</v>
      </c>
      <c r="P247" s="24"/>
      <c r="Q247" s="56">
        <f t="shared" si="8"/>
        <v>259.0314736506773</v>
      </c>
      <c r="R247" s="56">
        <f t="shared" si="12"/>
        <v>270</v>
      </c>
      <c r="S247" s="33">
        <f t="shared" si="13"/>
        <v>1.0423443769003706</v>
      </c>
      <c r="T247" s="56">
        <f t="shared" si="14"/>
        <v>2283.9858391800221</v>
      </c>
      <c r="U247" s="56"/>
      <c r="V247" s="56">
        <f t="shared" si="9"/>
        <v>-6960.7146815684901</v>
      </c>
      <c r="W247" s="11"/>
      <c r="AN247" s="57"/>
    </row>
    <row r="248" spans="1:41" x14ac:dyDescent="0.2">
      <c r="A248" s="51" t="s">
        <v>62</v>
      </c>
      <c r="B248" s="60">
        <v>67019.420273046431</v>
      </c>
      <c r="C248" s="59">
        <f t="shared" si="10"/>
        <v>61581.37</v>
      </c>
      <c r="D248" s="52">
        <f t="shared" si="7"/>
        <v>-5438.0502730464286</v>
      </c>
      <c r="E248" s="53">
        <f t="shared" si="11"/>
        <v>-8.1141410219471549E-2</v>
      </c>
      <c r="F248" s="47"/>
      <c r="G248" s="47"/>
      <c r="H248" s="47"/>
      <c r="I248" s="47"/>
      <c r="J248" s="47"/>
      <c r="K248" s="47"/>
      <c r="L248" s="47"/>
      <c r="M248" s="47"/>
      <c r="N248" s="48"/>
      <c r="O248" s="55" t="s">
        <v>62</v>
      </c>
      <c r="P248" s="24"/>
      <c r="Q248" s="56">
        <f t="shared" si="8"/>
        <v>290.48634767797552</v>
      </c>
      <c r="R248" s="56">
        <f t="shared" si="12"/>
        <v>296.3</v>
      </c>
      <c r="S248" s="33">
        <f t="shared" si="13"/>
        <v>1.0200135130910502</v>
      </c>
      <c r="T248" s="56">
        <f t="shared" si="14"/>
        <v>1210.5819099609453</v>
      </c>
      <c r="U248" s="56"/>
      <c r="V248" s="56">
        <f t="shared" si="9"/>
        <v>-6648.6321830073739</v>
      </c>
      <c r="W248" s="11"/>
      <c r="AN248" s="57"/>
    </row>
    <row r="249" spans="1:41" x14ac:dyDescent="0.2">
      <c r="A249" s="51" t="s">
        <v>63</v>
      </c>
      <c r="B249" s="60">
        <v>64517.897679539768</v>
      </c>
      <c r="C249" s="59">
        <f t="shared" si="10"/>
        <v>59375.65</v>
      </c>
      <c r="D249" s="52">
        <f t="shared" si="7"/>
        <v>-5142.247679539767</v>
      </c>
      <c r="E249" s="53">
        <f t="shared" si="11"/>
        <v>-7.9702654061688402E-2</v>
      </c>
      <c r="F249" s="47"/>
      <c r="G249" s="47"/>
      <c r="H249" s="47"/>
      <c r="I249" s="47"/>
      <c r="J249" s="47"/>
      <c r="K249" s="47"/>
      <c r="L249" s="47"/>
      <c r="M249" s="47"/>
      <c r="N249" s="48"/>
      <c r="O249" s="55" t="s">
        <v>63</v>
      </c>
      <c r="P249" s="24"/>
      <c r="Q249" s="56">
        <f t="shared" si="8"/>
        <v>279.61602301167966</v>
      </c>
      <c r="R249" s="56">
        <f t="shared" si="12"/>
        <v>261.16666666666669</v>
      </c>
      <c r="S249" s="33">
        <f t="shared" si="13"/>
        <v>0.93401895876245145</v>
      </c>
      <c r="T249" s="56">
        <f t="shared" si="14"/>
        <v>-3841.7256149088516</v>
      </c>
      <c r="U249" s="56"/>
      <c r="V249" s="56">
        <f t="shared" si="9"/>
        <v>-1300.5220646309153</v>
      </c>
      <c r="W249" s="11"/>
      <c r="AN249" s="57"/>
    </row>
    <row r="250" spans="1:41" x14ac:dyDescent="0.2">
      <c r="A250" s="51" t="s">
        <v>64</v>
      </c>
      <c r="B250" s="60">
        <v>72768.379239002912</v>
      </c>
      <c r="C250" s="59">
        <f t="shared" si="10"/>
        <v>69629.08</v>
      </c>
      <c r="D250" s="52">
        <f t="shared" si="7"/>
        <v>-3139.2992390029103</v>
      </c>
      <c r="E250" s="53">
        <f t="shared" si="11"/>
        <v>-4.3140980626929872E-2</v>
      </c>
      <c r="F250" s="47"/>
      <c r="G250" s="47"/>
      <c r="H250" s="47"/>
      <c r="I250" s="47"/>
      <c r="J250" s="47"/>
      <c r="K250" s="47"/>
      <c r="L250" s="47"/>
      <c r="M250" s="47"/>
      <c r="N250" s="48"/>
      <c r="O250" s="55" t="s">
        <v>64</v>
      </c>
      <c r="P250" s="24"/>
      <c r="Q250" s="56">
        <f t="shared" si="8"/>
        <v>315.46835288367549</v>
      </c>
      <c r="R250" s="56">
        <f t="shared" si="12"/>
        <v>332.2021505376344</v>
      </c>
      <c r="S250" s="33">
        <f t="shared" si="13"/>
        <v>1.0530442990588322</v>
      </c>
      <c r="T250" s="56">
        <f t="shared" si="14"/>
        <v>3484.4933275568101</v>
      </c>
      <c r="U250" s="56"/>
      <c r="V250" s="56">
        <f t="shared" si="9"/>
        <v>-6623.7925665597204</v>
      </c>
      <c r="W250" s="11"/>
      <c r="AN250" s="57"/>
      <c r="AO250" s="11"/>
    </row>
    <row r="251" spans="1:41" x14ac:dyDescent="0.2">
      <c r="A251" s="51" t="s">
        <v>65</v>
      </c>
      <c r="B251" s="60">
        <v>59908.174309058668</v>
      </c>
      <c r="C251" s="59">
        <f t="shared" si="10"/>
        <v>58739.66</v>
      </c>
      <c r="D251" s="52">
        <f t="shared" si="7"/>
        <v>-1168.5143090586644</v>
      </c>
      <c r="E251" s="53">
        <f t="shared" si="11"/>
        <v>-1.9505089623169741E-2</v>
      </c>
      <c r="F251" s="47"/>
      <c r="G251" s="47"/>
      <c r="H251" s="47"/>
      <c r="I251" s="47"/>
      <c r="J251" s="47"/>
      <c r="K251" s="47"/>
      <c r="L251" s="47"/>
      <c r="M251" s="47"/>
      <c r="N251" s="48"/>
      <c r="O251" s="55" t="s">
        <v>65</v>
      </c>
      <c r="P251" s="24"/>
      <c r="Q251" s="56">
        <f t="shared" si="8"/>
        <v>259.58454706618465</v>
      </c>
      <c r="R251" s="56">
        <f t="shared" si="12"/>
        <v>253.93333333333334</v>
      </c>
      <c r="S251" s="33">
        <f t="shared" si="13"/>
        <v>0.97822977601432315</v>
      </c>
      <c r="T251" s="56">
        <f t="shared" si="14"/>
        <v>-1176.7571804036456</v>
      </c>
      <c r="U251" s="56"/>
      <c r="V251" s="56">
        <f t="shared" si="9"/>
        <v>8.2428713449812676</v>
      </c>
      <c r="W251" s="11"/>
      <c r="AN251" s="57"/>
      <c r="AO251" s="11"/>
    </row>
    <row r="252" spans="1:41" x14ac:dyDescent="0.2">
      <c r="A252" s="51" t="s">
        <v>66</v>
      </c>
      <c r="B252" s="60">
        <v>63936.762185831481</v>
      </c>
      <c r="C252" s="59">
        <f t="shared" si="10"/>
        <v>60987.75</v>
      </c>
      <c r="D252" s="52">
        <f t="shared" si="7"/>
        <v>-2949.0121858314815</v>
      </c>
      <c r="E252" s="53">
        <f t="shared" si="11"/>
        <v>-4.6123889997122636E-2</v>
      </c>
      <c r="F252" s="47"/>
      <c r="G252" s="47"/>
      <c r="H252" s="47"/>
      <c r="I252" s="47"/>
      <c r="J252" s="47"/>
      <c r="K252" s="47"/>
      <c r="L252" s="47"/>
      <c r="M252" s="47"/>
      <c r="N252" s="48"/>
      <c r="O252" s="55" t="s">
        <v>66</v>
      </c>
      <c r="P252" s="24"/>
      <c r="Q252" s="56">
        <f t="shared" si="8"/>
        <v>277.09070842602893</v>
      </c>
      <c r="R252" s="56">
        <f t="shared" si="12"/>
        <v>256.10919540229884</v>
      </c>
      <c r="S252" s="33">
        <f t="shared" si="13"/>
        <v>0.92427926167964147</v>
      </c>
      <c r="T252" s="56">
        <f t="shared" si="14"/>
        <v>-4368.9988157552143</v>
      </c>
      <c r="U252" s="56"/>
      <c r="V252" s="56">
        <f t="shared" si="9"/>
        <v>1419.9866299237328</v>
      </c>
      <c r="W252" s="11"/>
      <c r="AN252" s="57"/>
    </row>
    <row r="253" spans="1:41" x14ac:dyDescent="0.2">
      <c r="A253" s="51" t="s">
        <v>67</v>
      </c>
      <c r="B253" s="60">
        <v>56205.442545140337</v>
      </c>
      <c r="C253" s="59">
        <f t="shared" si="10"/>
        <v>51612.46</v>
      </c>
      <c r="D253" s="52">
        <f t="shared" si="7"/>
        <v>-4592.9825451403376</v>
      </c>
      <c r="E253" s="53">
        <f t="shared" si="11"/>
        <v>-8.1717754316258093E-2</v>
      </c>
      <c r="F253" s="47"/>
      <c r="G253" s="47"/>
      <c r="H253" s="47"/>
      <c r="I253" s="47"/>
      <c r="J253" s="47"/>
      <c r="K253" s="47"/>
      <c r="L253" s="47"/>
      <c r="M253" s="47"/>
      <c r="N253" s="48"/>
      <c r="O253" s="55" t="s">
        <v>67</v>
      </c>
      <c r="P253" s="24"/>
      <c r="Q253" s="56">
        <f t="shared" si="8"/>
        <v>243.49438800446862</v>
      </c>
      <c r="R253" s="56">
        <f t="shared" si="12"/>
        <v>231.41379310344828</v>
      </c>
      <c r="S253" s="33">
        <f t="shared" si="13"/>
        <v>0.95038655716041132</v>
      </c>
      <c r="T253" s="56">
        <f t="shared" si="14"/>
        <v>-2515.552846760002</v>
      </c>
      <c r="U253" s="56"/>
      <c r="V253" s="56">
        <f t="shared" si="9"/>
        <v>-2077.4296983803356</v>
      </c>
      <c r="W253" s="11"/>
      <c r="AN253" s="57"/>
    </row>
    <row r="254" spans="1:41" x14ac:dyDescent="0.2">
      <c r="A254" s="51" t="s">
        <v>68</v>
      </c>
      <c r="B254" s="60">
        <v>82485.070158578965</v>
      </c>
      <c r="C254" s="59">
        <f t="shared" si="10"/>
        <v>63841.32</v>
      </c>
      <c r="D254" s="52">
        <f t="shared" si="7"/>
        <v>-18643.750158578965</v>
      </c>
      <c r="E254" s="53">
        <f t="shared" si="11"/>
        <v>-0.22602575378472778</v>
      </c>
      <c r="F254" s="47"/>
      <c r="G254" s="47"/>
      <c r="H254" s="47"/>
      <c r="I254" s="47"/>
      <c r="J254" s="47"/>
      <c r="K254" s="47"/>
      <c r="L254" s="47"/>
      <c r="M254" s="47"/>
      <c r="N254" s="48"/>
      <c r="O254" s="55" t="s">
        <v>68</v>
      </c>
      <c r="P254" s="24"/>
      <c r="Q254" s="56">
        <f t="shared" si="8"/>
        <v>357.69207105116794</v>
      </c>
      <c r="R254" s="56">
        <f t="shared" si="12"/>
        <v>305.5</v>
      </c>
      <c r="S254" s="33">
        <f t="shared" si="13"/>
        <v>0.85408658654974257</v>
      </c>
      <c r="T254" s="56">
        <f t="shared" si="14"/>
        <v>-10868.000623046868</v>
      </c>
      <c r="U254" s="56"/>
      <c r="V254" s="56">
        <f t="shared" si="9"/>
        <v>-7775.7495355320971</v>
      </c>
      <c r="W254" s="11"/>
      <c r="AN254" s="57"/>
    </row>
    <row r="255" spans="1:41" x14ac:dyDescent="0.2">
      <c r="A255" s="51" t="s">
        <v>69</v>
      </c>
      <c r="B255" s="60">
        <v>55296.211133238321</v>
      </c>
      <c r="C255" s="59">
        <f t="shared" si="10"/>
        <v>54737.94</v>
      </c>
      <c r="D255" s="52">
        <f t="shared" si="7"/>
        <v>-558.27113323831873</v>
      </c>
      <c r="E255" s="53">
        <f t="shared" si="11"/>
        <v>-1.0096010590909081E-2</v>
      </c>
      <c r="F255" s="47"/>
      <c r="G255" s="47"/>
      <c r="H255" s="47"/>
      <c r="I255" s="47"/>
      <c r="J255" s="47"/>
      <c r="K255" s="47"/>
      <c r="L255" s="47"/>
      <c r="M255" s="47"/>
      <c r="N255" s="48"/>
      <c r="O255" s="55" t="s">
        <v>69</v>
      </c>
      <c r="P255" s="24"/>
      <c r="Q255" s="56">
        <f t="shared" si="8"/>
        <v>239.54333808398221</v>
      </c>
      <c r="R255" s="56">
        <f t="shared" si="12"/>
        <v>236.5</v>
      </c>
      <c r="S255" s="33">
        <f t="shared" si="13"/>
        <v>0.98729525058670076</v>
      </c>
      <c r="T255" s="56">
        <f t="shared" si="14"/>
        <v>-633.71695214844021</v>
      </c>
      <c r="U255" s="56"/>
      <c r="V255" s="56">
        <f t="shared" si="9"/>
        <v>75.445818910121488</v>
      </c>
      <c r="W255" s="11"/>
      <c r="AN255" s="57"/>
    </row>
    <row r="256" spans="1:41" x14ac:dyDescent="0.2">
      <c r="A256" s="51" t="s">
        <v>70</v>
      </c>
      <c r="B256" s="60">
        <v>73811.219999999987</v>
      </c>
      <c r="C256" s="59">
        <f t="shared" si="10"/>
        <v>74574.44</v>
      </c>
      <c r="D256" s="52">
        <f t="shared" si="7"/>
        <v>763.22000000001572</v>
      </c>
      <c r="E256" s="53">
        <f t="shared" si="11"/>
        <v>1.0340162376397732E-2</v>
      </c>
      <c r="F256" s="47"/>
      <c r="G256" s="47"/>
      <c r="H256" s="47"/>
      <c r="I256" s="47"/>
      <c r="J256" s="47"/>
      <c r="K256" s="47"/>
      <c r="L256" s="47"/>
      <c r="M256" s="47"/>
      <c r="N256" s="48"/>
      <c r="O256" s="55" t="s">
        <v>70</v>
      </c>
      <c r="P256" s="24"/>
      <c r="Q256" s="56">
        <f t="shared" si="8"/>
        <v>320</v>
      </c>
      <c r="R256" s="56">
        <f t="shared" si="12"/>
        <v>336.3</v>
      </c>
      <c r="S256" s="33">
        <f t="shared" si="13"/>
        <v>1.0509375000000001</v>
      </c>
      <c r="T256" s="56">
        <f t="shared" si="14"/>
        <v>3394.1632625000057</v>
      </c>
      <c r="U256" s="56"/>
      <c r="V256" s="56">
        <f t="shared" si="9"/>
        <v>-2630.9432624999899</v>
      </c>
      <c r="W256" s="11"/>
      <c r="AN256" s="57"/>
    </row>
    <row r="257" spans="1:40" x14ac:dyDescent="0.2">
      <c r="A257" s="51" t="s">
        <v>71</v>
      </c>
      <c r="B257" s="60">
        <v>58811.037660838425</v>
      </c>
      <c r="C257" s="59">
        <f t="shared" si="10"/>
        <v>54196.36</v>
      </c>
      <c r="D257" s="52">
        <f t="shared" si="7"/>
        <v>-4614.6776608384243</v>
      </c>
      <c r="E257" s="53">
        <f t="shared" si="11"/>
        <v>-7.8466183294556693E-2</v>
      </c>
      <c r="F257" s="47"/>
      <c r="G257" s="47"/>
      <c r="H257" s="47"/>
      <c r="I257" s="47"/>
      <c r="J257" s="47"/>
      <c r="K257" s="47"/>
      <c r="L257" s="47"/>
      <c r="M257" s="47"/>
      <c r="N257" s="48"/>
      <c r="O257" s="55" t="s">
        <v>71</v>
      </c>
      <c r="P257" s="24"/>
      <c r="Q257" s="56">
        <f t="shared" si="8"/>
        <v>254.81695807842047</v>
      </c>
      <c r="R257" s="56">
        <f t="shared" si="12"/>
        <v>229.76666666666668</v>
      </c>
      <c r="S257" s="33">
        <f t="shared" si="13"/>
        <v>0.90169299719823004</v>
      </c>
      <c r="T257" s="56">
        <f t="shared" si="14"/>
        <v>-5216.2440996744754</v>
      </c>
      <c r="U257" s="56"/>
      <c r="V257" s="56">
        <f t="shared" si="9"/>
        <v>601.56643883605102</v>
      </c>
      <c r="W257" s="11"/>
      <c r="AN257" s="57"/>
    </row>
    <row r="258" spans="1:40" x14ac:dyDescent="0.2">
      <c r="A258" s="51" t="s">
        <v>72</v>
      </c>
      <c r="B258" s="60">
        <v>55944.488525000008</v>
      </c>
      <c r="C258" s="59">
        <f t="shared" si="10"/>
        <v>58654.18</v>
      </c>
      <c r="D258" s="52">
        <f t="shared" si="7"/>
        <v>2709.6914749999924</v>
      </c>
      <c r="E258" s="53">
        <f t="shared" si="11"/>
        <v>4.8435360594799394E-2</v>
      </c>
      <c r="F258" s="47"/>
      <c r="G258" s="47"/>
      <c r="H258" s="47"/>
      <c r="I258" s="47"/>
      <c r="J258" s="47"/>
      <c r="K258" s="47"/>
      <c r="L258" s="47"/>
      <c r="M258" s="47"/>
      <c r="N258" s="48"/>
      <c r="O258" s="55" t="s">
        <v>72</v>
      </c>
      <c r="P258" s="24"/>
      <c r="Q258" s="56">
        <f t="shared" si="8"/>
        <v>242.36041666666668</v>
      </c>
      <c r="R258" s="56">
        <f t="shared" si="12"/>
        <v>249.63333333333333</v>
      </c>
      <c r="S258" s="33">
        <f t="shared" si="13"/>
        <v>1.0300086819733008</v>
      </c>
      <c r="T258" s="56">
        <f t="shared" si="14"/>
        <v>1514.4458013020819</v>
      </c>
      <c r="U258" s="56"/>
      <c r="V258" s="56">
        <f t="shared" si="9"/>
        <v>1195.2456736979104</v>
      </c>
      <c r="W258" s="11"/>
      <c r="AN258" s="57"/>
    </row>
    <row r="259" spans="1:40" x14ac:dyDescent="0.2">
      <c r="A259" s="51" t="s">
        <v>73</v>
      </c>
      <c r="B259" s="60">
        <v>74805.393596704656</v>
      </c>
      <c r="C259" s="59">
        <f t="shared" si="10"/>
        <v>76801.38</v>
      </c>
      <c r="D259" s="52">
        <f t="shared" si="7"/>
        <v>1995.9864032953483</v>
      </c>
      <c r="E259" s="53">
        <f t="shared" si="11"/>
        <v>2.6682386220119772E-2</v>
      </c>
      <c r="F259" s="47"/>
      <c r="G259" s="47"/>
      <c r="H259" s="47"/>
      <c r="I259" s="47"/>
      <c r="J259" s="47"/>
      <c r="K259" s="47"/>
      <c r="L259" s="47"/>
      <c r="M259" s="47"/>
      <c r="N259" s="47"/>
      <c r="O259" s="55" t="s">
        <v>73</v>
      </c>
      <c r="P259" s="24"/>
      <c r="Q259" s="56">
        <f t="shared" si="8"/>
        <v>324.32016476640712</v>
      </c>
      <c r="R259" s="56">
        <f t="shared" si="12"/>
        <v>326.96666666666664</v>
      </c>
      <c r="S259" s="33">
        <f t="shared" si="13"/>
        <v>1.0081601521822292</v>
      </c>
      <c r="T259" s="56">
        <f t="shared" si="14"/>
        <v>551.08340638020536</v>
      </c>
      <c r="U259" s="56"/>
      <c r="V259" s="56">
        <f t="shared" si="9"/>
        <v>1444.9029969151429</v>
      </c>
      <c r="W259" s="11"/>
      <c r="AN259" s="57"/>
    </row>
    <row r="260" spans="1:40" x14ac:dyDescent="0.2">
      <c r="A260" s="51" t="s">
        <v>74</v>
      </c>
      <c r="B260" s="60">
        <v>72859.708695529756</v>
      </c>
      <c r="C260" s="59">
        <f t="shared" si="10"/>
        <v>61081.7</v>
      </c>
      <c r="D260" s="52">
        <f t="shared" si="7"/>
        <v>-11778.008695529759</v>
      </c>
      <c r="E260" s="53">
        <f t="shared" si="11"/>
        <v>-0.16165324987433541</v>
      </c>
      <c r="F260" s="47"/>
      <c r="G260" s="47"/>
      <c r="H260" s="47"/>
      <c r="I260" s="47"/>
      <c r="J260" s="47"/>
      <c r="K260" s="47"/>
      <c r="L260" s="47"/>
      <c r="M260" s="47"/>
      <c r="N260" s="25"/>
      <c r="O260" s="55" t="s">
        <v>74</v>
      </c>
      <c r="P260" s="24"/>
      <c r="Q260" s="56">
        <f t="shared" si="8"/>
        <v>315.86522351223584</v>
      </c>
      <c r="R260" s="56">
        <f t="shared" si="12"/>
        <v>258.7</v>
      </c>
      <c r="S260" s="33">
        <f t="shared" si="13"/>
        <v>0.8190202046411057</v>
      </c>
      <c r="T260" s="56">
        <f t="shared" si="14"/>
        <v>-11903.564511523446</v>
      </c>
      <c r="U260" s="56"/>
      <c r="V260" s="56">
        <f t="shared" si="9"/>
        <v>125.55581599368634</v>
      </c>
      <c r="W260" s="11"/>
      <c r="AN260" s="57"/>
    </row>
    <row r="261" spans="1:40" x14ac:dyDescent="0.2">
      <c r="A261" s="51" t="s">
        <v>75</v>
      </c>
      <c r="B261" s="60">
        <v>56341.121376715026</v>
      </c>
      <c r="C261" s="59">
        <f t="shared" si="10"/>
        <v>52617.15</v>
      </c>
      <c r="D261" s="52">
        <f t="shared" si="7"/>
        <v>-3723.9713767150242</v>
      </c>
      <c r="E261" s="53">
        <f t="shared" si="11"/>
        <v>-6.6096862925665661E-2</v>
      </c>
      <c r="F261" s="47"/>
      <c r="G261" s="47"/>
      <c r="H261" s="47"/>
      <c r="I261" s="47"/>
      <c r="J261" s="47"/>
      <c r="K261" s="47"/>
      <c r="L261" s="47"/>
      <c r="M261" s="47"/>
      <c r="N261" s="25"/>
      <c r="O261" s="55" t="s">
        <v>75</v>
      </c>
      <c r="P261" s="24"/>
      <c r="Q261" s="56">
        <f t="shared" si="8"/>
        <v>244.08397810187125</v>
      </c>
      <c r="R261" s="56">
        <f t="shared" si="12"/>
        <v>232.9655172413793</v>
      </c>
      <c r="S261" s="33">
        <f t="shared" si="13"/>
        <v>0.95444821513089428</v>
      </c>
      <c r="T261" s="56">
        <f t="shared" si="14"/>
        <v>-2315.2068336334919</v>
      </c>
      <c r="U261" s="56"/>
      <c r="V261" s="56">
        <f t="shared" si="9"/>
        <v>-1408.7645430815323</v>
      </c>
      <c r="W261" s="11"/>
      <c r="AN261" s="57"/>
    </row>
    <row r="262" spans="1:40" x14ac:dyDescent="0.2">
      <c r="A262" s="51" t="s">
        <v>76</v>
      </c>
      <c r="B262" s="60">
        <v>61133.057854838713</v>
      </c>
      <c r="C262" s="59">
        <f t="shared" si="10"/>
        <v>52800.58</v>
      </c>
      <c r="D262" s="52">
        <f t="shared" si="7"/>
        <v>-8332.4778548387112</v>
      </c>
      <c r="E262" s="53">
        <f t="shared" si="11"/>
        <v>-0.13630068815834953</v>
      </c>
      <c r="F262" s="47"/>
      <c r="G262" s="47"/>
      <c r="H262" s="47"/>
      <c r="I262" s="47"/>
      <c r="J262" s="47"/>
      <c r="K262" s="47"/>
      <c r="L262" s="47"/>
      <c r="M262" s="47"/>
      <c r="N262" s="25"/>
      <c r="O262" s="55" t="s">
        <v>76</v>
      </c>
      <c r="P262" s="24"/>
      <c r="Q262" s="56">
        <f t="shared" si="8"/>
        <v>264.90725806451616</v>
      </c>
      <c r="R262" s="56">
        <f t="shared" si="12"/>
        <v>315.29032258064518</v>
      </c>
      <c r="S262" s="33">
        <f t="shared" si="13"/>
        <v>1.1901913329375771</v>
      </c>
      <c r="T262" s="56">
        <f t="shared" si="14"/>
        <v>10491.309609375003</v>
      </c>
      <c r="U262" s="56"/>
      <c r="V262" s="56">
        <f t="shared" si="9"/>
        <v>-18823.787464213714</v>
      </c>
      <c r="W262" s="11"/>
      <c r="AN262" s="57"/>
    </row>
    <row r="263" spans="1:40" x14ac:dyDescent="0.2">
      <c r="A263" s="51" t="s">
        <v>77</v>
      </c>
      <c r="B263" s="60">
        <v>63493.962669389592</v>
      </c>
      <c r="C263" s="59">
        <f t="shared" si="10"/>
        <v>64840.91</v>
      </c>
      <c r="D263" s="52">
        <f t="shared" si="7"/>
        <v>1346.9473306104119</v>
      </c>
      <c r="E263" s="53">
        <f t="shared" si="11"/>
        <v>2.1213785909440088E-2</v>
      </c>
      <c r="F263" s="47"/>
      <c r="G263" s="47"/>
      <c r="H263" s="47"/>
      <c r="I263" s="47"/>
      <c r="J263" s="47"/>
      <c r="K263" s="47"/>
      <c r="L263" s="47"/>
      <c r="M263" s="47"/>
      <c r="N263" s="25"/>
      <c r="O263" s="55" t="s">
        <v>77</v>
      </c>
      <c r="P263" s="24"/>
      <c r="Q263" s="56">
        <f t="shared" si="8"/>
        <v>275.16653052002221</v>
      </c>
      <c r="R263" s="56">
        <f t="shared" si="12"/>
        <v>274.86666666666667</v>
      </c>
      <c r="S263" s="33">
        <f t="shared" si="13"/>
        <v>0.99891024590531108</v>
      </c>
      <c r="T263" s="56">
        <f t="shared" si="14"/>
        <v>-62.440912565095438</v>
      </c>
      <c r="U263" s="11"/>
      <c r="V263" s="56">
        <f t="shared" si="9"/>
        <v>1409.3882431755073</v>
      </c>
      <c r="W263" s="11"/>
    </row>
    <row r="264" spans="1:40" x14ac:dyDescent="0.2">
      <c r="A264" s="51" t="s">
        <v>78</v>
      </c>
      <c r="B264" s="60">
        <v>48037.331999999995</v>
      </c>
      <c r="C264" s="59">
        <f t="shared" si="10"/>
        <v>51297.05</v>
      </c>
      <c r="D264" s="52">
        <f t="shared" si="7"/>
        <v>3259.718000000008</v>
      </c>
      <c r="E264" s="53">
        <f t="shared" si="11"/>
        <v>6.7858015095426369E-2</v>
      </c>
      <c r="F264" s="47"/>
      <c r="G264" s="47"/>
      <c r="H264" s="47"/>
      <c r="I264" s="47"/>
      <c r="J264" s="63"/>
      <c r="K264" s="63"/>
      <c r="L264" s="63"/>
      <c r="M264" s="63"/>
      <c r="N264" s="25"/>
      <c r="O264" s="55" t="s">
        <v>78</v>
      </c>
      <c r="P264" s="24"/>
      <c r="Q264" s="56">
        <f t="shared" si="8"/>
        <v>208</v>
      </c>
      <c r="R264" s="56">
        <f t="shared" si="12"/>
        <v>222.03333333333333</v>
      </c>
      <c r="S264" s="33">
        <f t="shared" si="13"/>
        <v>1.0674679487179488</v>
      </c>
      <c r="T264" s="56">
        <f t="shared" si="14"/>
        <v>2922.1732791666709</v>
      </c>
      <c r="U264" s="56">
        <v>0</v>
      </c>
      <c r="V264" s="56">
        <f t="shared" si="9"/>
        <v>337.54472083333712</v>
      </c>
      <c r="W264" s="11"/>
    </row>
    <row r="265" spans="1:40" x14ac:dyDescent="0.2">
      <c r="A265" s="51" t="s">
        <v>79</v>
      </c>
      <c r="B265" s="60">
        <v>69910.023051724143</v>
      </c>
      <c r="C265" s="59">
        <f t="shared" si="10"/>
        <v>67403.429999999993</v>
      </c>
      <c r="D265" s="52">
        <f t="shared" si="7"/>
        <v>-2506.5930517241504</v>
      </c>
      <c r="E265" s="53">
        <f t="shared" si="11"/>
        <v>-3.5854559079026536E-2</v>
      </c>
      <c r="F265" s="63"/>
      <c r="G265" s="63"/>
      <c r="H265" s="63"/>
      <c r="I265" s="63"/>
      <c r="J265" s="63"/>
      <c r="K265" s="63"/>
      <c r="L265" s="63"/>
      <c r="M265" s="63"/>
      <c r="N265" s="25"/>
      <c r="O265" s="55" t="s">
        <v>79</v>
      </c>
      <c r="P265" s="24"/>
      <c r="Q265" s="56">
        <f t="shared" si="8"/>
        <v>303.04741379310349</v>
      </c>
      <c r="R265" s="56">
        <f t="shared" si="12"/>
        <v>288.5</v>
      </c>
      <c r="S265" s="33">
        <f t="shared" si="13"/>
        <v>0.95199624503961189</v>
      </c>
      <c r="T265" s="56">
        <f t="shared" si="14"/>
        <v>-3029.2207031250068</v>
      </c>
      <c r="U265" s="56"/>
      <c r="V265" s="56">
        <f t="shared" si="9"/>
        <v>522.62765140085639</v>
      </c>
      <c r="W265" s="11"/>
    </row>
    <row r="266" spans="1:40" x14ac:dyDescent="0.2">
      <c r="A266" s="51" t="s">
        <v>80</v>
      </c>
      <c r="B266" s="60">
        <v>58806.936017310902</v>
      </c>
      <c r="C266" s="59">
        <f t="shared" si="10"/>
        <v>70244.58</v>
      </c>
      <c r="D266" s="52">
        <f t="shared" si="7"/>
        <v>11437.6439826891</v>
      </c>
      <c r="E266" s="53">
        <f t="shared" si="11"/>
        <v>0.19449481230109011</v>
      </c>
      <c r="F266" s="63"/>
      <c r="G266" s="63"/>
      <c r="H266" s="63"/>
      <c r="I266" s="63"/>
      <c r="J266" s="63"/>
      <c r="K266" s="63"/>
      <c r="L266" s="63"/>
      <c r="M266" s="63"/>
      <c r="N266" s="43"/>
      <c r="O266" s="55" t="s">
        <v>80</v>
      </c>
      <c r="P266" s="24"/>
      <c r="Q266" s="56">
        <f t="shared" si="8"/>
        <v>254.79913445494995</v>
      </c>
      <c r="R266" s="56">
        <f t="shared" si="12"/>
        <v>299.76666666666665</v>
      </c>
      <c r="S266" s="33">
        <f t="shared" si="13"/>
        <v>1.1764822800827341</v>
      </c>
      <c r="T266" s="56">
        <f t="shared" si="14"/>
        <v>9363.6285790364582</v>
      </c>
      <c r="U266" s="11"/>
      <c r="V266" s="56">
        <f t="shared" si="9"/>
        <v>2074.0154036526419</v>
      </c>
      <c r="W266" s="11"/>
    </row>
    <row r="267" spans="1:40" x14ac:dyDescent="0.2">
      <c r="A267" s="51" t="s">
        <v>81</v>
      </c>
      <c r="B267" s="60">
        <v>57242.291999999994</v>
      </c>
      <c r="C267" s="59">
        <f t="shared" si="10"/>
        <v>55113.34</v>
      </c>
      <c r="D267" s="52">
        <f t="shared" si="7"/>
        <v>-2128.9519999999975</v>
      </c>
      <c r="E267" s="53">
        <f t="shared" si="11"/>
        <v>-3.7191941929928272E-2</v>
      </c>
      <c r="F267" s="63"/>
      <c r="G267" s="63"/>
      <c r="H267" s="63"/>
      <c r="I267" s="63"/>
      <c r="J267" s="63"/>
      <c r="K267" s="63"/>
      <c r="L267" s="63"/>
      <c r="M267" s="63"/>
      <c r="N267" s="43"/>
      <c r="O267" s="55" t="s">
        <v>81</v>
      </c>
      <c r="P267" s="24"/>
      <c r="Q267" s="56">
        <f t="shared" si="8"/>
        <v>248</v>
      </c>
      <c r="R267" s="56">
        <f t="shared" si="12"/>
        <v>250.68965517241378</v>
      </c>
      <c r="S267" s="33">
        <f t="shared" si="13"/>
        <v>1.0108453837597329</v>
      </c>
      <c r="T267" s="56">
        <f t="shared" si="14"/>
        <v>560.0692499999916</v>
      </c>
      <c r="U267" s="56"/>
      <c r="V267" s="56">
        <f t="shared" si="9"/>
        <v>-2689.0212499999889</v>
      </c>
      <c r="W267" s="11"/>
    </row>
    <row r="268" spans="1:40" x14ac:dyDescent="0.2">
      <c r="A268" s="51" t="s">
        <v>82</v>
      </c>
      <c r="B268" s="60">
        <v>65033.662854560629</v>
      </c>
      <c r="C268" s="59">
        <f t="shared" si="10"/>
        <v>64359.65</v>
      </c>
      <c r="D268" s="52">
        <f t="shared" si="7"/>
        <v>-674.0128545606276</v>
      </c>
      <c r="E268" s="53">
        <f t="shared" si="11"/>
        <v>-1.0364061087378243E-2</v>
      </c>
      <c r="F268" s="63"/>
      <c r="G268" s="63"/>
      <c r="H268" s="63"/>
      <c r="I268" s="63"/>
      <c r="J268" s="63"/>
      <c r="K268" s="63"/>
      <c r="L268" s="63"/>
      <c r="M268" s="63"/>
      <c r="N268" s="43"/>
      <c r="O268" s="55" t="s">
        <v>82</v>
      </c>
      <c r="P268" s="24"/>
      <c r="Q268" s="56">
        <f t="shared" si="8"/>
        <v>281.85727196885432</v>
      </c>
      <c r="R268" s="56">
        <f t="shared" si="12"/>
        <v>280</v>
      </c>
      <c r="S268" s="33">
        <f t="shared" si="13"/>
        <v>0.9934105941071496</v>
      </c>
      <c r="T268" s="56">
        <f t="shared" si="14"/>
        <v>-386.74136718750486</v>
      </c>
      <c r="U268" s="56"/>
      <c r="V268" s="56">
        <f t="shared" si="9"/>
        <v>-287.27148737312274</v>
      </c>
      <c r="W268" s="11"/>
    </row>
    <row r="269" spans="1:40" x14ac:dyDescent="0.2">
      <c r="A269" s="51" t="s">
        <v>83</v>
      </c>
      <c r="B269" s="60">
        <v>47346.96</v>
      </c>
      <c r="C269" s="59">
        <f t="shared" si="10"/>
        <v>40303.4</v>
      </c>
      <c r="D269" s="52">
        <f t="shared" ref="D269:D296" si="15">+C269-B269</f>
        <v>-7043.5599999999977</v>
      </c>
      <c r="E269" s="53">
        <f t="shared" si="11"/>
        <v>-0.148764778139927</v>
      </c>
      <c r="F269" s="63"/>
      <c r="G269" s="63"/>
      <c r="H269" s="63"/>
      <c r="I269" s="63"/>
      <c r="J269" s="63"/>
      <c r="K269" s="63"/>
      <c r="L269" s="63"/>
      <c r="M269" s="63"/>
      <c r="N269" s="43"/>
      <c r="O269" s="55" t="s">
        <v>83</v>
      </c>
      <c r="P269" s="24"/>
      <c r="Q269" s="56">
        <f t="shared" ref="Q269:Q296" si="16">+B171</f>
        <v>205</v>
      </c>
      <c r="R269" s="56">
        <f t="shared" si="12"/>
        <v>175.06666666666666</v>
      </c>
      <c r="S269" s="33">
        <f t="shared" si="13"/>
        <v>0.85398373983739839</v>
      </c>
      <c r="T269" s="56">
        <f t="shared" si="14"/>
        <v>-6233.0441916666668</v>
      </c>
      <c r="U269" s="56">
        <v>0</v>
      </c>
      <c r="V269" s="56">
        <f t="shared" ref="V269:V295" si="17">IFERROR((D269-T269-U269),0)</f>
        <v>-810.51580833333082</v>
      </c>
      <c r="W269" s="11"/>
    </row>
    <row r="270" spans="1:40" x14ac:dyDescent="0.2">
      <c r="A270" s="51" t="s">
        <v>84</v>
      </c>
      <c r="B270" s="60">
        <v>86010.463767797541</v>
      </c>
      <c r="C270" s="59">
        <f t="shared" ref="C270:C296" si="18">+H72</f>
        <v>85574.76</v>
      </c>
      <c r="D270" s="52">
        <f t="shared" si="15"/>
        <v>-435.70376779754588</v>
      </c>
      <c r="E270" s="53">
        <f t="shared" ref="E270:E296" si="19">IFERROR((D270/B270),0)</f>
        <v>-5.065706528147731E-3</v>
      </c>
      <c r="F270" s="63"/>
      <c r="G270" s="63"/>
      <c r="H270" s="63"/>
      <c r="I270" s="63"/>
      <c r="J270" s="63"/>
      <c r="K270" s="63"/>
      <c r="L270" s="63"/>
      <c r="M270" s="63"/>
      <c r="N270" s="43"/>
      <c r="O270" s="55" t="s">
        <v>84</v>
      </c>
      <c r="P270" s="24"/>
      <c r="Q270" s="56">
        <f t="shared" si="16"/>
        <v>373.01161012235821</v>
      </c>
      <c r="R270" s="56">
        <f t="shared" ref="R270:R296" si="20">+H172</f>
        <v>371.66666666666669</v>
      </c>
      <c r="S270" s="33">
        <f t="shared" ref="S270:S296" si="21">IFERROR((R270/Q270),0)</f>
        <v>0.99639436570017126</v>
      </c>
      <c r="T270" s="56">
        <f t="shared" ref="T270:T295" si="22">(S270-1)*Q270*31*$B$300</f>
        <v>-280.05875260416906</v>
      </c>
      <c r="U270" s="56">
        <v>0</v>
      </c>
      <c r="V270" s="56">
        <f t="shared" si="17"/>
        <v>-155.64501519337682</v>
      </c>
      <c r="W270" s="11"/>
    </row>
    <row r="271" spans="1:40" x14ac:dyDescent="0.2">
      <c r="A271" s="51" t="s">
        <v>85</v>
      </c>
      <c r="B271" s="60">
        <v>68423.25224916212</v>
      </c>
      <c r="C271" s="59">
        <f t="shared" si="18"/>
        <v>76691.19</v>
      </c>
      <c r="D271" s="52">
        <f t="shared" si="15"/>
        <v>8267.937750837882</v>
      </c>
      <c r="E271" s="53">
        <f t="shared" si="19"/>
        <v>0.1208352055633124</v>
      </c>
      <c r="F271" s="63"/>
      <c r="G271" s="63"/>
      <c r="H271" s="63"/>
      <c r="I271" s="63"/>
      <c r="J271" s="47"/>
      <c r="K271" s="47"/>
      <c r="L271" s="47"/>
      <c r="M271" s="47"/>
      <c r="N271" s="64"/>
      <c r="O271" s="55" t="s">
        <v>85</v>
      </c>
      <c r="P271" s="24"/>
      <c r="Q271" s="56">
        <f t="shared" si="16"/>
        <v>296.58667609272447</v>
      </c>
      <c r="R271" s="56">
        <f t="shared" si="20"/>
        <v>337.33333333333331</v>
      </c>
      <c r="S271" s="33">
        <f t="shared" si="21"/>
        <v>1.1373853261967501</v>
      </c>
      <c r="T271" s="56">
        <f t="shared" si="22"/>
        <v>8484.712090537063</v>
      </c>
      <c r="U271" s="56">
        <v>0</v>
      </c>
      <c r="V271" s="56">
        <f t="shared" si="17"/>
        <v>-216.77433969918093</v>
      </c>
      <c r="W271" s="11"/>
    </row>
    <row r="272" spans="1:40" x14ac:dyDescent="0.2">
      <c r="A272" s="51" t="s">
        <v>86</v>
      </c>
      <c r="B272" s="60">
        <v>69716.298954887374</v>
      </c>
      <c r="C272" s="59">
        <f t="shared" si="18"/>
        <v>72477.69</v>
      </c>
      <c r="D272" s="52">
        <f t="shared" si="15"/>
        <v>2761.3910451126285</v>
      </c>
      <c r="E272" s="53">
        <f t="shared" si="19"/>
        <v>3.9608973604572634E-2</v>
      </c>
      <c r="F272" s="47"/>
      <c r="G272" s="47"/>
      <c r="H272" s="47"/>
      <c r="I272" s="47"/>
      <c r="J272" s="47"/>
      <c r="K272" s="47"/>
      <c r="L272" s="47"/>
      <c r="M272" s="47"/>
      <c r="N272" s="64"/>
      <c r="O272" s="55" t="s">
        <v>86</v>
      </c>
      <c r="P272" s="22"/>
      <c r="Q272" s="56">
        <f t="shared" si="16"/>
        <v>302.20558896459033</v>
      </c>
      <c r="R272" s="56">
        <f t="shared" si="20"/>
        <v>314.23333333333335</v>
      </c>
      <c r="S272" s="33">
        <f t="shared" si="21"/>
        <v>1.0397998740193792</v>
      </c>
      <c r="T272" s="56">
        <f t="shared" si="22"/>
        <v>2504.5477341796773</v>
      </c>
      <c r="U272" s="56">
        <v>0</v>
      </c>
      <c r="V272" s="56">
        <f t="shared" si="17"/>
        <v>256.84331093295123</v>
      </c>
      <c r="W272" s="11"/>
    </row>
    <row r="273" spans="1:23" x14ac:dyDescent="0.2">
      <c r="A273" s="51" t="s">
        <v>87</v>
      </c>
      <c r="B273" s="60">
        <v>68208.246887096786</v>
      </c>
      <c r="C273" s="59">
        <f t="shared" si="18"/>
        <v>78201.45</v>
      </c>
      <c r="D273" s="52">
        <f t="shared" si="15"/>
        <v>9993.2031129032111</v>
      </c>
      <c r="E273" s="53">
        <f t="shared" si="19"/>
        <v>0.14651018856187115</v>
      </c>
      <c r="F273" s="47"/>
      <c r="G273" s="47"/>
      <c r="H273" s="47"/>
      <c r="I273" s="47"/>
      <c r="J273" s="47"/>
      <c r="K273" s="47"/>
      <c r="L273" s="47"/>
      <c r="M273" s="47"/>
      <c r="N273" s="64"/>
      <c r="O273" s="24" t="s">
        <v>87</v>
      </c>
      <c r="P273" s="22"/>
      <c r="Q273" s="56">
        <f t="shared" si="16"/>
        <v>295.12231182795699</v>
      </c>
      <c r="R273" s="56">
        <f t="shared" si="20"/>
        <v>295.74193548387098</v>
      </c>
      <c r="S273" s="33">
        <f t="shared" si="21"/>
        <v>1.0020995486653519</v>
      </c>
      <c r="T273" s="56">
        <f t="shared" si="22"/>
        <v>129.02477604166111</v>
      </c>
      <c r="U273" s="56"/>
      <c r="V273" s="56">
        <f t="shared" si="17"/>
        <v>9864.1783368615506</v>
      </c>
      <c r="W273" s="11"/>
    </row>
    <row r="274" spans="1:23" x14ac:dyDescent="0.2">
      <c r="A274" s="51" t="s">
        <v>88</v>
      </c>
      <c r="B274" s="60">
        <v>59276.403216073413</v>
      </c>
      <c r="C274" s="59">
        <f t="shared" si="18"/>
        <v>53527.51</v>
      </c>
      <c r="D274" s="52">
        <f t="shared" si="15"/>
        <v>-5748.8932160734112</v>
      </c>
      <c r="E274" s="53">
        <f t="shared" si="19"/>
        <v>-9.6984514986809101E-2</v>
      </c>
      <c r="F274" s="47"/>
      <c r="G274" s="47"/>
      <c r="H274" s="47"/>
      <c r="I274" s="47"/>
      <c r="J274" s="47"/>
      <c r="K274" s="47"/>
      <c r="L274" s="47"/>
      <c r="M274" s="47"/>
      <c r="N274" s="64"/>
      <c r="O274" s="55" t="s">
        <v>88</v>
      </c>
      <c r="P274" s="22"/>
      <c r="Q274" s="56">
        <f t="shared" si="16"/>
        <v>256.83919632925472</v>
      </c>
      <c r="R274" s="56">
        <f t="shared" si="20"/>
        <v>264.06666666666666</v>
      </c>
      <c r="S274" s="33">
        <f t="shared" si="21"/>
        <v>1.0281400597755597</v>
      </c>
      <c r="T274" s="56">
        <f t="shared" si="22"/>
        <v>1504.9824723958318</v>
      </c>
      <c r="U274" s="56">
        <v>0</v>
      </c>
      <c r="V274" s="56">
        <f t="shared" si="17"/>
        <v>-7253.875688469243</v>
      </c>
      <c r="W274" s="11"/>
    </row>
    <row r="275" spans="1:23" x14ac:dyDescent="0.2">
      <c r="A275" s="51" t="s">
        <v>89</v>
      </c>
      <c r="B275" s="60">
        <v>56569.587875746227</v>
      </c>
      <c r="C275" s="59">
        <f t="shared" si="18"/>
        <v>70558.73</v>
      </c>
      <c r="D275" s="52">
        <f t="shared" si="15"/>
        <v>13989.142124253769</v>
      </c>
      <c r="E275" s="53">
        <f t="shared" si="19"/>
        <v>0.24729086156647617</v>
      </c>
      <c r="F275" s="47"/>
      <c r="G275" s="47"/>
      <c r="H275" s="47"/>
      <c r="I275" s="47"/>
      <c r="J275" s="47"/>
      <c r="K275" s="47"/>
      <c r="L275" s="47"/>
      <c r="M275" s="47"/>
      <c r="N275" s="64"/>
      <c r="O275" s="24" t="s">
        <v>89</v>
      </c>
      <c r="P275" s="22"/>
      <c r="Q275" s="56">
        <f t="shared" si="16"/>
        <v>245.0767754590839</v>
      </c>
      <c r="R275" s="56">
        <f t="shared" si="20"/>
        <v>279.51724137931035</v>
      </c>
      <c r="S275" s="33">
        <f t="shared" si="21"/>
        <v>1.1405292927316826</v>
      </c>
      <c r="T275" s="56">
        <f t="shared" si="22"/>
        <v>7171.5683539764332</v>
      </c>
      <c r="U275" s="56">
        <v>0</v>
      </c>
      <c r="V275" s="56">
        <f t="shared" si="17"/>
        <v>6817.5737702773358</v>
      </c>
      <c r="W275" s="11"/>
    </row>
    <row r="276" spans="1:23" x14ac:dyDescent="0.2">
      <c r="A276" s="51" t="s">
        <v>90</v>
      </c>
      <c r="B276" s="60">
        <v>65128.814584955508</v>
      </c>
      <c r="C276" s="59">
        <f t="shared" si="18"/>
        <v>69700.2</v>
      </c>
      <c r="D276" s="52">
        <f t="shared" si="15"/>
        <v>4571.3854150444895</v>
      </c>
      <c r="E276" s="53">
        <f t="shared" si="19"/>
        <v>7.0189906636201255E-2</v>
      </c>
      <c r="F276" s="47"/>
      <c r="G276" s="47"/>
      <c r="H276" s="47"/>
      <c r="I276" s="47"/>
      <c r="J276" s="47"/>
      <c r="K276" s="47"/>
      <c r="L276" s="47"/>
      <c r="M276" s="47"/>
      <c r="N276" s="64"/>
      <c r="O276" s="55" t="s">
        <v>90</v>
      </c>
      <c r="P276" s="22"/>
      <c r="Q276" s="56">
        <f t="shared" si="16"/>
        <v>282.27075222469409</v>
      </c>
      <c r="R276" s="56">
        <f t="shared" si="20"/>
        <v>292.43333333333334</v>
      </c>
      <c r="S276" s="33">
        <f t="shared" si="21"/>
        <v>1.0360029547111902</v>
      </c>
      <c r="T276" s="56">
        <f t="shared" si="22"/>
        <v>2116.1631565104212</v>
      </c>
      <c r="U276" s="56">
        <v>0</v>
      </c>
      <c r="V276" s="56">
        <f t="shared" si="17"/>
        <v>2455.2222585340683</v>
      </c>
      <c r="W276" s="11"/>
    </row>
    <row r="277" spans="1:23" x14ac:dyDescent="0.2">
      <c r="A277" s="51" t="s">
        <v>91</v>
      </c>
      <c r="B277" s="60">
        <v>58162.788</v>
      </c>
      <c r="C277" s="59">
        <f t="shared" si="18"/>
        <v>53734.77</v>
      </c>
      <c r="D277" s="52">
        <f t="shared" si="15"/>
        <v>-4428.0180000000037</v>
      </c>
      <c r="E277" s="53">
        <f t="shared" si="19"/>
        <v>-7.6131460548280516E-2</v>
      </c>
      <c r="F277" s="47"/>
      <c r="G277" s="47"/>
      <c r="H277" s="47"/>
      <c r="I277" s="47"/>
      <c r="J277" s="52"/>
      <c r="K277" s="52"/>
      <c r="L277" s="52"/>
      <c r="M277" s="52"/>
      <c r="N277" s="23"/>
      <c r="O277" s="24" t="s">
        <v>91</v>
      </c>
      <c r="P277" s="22"/>
      <c r="Q277" s="56">
        <f t="shared" si="16"/>
        <v>252</v>
      </c>
      <c r="R277" s="56">
        <f t="shared" si="20"/>
        <v>238.62068965517241</v>
      </c>
      <c r="S277" s="33">
        <f t="shared" si="21"/>
        <v>0.94690749863163659</v>
      </c>
      <c r="T277" s="56">
        <f t="shared" si="22"/>
        <v>-2785.9854999999989</v>
      </c>
      <c r="U277" s="56">
        <v>0</v>
      </c>
      <c r="V277" s="56">
        <f t="shared" si="17"/>
        <v>-1642.0325000000048</v>
      </c>
      <c r="W277" s="65"/>
    </row>
    <row r="278" spans="1:23" x14ac:dyDescent="0.2">
      <c r="A278" s="51" t="s">
        <v>92</v>
      </c>
      <c r="B278" s="60">
        <v>65924.545428253623</v>
      </c>
      <c r="C278" s="59">
        <f t="shared" si="18"/>
        <v>66971.11</v>
      </c>
      <c r="D278" s="52">
        <f t="shared" si="15"/>
        <v>1046.5645717463776</v>
      </c>
      <c r="E278" s="53">
        <f t="shared" si="19"/>
        <v>1.5875188292126561E-2</v>
      </c>
      <c r="F278" s="52"/>
      <c r="G278" s="52"/>
      <c r="H278" s="52"/>
      <c r="I278" s="52"/>
      <c r="J278" s="52"/>
      <c r="K278" s="52"/>
      <c r="L278" s="52"/>
      <c r="M278" s="52"/>
      <c r="N278" s="23"/>
      <c r="O278" s="55" t="s">
        <v>92</v>
      </c>
      <c r="Q278" s="56">
        <f t="shared" si="16"/>
        <v>285.72858731924362</v>
      </c>
      <c r="R278" s="56">
        <f t="shared" si="20"/>
        <v>293.33333333333331</v>
      </c>
      <c r="S278" s="33">
        <f t="shared" si="21"/>
        <v>1.0266152788051024</v>
      </c>
      <c r="T278" s="56">
        <f t="shared" si="22"/>
        <v>1583.5429166666634</v>
      </c>
      <c r="U278" s="56"/>
      <c r="V278" s="56">
        <f t="shared" si="17"/>
        <v>-536.97834492028574</v>
      </c>
      <c r="W278" s="65"/>
    </row>
    <row r="279" spans="1:23" x14ac:dyDescent="0.2">
      <c r="A279" s="51" t="s">
        <v>93</v>
      </c>
      <c r="B279" s="60">
        <v>56318.100321190206</v>
      </c>
      <c r="C279" s="59">
        <f t="shared" si="18"/>
        <v>59949.48</v>
      </c>
      <c r="D279" s="52">
        <f t="shared" si="15"/>
        <v>3631.379678809797</v>
      </c>
      <c r="E279" s="53">
        <f t="shared" si="19"/>
        <v>6.4479797047477055E-2</v>
      </c>
      <c r="F279" s="52"/>
      <c r="G279" s="52"/>
      <c r="H279" s="52"/>
      <c r="I279" s="52"/>
      <c r="J279" s="52"/>
      <c r="K279" s="52"/>
      <c r="L279" s="52"/>
      <c r="M279" s="52"/>
      <c r="N279" s="23"/>
      <c r="O279" s="55" t="s">
        <v>93</v>
      </c>
      <c r="Q279" s="56">
        <f t="shared" si="16"/>
        <v>243.98394048943271</v>
      </c>
      <c r="R279" s="56">
        <f t="shared" si="20"/>
        <v>256</v>
      </c>
      <c r="S279" s="33">
        <f t="shared" si="21"/>
        <v>1.0492493870148298</v>
      </c>
      <c r="T279" s="56">
        <f t="shared" si="22"/>
        <v>2502.1145859374969</v>
      </c>
      <c r="U279" s="56"/>
      <c r="V279" s="56">
        <f t="shared" si="17"/>
        <v>1129.2650928723001</v>
      </c>
      <c r="W279" s="65"/>
    </row>
    <row r="280" spans="1:23" x14ac:dyDescent="0.2">
      <c r="A280" s="51" t="s">
        <v>94</v>
      </c>
      <c r="B280" s="60">
        <v>56668.02990892659</v>
      </c>
      <c r="C280" s="59">
        <f t="shared" si="18"/>
        <v>59922.400000000001</v>
      </c>
      <c r="D280" s="52">
        <f t="shared" si="15"/>
        <v>3254.3700910734115</v>
      </c>
      <c r="E280" s="53">
        <f t="shared" si="19"/>
        <v>5.7428678856555226E-2</v>
      </c>
      <c r="F280" s="52"/>
      <c r="G280" s="52"/>
      <c r="H280" s="52"/>
      <c r="I280" s="52"/>
      <c r="J280" s="52"/>
      <c r="K280" s="52"/>
      <c r="L280" s="52"/>
      <c r="M280" s="52"/>
      <c r="N280" s="23"/>
      <c r="O280" s="55" t="s">
        <v>94</v>
      </c>
      <c r="Q280" s="56">
        <f t="shared" si="16"/>
        <v>245.50455367074528</v>
      </c>
      <c r="R280" s="56">
        <f t="shared" si="20"/>
        <v>252</v>
      </c>
      <c r="S280" s="33">
        <f t="shared" si="21"/>
        <v>1.0264575391052257</v>
      </c>
      <c r="T280" s="56">
        <f t="shared" si="22"/>
        <v>1352.5524726562519</v>
      </c>
      <c r="U280" s="56"/>
      <c r="V280" s="56">
        <f t="shared" si="17"/>
        <v>1901.8176184171596</v>
      </c>
      <c r="W280" s="65"/>
    </row>
    <row r="281" spans="1:23" x14ac:dyDescent="0.2">
      <c r="A281" s="51" t="s">
        <v>95</v>
      </c>
      <c r="B281" s="60">
        <v>51303.535803225808</v>
      </c>
      <c r="C281" s="59">
        <f t="shared" si="18"/>
        <v>59036.6</v>
      </c>
      <c r="D281" s="52">
        <f t="shared" si="15"/>
        <v>7733.0641967741903</v>
      </c>
      <c r="E281" s="53">
        <f t="shared" si="19"/>
        <v>0.15073160310888278</v>
      </c>
      <c r="F281" s="52"/>
      <c r="G281" s="52"/>
      <c r="H281" s="52"/>
      <c r="I281" s="52"/>
      <c r="J281" s="52"/>
      <c r="K281" s="52"/>
      <c r="L281" s="52"/>
      <c r="M281" s="52"/>
      <c r="N281" s="23"/>
      <c r="O281" s="55" t="s">
        <v>95</v>
      </c>
      <c r="Q281" s="56">
        <f t="shared" si="16"/>
        <v>221.66317204301077</v>
      </c>
      <c r="R281" s="56">
        <f t="shared" si="20"/>
        <v>223.67741935483872</v>
      </c>
      <c r="S281" s="33">
        <f t="shared" si="21"/>
        <v>1.0090869732362988</v>
      </c>
      <c r="T281" s="56">
        <f t="shared" si="22"/>
        <v>419.42848020832935</v>
      </c>
      <c r="U281" s="56"/>
      <c r="V281" s="56">
        <f t="shared" si="17"/>
        <v>7313.635716565861</v>
      </c>
      <c r="W281" s="65"/>
    </row>
    <row r="282" spans="1:23" x14ac:dyDescent="0.2">
      <c r="A282" s="51" t="s">
        <v>96</v>
      </c>
      <c r="B282" s="60">
        <v>56860.262379555934</v>
      </c>
      <c r="C282" s="59">
        <f t="shared" si="18"/>
        <v>56429.46</v>
      </c>
      <c r="D282" s="52">
        <f t="shared" si="15"/>
        <v>-430.80237955593475</v>
      </c>
      <c r="E282" s="53">
        <f t="shared" si="19"/>
        <v>-7.5765105809787719E-3</v>
      </c>
      <c r="F282" s="52"/>
      <c r="G282" s="52"/>
      <c r="H282" s="52"/>
      <c r="I282" s="52"/>
      <c r="J282" s="52"/>
      <c r="K282" s="52"/>
      <c r="L282" s="52"/>
      <c r="M282" s="52"/>
      <c r="N282" s="23"/>
      <c r="O282" s="55" t="s">
        <v>96</v>
      </c>
      <c r="Q282" s="56">
        <f t="shared" si="16"/>
        <v>246.33989666247732</v>
      </c>
      <c r="R282" s="56">
        <f t="shared" si="20"/>
        <v>245.51724137931035</v>
      </c>
      <c r="S282" s="33">
        <f t="shared" si="21"/>
        <v>0.99666048701687115</v>
      </c>
      <c r="T282" s="56">
        <f t="shared" si="22"/>
        <v>-171.30222943722907</v>
      </c>
      <c r="U282" s="56">
        <v>0</v>
      </c>
      <c r="V282" s="56">
        <f t="shared" si="17"/>
        <v>-259.50015011870568</v>
      </c>
      <c r="W282" s="65"/>
    </row>
    <row r="283" spans="1:23" x14ac:dyDescent="0.2">
      <c r="A283" s="51" t="s">
        <v>97</v>
      </c>
      <c r="B283" s="60">
        <v>73849.376683815324</v>
      </c>
      <c r="C283" s="59">
        <f t="shared" si="18"/>
        <v>73183.92</v>
      </c>
      <c r="D283" s="52">
        <f t="shared" si="15"/>
        <v>-665.45668381532596</v>
      </c>
      <c r="E283" s="53">
        <f t="shared" si="19"/>
        <v>-9.0109993299532631E-3</v>
      </c>
      <c r="F283" s="52"/>
      <c r="G283" s="52"/>
      <c r="H283" s="52"/>
      <c r="I283" s="52"/>
      <c r="J283" s="52"/>
      <c r="K283" s="52"/>
      <c r="L283" s="52"/>
      <c r="M283" s="52"/>
      <c r="N283" s="23"/>
      <c r="O283" s="55" t="s">
        <v>97</v>
      </c>
      <c r="Q283" s="56">
        <f t="shared" si="16"/>
        <v>320.16580923248051</v>
      </c>
      <c r="R283" s="56">
        <f t="shared" si="20"/>
        <v>318.66666666666669</v>
      </c>
      <c r="S283" s="33">
        <f t="shared" si="21"/>
        <v>0.99531760568248162</v>
      </c>
      <c r="T283" s="56">
        <f t="shared" si="22"/>
        <v>-312.16776822916103</v>
      </c>
      <c r="U283" s="56"/>
      <c r="V283" s="56">
        <f t="shared" si="17"/>
        <v>-353.28891558616493</v>
      </c>
      <c r="W283" s="65"/>
    </row>
    <row r="284" spans="1:23" x14ac:dyDescent="0.2">
      <c r="A284" s="51" t="s">
        <v>98</v>
      </c>
      <c r="B284" s="60">
        <v>70928.098571120674</v>
      </c>
      <c r="C284" s="59">
        <f t="shared" si="18"/>
        <v>75728.66</v>
      </c>
      <c r="D284" s="52">
        <f t="shared" si="15"/>
        <v>4800.5614288793295</v>
      </c>
      <c r="E284" s="53">
        <f t="shared" si="19"/>
        <v>6.7682082638458638E-2</v>
      </c>
      <c r="F284" s="52"/>
      <c r="G284" s="52"/>
      <c r="H284" s="52"/>
      <c r="I284" s="52"/>
      <c r="J284" s="52"/>
      <c r="K284" s="52"/>
      <c r="L284" s="52"/>
      <c r="M284" s="52"/>
      <c r="N284" s="23"/>
      <c r="O284" s="55" t="s">
        <v>98</v>
      </c>
      <c r="Q284" s="56">
        <f t="shared" si="16"/>
        <v>307.47144396551721</v>
      </c>
      <c r="R284" s="56">
        <f t="shared" si="20"/>
        <v>320.63333333333333</v>
      </c>
      <c r="S284" s="33">
        <f t="shared" si="21"/>
        <v>1.0428068675193531</v>
      </c>
      <c r="T284" s="56">
        <f t="shared" si="22"/>
        <v>2740.7117397135453</v>
      </c>
      <c r="U284" s="56"/>
      <c r="V284" s="56">
        <f t="shared" si="17"/>
        <v>2059.8496891657842</v>
      </c>
      <c r="W284" s="65"/>
    </row>
    <row r="285" spans="1:23" x14ac:dyDescent="0.2">
      <c r="A285" s="51" t="s">
        <v>99</v>
      </c>
      <c r="B285" s="60">
        <v>42744.480000000003</v>
      </c>
      <c r="C285" s="59">
        <f t="shared" si="18"/>
        <v>54458.43</v>
      </c>
      <c r="D285" s="52">
        <f t="shared" si="15"/>
        <v>11713.949999999997</v>
      </c>
      <c r="E285" s="53">
        <f t="shared" si="19"/>
        <v>0.27404591189318472</v>
      </c>
      <c r="F285" s="52"/>
      <c r="G285" s="52"/>
      <c r="H285" s="52"/>
      <c r="I285" s="52"/>
      <c r="J285" s="52"/>
      <c r="K285" s="52"/>
      <c r="L285" s="52"/>
      <c r="M285" s="52"/>
      <c r="N285" s="23"/>
      <c r="O285" s="55" t="s">
        <v>99</v>
      </c>
      <c r="Q285" s="56">
        <f t="shared" si="16"/>
        <v>185</v>
      </c>
      <c r="R285" s="56">
        <f t="shared" si="20"/>
        <v>259.25806451612902</v>
      </c>
      <c r="S285" s="33">
        <f t="shared" si="21"/>
        <v>1.4013949433304271</v>
      </c>
      <c r="T285" s="56">
        <f t="shared" si="22"/>
        <v>15462.821750000001</v>
      </c>
      <c r="U285" s="56"/>
      <c r="V285" s="56">
        <f t="shared" si="17"/>
        <v>-3748.8717500000039</v>
      </c>
      <c r="W285" s="65"/>
    </row>
    <row r="286" spans="1:23" x14ac:dyDescent="0.2">
      <c r="A286" s="66" t="s">
        <v>100</v>
      </c>
      <c r="B286" s="62">
        <v>71587.341276557272</v>
      </c>
      <c r="C286" s="59">
        <f t="shared" si="18"/>
        <v>78621.429999999993</v>
      </c>
      <c r="D286" s="52">
        <f t="shared" si="15"/>
        <v>7034.0887234427209</v>
      </c>
      <c r="E286" s="53">
        <f t="shared" si="19"/>
        <v>9.8258834565017938E-2</v>
      </c>
      <c r="F286" s="52"/>
      <c r="G286" s="52"/>
      <c r="H286" s="52"/>
      <c r="I286" s="52"/>
      <c r="J286" s="52"/>
      <c r="K286" s="52"/>
      <c r="L286" s="52"/>
      <c r="M286" s="52"/>
      <c r="N286" s="23"/>
      <c r="O286" s="55" t="s">
        <v>100</v>
      </c>
      <c r="Q286" s="56">
        <f t="shared" si="16"/>
        <v>310.33617213570631</v>
      </c>
      <c r="R286" s="56">
        <f t="shared" si="20"/>
        <v>335.96666666666664</v>
      </c>
      <c r="S286" s="33">
        <f t="shared" si="21"/>
        <v>1.0825894524462731</v>
      </c>
      <c r="T286" s="56">
        <f t="shared" si="22"/>
        <v>5337.0603028645883</v>
      </c>
      <c r="U286" s="56"/>
      <c r="V286" s="56">
        <f t="shared" si="17"/>
        <v>1697.0284205781327</v>
      </c>
      <c r="W286" s="65"/>
    </row>
    <row r="287" spans="1:23" x14ac:dyDescent="0.2">
      <c r="A287" s="51" t="s">
        <v>101</v>
      </c>
      <c r="B287" s="60">
        <v>82588.172515016675</v>
      </c>
      <c r="C287" s="59">
        <f t="shared" si="18"/>
        <v>68378.44</v>
      </c>
      <c r="D287" s="52">
        <f t="shared" si="15"/>
        <v>-14209.732515016673</v>
      </c>
      <c r="E287" s="53">
        <f t="shared" si="19"/>
        <v>-0.17205529656722909</v>
      </c>
      <c r="F287" s="52"/>
      <c r="G287" s="52"/>
      <c r="H287" s="52"/>
      <c r="I287" s="52"/>
      <c r="J287" s="52"/>
      <c r="K287" s="52"/>
      <c r="L287" s="52"/>
      <c r="M287" s="52"/>
      <c r="N287" s="23"/>
      <c r="O287" s="55" t="s">
        <v>101</v>
      </c>
      <c r="P287" s="11"/>
      <c r="Q287" s="56">
        <f t="shared" si="16"/>
        <v>320.02855024100853</v>
      </c>
      <c r="R287" s="56">
        <f t="shared" si="20"/>
        <v>289.23333333333335</v>
      </c>
      <c r="S287" s="33">
        <f t="shared" si="21"/>
        <v>0.90377353244114067</v>
      </c>
      <c r="T287" s="56">
        <f t="shared" si="22"/>
        <v>-6412.5149624999985</v>
      </c>
      <c r="V287" s="56">
        <f t="shared" si="17"/>
        <v>-7797.217552516674</v>
      </c>
      <c r="W287" s="65"/>
    </row>
    <row r="288" spans="1:23" x14ac:dyDescent="0.2">
      <c r="A288" s="66" t="s">
        <v>102</v>
      </c>
      <c r="B288" s="62">
        <v>60803.358508898775</v>
      </c>
      <c r="C288" s="59">
        <f t="shared" si="18"/>
        <v>65326.28</v>
      </c>
      <c r="D288" s="52">
        <f t="shared" si="15"/>
        <v>4522.9214911012241</v>
      </c>
      <c r="E288" s="53">
        <f t="shared" si="19"/>
        <v>7.4386047120066232E-2</v>
      </c>
      <c r="F288" s="52"/>
      <c r="G288" s="52"/>
      <c r="H288" s="52"/>
      <c r="I288" s="52"/>
      <c r="J288" s="52"/>
      <c r="K288" s="52"/>
      <c r="L288" s="52"/>
      <c r="M288" s="52"/>
      <c r="N288" s="23"/>
      <c r="O288" s="55" t="s">
        <v>102</v>
      </c>
      <c r="P288" s="11"/>
      <c r="Q288" s="56">
        <f t="shared" si="16"/>
        <v>263.4745550611791</v>
      </c>
      <c r="R288" s="56">
        <f t="shared" si="20"/>
        <v>318.66666666666669</v>
      </c>
      <c r="S288" s="33">
        <f t="shared" si="21"/>
        <v>1.2094779573407834</v>
      </c>
      <c r="T288" s="56">
        <f t="shared" si="22"/>
        <v>11492.701692708333</v>
      </c>
      <c r="U288" s="36"/>
      <c r="V288" s="56">
        <f t="shared" si="17"/>
        <v>-6969.7802016071091</v>
      </c>
      <c r="W288" s="65"/>
    </row>
    <row r="289" spans="1:23" x14ac:dyDescent="0.2">
      <c r="A289" s="51" t="s">
        <v>103</v>
      </c>
      <c r="B289" s="60">
        <v>61357.502348442722</v>
      </c>
      <c r="C289" s="59">
        <f t="shared" si="18"/>
        <v>58420.62</v>
      </c>
      <c r="D289" s="52">
        <f t="shared" si="15"/>
        <v>-2936.8823484427194</v>
      </c>
      <c r="E289" s="53">
        <f t="shared" si="19"/>
        <v>-4.7865089614705585E-2</v>
      </c>
      <c r="F289" s="52"/>
      <c r="G289" s="52"/>
      <c r="H289" s="52"/>
      <c r="I289" s="52"/>
      <c r="J289" s="52"/>
      <c r="K289" s="52"/>
      <c r="L289" s="52"/>
      <c r="M289" s="52"/>
      <c r="N289" s="23"/>
      <c r="O289" s="55" t="s">
        <v>103</v>
      </c>
      <c r="P289" s="11"/>
      <c r="Q289" s="56">
        <f t="shared" si="16"/>
        <v>265.88257786429369</v>
      </c>
      <c r="R289" s="56">
        <f t="shared" si="20"/>
        <v>244</v>
      </c>
      <c r="S289" s="33">
        <f t="shared" si="21"/>
        <v>0.91769833871754269</v>
      </c>
      <c r="T289" s="56">
        <f t="shared" si="22"/>
        <v>-4556.6283359375038</v>
      </c>
      <c r="U289" s="36"/>
      <c r="V289" s="56">
        <f t="shared" si="17"/>
        <v>1619.7459874947845</v>
      </c>
      <c r="W289" s="65"/>
    </row>
    <row r="290" spans="1:23" x14ac:dyDescent="0.2">
      <c r="A290" s="51" t="s">
        <v>104</v>
      </c>
      <c r="B290" s="60">
        <v>74731.715999999986</v>
      </c>
      <c r="C290" s="59">
        <f t="shared" si="18"/>
        <v>56234.879999999997</v>
      </c>
      <c r="D290" s="52">
        <f t="shared" si="15"/>
        <v>-18496.835999999988</v>
      </c>
      <c r="E290" s="53">
        <f t="shared" si="19"/>
        <v>-0.24750985244337212</v>
      </c>
      <c r="F290" s="52"/>
      <c r="G290" s="52"/>
      <c r="H290" s="52"/>
      <c r="I290" s="52"/>
      <c r="J290" s="52"/>
      <c r="K290" s="52"/>
      <c r="L290" s="52"/>
      <c r="M290" s="52"/>
      <c r="N290" s="23"/>
      <c r="O290" s="55" t="s">
        <v>104</v>
      </c>
      <c r="Q290" s="56">
        <f t="shared" si="16"/>
        <v>324</v>
      </c>
      <c r="R290" s="56">
        <f t="shared" si="20"/>
        <v>262.89999999999998</v>
      </c>
      <c r="S290" s="33">
        <f t="shared" si="21"/>
        <v>0.81141975308641967</v>
      </c>
      <c r="T290" s="56">
        <f t="shared" si="22"/>
        <v>-12722.906462500006</v>
      </c>
      <c r="V290" s="56">
        <f t="shared" si="17"/>
        <v>-5773.929537499982</v>
      </c>
      <c r="W290" s="65"/>
    </row>
    <row r="291" spans="1:23" x14ac:dyDescent="0.2">
      <c r="A291" s="51" t="s">
        <v>105</v>
      </c>
      <c r="B291" s="60">
        <v>74731.715999999986</v>
      </c>
      <c r="C291" s="59">
        <f t="shared" si="18"/>
        <v>46624.78</v>
      </c>
      <c r="D291" s="52">
        <f t="shared" si="15"/>
        <v>-28106.935999999987</v>
      </c>
      <c r="E291" s="53">
        <f t="shared" si="19"/>
        <v>-0.37610451765887448</v>
      </c>
      <c r="F291" s="52"/>
      <c r="G291" s="52"/>
      <c r="H291" s="52"/>
      <c r="I291" s="52"/>
      <c r="J291" s="52"/>
      <c r="K291" s="52"/>
      <c r="L291" s="52"/>
      <c r="M291" s="52"/>
      <c r="N291" s="23"/>
      <c r="O291" s="55" t="s">
        <v>105</v>
      </c>
      <c r="Q291" s="56">
        <f t="shared" si="16"/>
        <v>324</v>
      </c>
      <c r="R291" s="56">
        <f t="shared" si="20"/>
        <v>226.66666666666666</v>
      </c>
      <c r="S291" s="33">
        <f t="shared" si="21"/>
        <v>0.69958847736625507</v>
      </c>
      <c r="T291" s="56">
        <f t="shared" si="22"/>
        <v>-20267.805166666672</v>
      </c>
      <c r="V291" s="56">
        <f t="shared" si="17"/>
        <v>-7839.1308333333145</v>
      </c>
      <c r="W291" s="65"/>
    </row>
    <row r="292" spans="1:23" x14ac:dyDescent="0.2">
      <c r="A292" s="51" t="s">
        <v>106</v>
      </c>
      <c r="B292" s="60">
        <v>66677.375999999989</v>
      </c>
      <c r="C292" s="59">
        <f t="shared" si="18"/>
        <v>56205.97</v>
      </c>
      <c r="D292" s="52">
        <f t="shared" si="15"/>
        <v>-10471.405999999988</v>
      </c>
      <c r="E292" s="53">
        <f t="shared" si="19"/>
        <v>-0.15704586215270364</v>
      </c>
      <c r="F292" s="52"/>
      <c r="G292" s="52"/>
      <c r="H292" s="52"/>
      <c r="I292" s="52"/>
      <c r="N292" s="2"/>
      <c r="O292" s="55" t="s">
        <v>106</v>
      </c>
      <c r="P292" s="11"/>
      <c r="Q292" s="56">
        <f t="shared" si="16"/>
        <v>289</v>
      </c>
      <c r="R292" s="56">
        <f t="shared" si="20"/>
        <v>236</v>
      </c>
      <c r="S292" s="33">
        <f t="shared" si="21"/>
        <v>0.81660899653979235</v>
      </c>
      <c r="T292" s="56">
        <f t="shared" si="22"/>
        <v>-11036.236375000002</v>
      </c>
      <c r="U292" s="36"/>
      <c r="V292" s="56">
        <f t="shared" si="17"/>
        <v>564.8303750000141</v>
      </c>
      <c r="W292" s="67"/>
    </row>
    <row r="293" spans="1:23" x14ac:dyDescent="0.2">
      <c r="A293" s="51" t="s">
        <v>107</v>
      </c>
      <c r="B293" s="60">
        <v>66677.375999999989</v>
      </c>
      <c r="C293" s="59">
        <f t="shared" si="18"/>
        <v>54961.56</v>
      </c>
      <c r="D293" s="52">
        <f t="shared" si="15"/>
        <v>-11715.815999999992</v>
      </c>
      <c r="E293" s="53">
        <f t="shared" si="19"/>
        <v>-0.17570901410397424</v>
      </c>
      <c r="N293" s="2"/>
      <c r="O293" s="55" t="s">
        <v>107</v>
      </c>
      <c r="P293" s="11"/>
      <c r="Q293" s="56">
        <f t="shared" si="16"/>
        <v>289</v>
      </c>
      <c r="R293" s="56">
        <f t="shared" si="20"/>
        <v>264</v>
      </c>
      <c r="S293" s="33">
        <f t="shared" si="21"/>
        <v>0.91349480968858132</v>
      </c>
      <c r="T293" s="56">
        <f t="shared" si="22"/>
        <v>-5205.7718749999995</v>
      </c>
      <c r="U293" s="36"/>
      <c r="V293" s="56">
        <f t="shared" si="17"/>
        <v>-6510.0441249999922</v>
      </c>
    </row>
    <row r="294" spans="1:23" x14ac:dyDescent="0.2">
      <c r="A294" s="51" t="s">
        <v>108</v>
      </c>
      <c r="B294" s="60">
        <v>74731.715999999986</v>
      </c>
      <c r="C294" s="59">
        <f t="shared" si="18"/>
        <v>64641.29</v>
      </c>
      <c r="D294" s="52">
        <f t="shared" si="15"/>
        <v>-10090.425999999985</v>
      </c>
      <c r="E294" s="53">
        <f t="shared" si="19"/>
        <v>-0.13502200324156863</v>
      </c>
      <c r="N294" s="2"/>
      <c r="O294" s="55" t="s">
        <v>108</v>
      </c>
      <c r="P294" s="2"/>
      <c r="Q294" s="56">
        <f t="shared" si="16"/>
        <v>324</v>
      </c>
      <c r="R294" s="56">
        <f t="shared" si="20"/>
        <v>237.33333333333334</v>
      </c>
      <c r="S294" s="33">
        <f t="shared" si="21"/>
        <v>0.73251028806584362</v>
      </c>
      <c r="T294" s="56">
        <f t="shared" si="22"/>
        <v>-18046.675833333335</v>
      </c>
      <c r="U294" s="56"/>
      <c r="V294" s="56">
        <f t="shared" si="17"/>
        <v>7956.2498333333497</v>
      </c>
    </row>
    <row r="295" spans="1:23" x14ac:dyDescent="0.2">
      <c r="A295" s="51" t="s">
        <v>109</v>
      </c>
      <c r="B295" s="60">
        <v>65128.814584955508</v>
      </c>
      <c r="C295" s="59">
        <f t="shared" si="18"/>
        <v>61844.11</v>
      </c>
      <c r="D295" s="52">
        <f t="shared" si="15"/>
        <v>-3284.704584955507</v>
      </c>
      <c r="E295" s="53">
        <f t="shared" si="19"/>
        <v>-5.0433968526647506E-2</v>
      </c>
      <c r="N295" s="2"/>
      <c r="O295" s="55" t="s">
        <v>109</v>
      </c>
      <c r="P295" s="2"/>
      <c r="Q295" s="56">
        <f t="shared" si="16"/>
        <v>282.27075222469409</v>
      </c>
      <c r="R295" s="56">
        <f t="shared" si="20"/>
        <v>235.06666666666666</v>
      </c>
      <c r="S295" s="33">
        <f t="shared" si="21"/>
        <v>0.8327701854124373</v>
      </c>
      <c r="T295" s="56">
        <f t="shared" si="22"/>
        <v>-9829.3480393229183</v>
      </c>
      <c r="U295" s="2"/>
      <c r="V295" s="56">
        <f t="shared" si="17"/>
        <v>6544.6434543674113</v>
      </c>
    </row>
    <row r="296" spans="1:23" x14ac:dyDescent="0.2">
      <c r="A296" s="51" t="s">
        <v>110</v>
      </c>
      <c r="B296" s="60">
        <v>77571.454714408028</v>
      </c>
      <c r="C296" s="59">
        <f t="shared" si="18"/>
        <v>74089.05</v>
      </c>
      <c r="D296" s="52">
        <f t="shared" si="15"/>
        <v>-3482.404714408025</v>
      </c>
      <c r="E296" s="53">
        <f t="shared" si="19"/>
        <v>-4.4892863324905614E-2</v>
      </c>
      <c r="N296" s="2"/>
      <c r="O296" s="55" t="s">
        <v>110</v>
      </c>
      <c r="P296" s="2"/>
      <c r="Q296" s="56">
        <f t="shared" si="16"/>
        <v>336.34003717303733</v>
      </c>
      <c r="R296" s="56">
        <f t="shared" si="20"/>
        <v>323.16666666666669</v>
      </c>
      <c r="S296" s="33">
        <f t="shared" si="21"/>
        <v>0.96083317758690345</v>
      </c>
      <c r="T296" s="56">
        <f>(S296-1)*Q296*31*$B$300</f>
        <v>-2743.102467240752</v>
      </c>
      <c r="U296" s="2"/>
      <c r="V296" s="56"/>
    </row>
    <row r="297" spans="1:23" x14ac:dyDescent="0.2">
      <c r="N297" s="2"/>
      <c r="O297" s="11" t="s">
        <v>130</v>
      </c>
      <c r="P297" s="11"/>
      <c r="Q297" s="36">
        <f>SUM(Q204:Q296)</f>
        <v>25201.851387251165</v>
      </c>
      <c r="R297" s="36">
        <f>SUM(R204:R296)</f>
        <v>24906.983314794219</v>
      </c>
      <c r="S297" s="37">
        <f>IFERROR((R297/Q297),0)</f>
        <v>0.98829974560495537</v>
      </c>
      <c r="T297" s="36">
        <f>SUM(T204:T296)</f>
        <v>-61400.636737274239</v>
      </c>
      <c r="U297" s="36">
        <f>SUM(U204:U296)</f>
        <v>20344.020400000001</v>
      </c>
      <c r="V297" s="36">
        <f>SUM(V204:V296)</f>
        <v>-141480.53655908583</v>
      </c>
    </row>
    <row r="298" spans="1:23" x14ac:dyDescent="0.2">
      <c r="A298" s="3" t="s">
        <v>130</v>
      </c>
      <c r="B298" s="52">
        <f>SUM(B205:B296)</f>
        <v>5834762.0151435286</v>
      </c>
      <c r="C298" s="52">
        <f>SUM(C205:C296)</f>
        <v>5651485.5600000005</v>
      </c>
      <c r="D298" s="52">
        <f t="shared" ref="D298" si="23">+C298-B298</f>
        <v>-183276.45514352806</v>
      </c>
      <c r="E298" s="67">
        <f>IFERROR((D298/B298),0)</f>
        <v>-3.1411127766282972E-2</v>
      </c>
      <c r="N298" s="2"/>
      <c r="O298" s="2"/>
      <c r="P298" s="2"/>
      <c r="Q298" s="2"/>
      <c r="R298" s="2"/>
    </row>
    <row r="299" spans="1:23" x14ac:dyDescent="0.2">
      <c r="B299" s="52"/>
      <c r="C299" s="52"/>
      <c r="D299" s="52"/>
      <c r="E299" s="67"/>
      <c r="N299" s="2"/>
      <c r="O299" s="2"/>
      <c r="P299" s="2"/>
      <c r="Q299" s="2"/>
      <c r="R299" s="2"/>
    </row>
    <row r="300" spans="1:23" x14ac:dyDescent="0.2">
      <c r="A300" s="3" t="s">
        <v>131</v>
      </c>
      <c r="B300" s="3">
        <f>+[2]Energia!$B$21</f>
        <v>6.7171250000000002</v>
      </c>
      <c r="D300" s="59"/>
      <c r="N300" s="2"/>
      <c r="O300" s="2"/>
      <c r="P300" s="2"/>
      <c r="Q300" s="2"/>
      <c r="R300" s="2"/>
    </row>
    <row r="301" spans="1:23" x14ac:dyDescent="0.2">
      <c r="A301" s="3" t="s">
        <v>132</v>
      </c>
      <c r="B301" s="3">
        <f>+[2]Energia!$D$21</f>
        <v>8.6999999999999993</v>
      </c>
      <c r="D301" s="59"/>
      <c r="N301" s="2"/>
      <c r="O301" s="2"/>
      <c r="P301" s="2"/>
      <c r="Q301" s="2"/>
    </row>
    <row r="302" spans="1:23" ht="39.75" customHeight="1" x14ac:dyDescent="0.2">
      <c r="A302" s="3" t="s">
        <v>133</v>
      </c>
      <c r="B302" s="3">
        <f>+B301-B300</f>
        <v>1.9828749999999991</v>
      </c>
      <c r="C302" s="68"/>
      <c r="D302" s="68"/>
      <c r="J302" s="69"/>
      <c r="K302" s="69"/>
      <c r="L302" s="69"/>
      <c r="M302" s="69"/>
      <c r="O302" s="2"/>
      <c r="P302" s="2"/>
      <c r="Q302" s="2"/>
    </row>
    <row r="303" spans="1:23" x14ac:dyDescent="0.2">
      <c r="C303" s="68"/>
      <c r="D303" s="68"/>
      <c r="F303" s="69"/>
      <c r="G303" s="69"/>
      <c r="H303" s="69"/>
      <c r="I303" s="69"/>
      <c r="J303" s="70"/>
      <c r="K303" s="70"/>
      <c r="L303" s="70"/>
      <c r="M303" s="70"/>
      <c r="O303" s="2"/>
      <c r="P303" s="2"/>
      <c r="Q303" s="2"/>
      <c r="R303" s="2"/>
    </row>
    <row r="304" spans="1:23" x14ac:dyDescent="0.2">
      <c r="A304" s="3" t="s">
        <v>131</v>
      </c>
      <c r="B304" s="3">
        <f>+[2]Energia!$B$21</f>
        <v>6.7171250000000002</v>
      </c>
      <c r="C304" s="68"/>
      <c r="D304" s="68"/>
      <c r="F304" s="70"/>
      <c r="G304" s="70"/>
      <c r="H304" s="70"/>
      <c r="I304" s="70"/>
      <c r="J304" s="27"/>
      <c r="K304" s="27"/>
      <c r="L304" s="27"/>
      <c r="M304" s="27"/>
      <c r="N304" s="27"/>
    </row>
    <row r="305" spans="1:9" x14ac:dyDescent="0.2">
      <c r="A305" s="3" t="s">
        <v>134</v>
      </c>
      <c r="B305" s="3">
        <f>+[2]Energia!$C$21</f>
        <v>7.6184000000000003</v>
      </c>
      <c r="C305" s="68"/>
      <c r="D305" s="68"/>
      <c r="F305" s="27"/>
      <c r="G305" s="27"/>
      <c r="H305" s="27"/>
      <c r="I305" s="27"/>
    </row>
    <row r="306" spans="1:9" x14ac:dyDescent="0.2">
      <c r="A306" s="3" t="s">
        <v>135</v>
      </c>
      <c r="B306" s="3">
        <f>+B305-B304</f>
        <v>0.90127500000000005</v>
      </c>
      <c r="C306" s="68"/>
      <c r="D306" s="68"/>
    </row>
    <row r="309" spans="1:9" x14ac:dyDescent="0.2">
      <c r="A309" s="71" t="s">
        <v>136</v>
      </c>
      <c r="B309" s="72" t="s">
        <v>137</v>
      </c>
      <c r="C309" s="72" t="s">
        <v>138</v>
      </c>
      <c r="D309" s="72" t="s">
        <v>139</v>
      </c>
    </row>
    <row r="310" spans="1:9" x14ac:dyDescent="0.2">
      <c r="A310" s="73" t="s">
        <v>140</v>
      </c>
      <c r="B310" s="74">
        <f>+B298</f>
        <v>5834762.0151435286</v>
      </c>
      <c r="C310" s="74">
        <f>+C298</f>
        <v>5651485.5600000005</v>
      </c>
      <c r="D310" s="75">
        <f>+C310-B310</f>
        <v>-183276.45514352806</v>
      </c>
    </row>
    <row r="311" spans="1:9" x14ac:dyDescent="0.2">
      <c r="A311" s="73" t="s">
        <v>141</v>
      </c>
      <c r="B311" s="76">
        <f>+Q297</f>
        <v>25201.851387251165</v>
      </c>
      <c r="C311" s="76">
        <f>+R297</f>
        <v>24906.983314794219</v>
      </c>
      <c r="D311" s="77">
        <f>+C311/B311</f>
        <v>0.98829974560495537</v>
      </c>
    </row>
    <row r="315" spans="1:9" ht="46.2" customHeight="1" x14ac:dyDescent="0.2"/>
    <row r="316" spans="1:9" ht="61.2" x14ac:dyDescent="0.2">
      <c r="A316" s="78" t="s">
        <v>142</v>
      </c>
      <c r="B316" s="78" t="s">
        <v>127</v>
      </c>
      <c r="C316" s="78" t="s">
        <v>143</v>
      </c>
      <c r="D316" s="78" t="s">
        <v>128</v>
      </c>
      <c r="E316" s="78" t="s">
        <v>144</v>
      </c>
    </row>
    <row r="317" spans="1:9" x14ac:dyDescent="0.2">
      <c r="A317" s="79">
        <f>+T297</f>
        <v>-61400.636737274239</v>
      </c>
      <c r="B317" s="79">
        <f>+U297-C317</f>
        <v>20344.020400000001</v>
      </c>
      <c r="C317" s="80"/>
      <c r="D317" s="79">
        <f>+V297</f>
        <v>-141480.53655908583</v>
      </c>
      <c r="E317" s="75">
        <f>SUM(A317:D317)</f>
        <v>-182537.15289636006</v>
      </c>
    </row>
    <row r="320" spans="1:9" x14ac:dyDescent="0.2">
      <c r="A320" s="81"/>
      <c r="B320" s="82"/>
      <c r="D320" s="83"/>
    </row>
    <row r="321" spans="1:4" x14ac:dyDescent="0.2">
      <c r="A321" s="84"/>
      <c r="D321" s="84"/>
    </row>
  </sheetData>
  <mergeCells count="2">
    <mergeCell ref="A202:E202"/>
    <mergeCell ref="O202:V202"/>
  </mergeCells>
  <conditionalFormatting sqref="D205:D291 D293:D29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8:D28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4:D28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7:D291 D29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4:D29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:I199">
    <cfRule type="cellIs" dxfId="186" priority="7" operator="greaterThan">
      <formula>1.08</formula>
    </cfRule>
  </conditionalFormatting>
  <conditionalFormatting sqref="J203:M263 F204:I264 D204:D2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5:S296">
    <cfRule type="cellIs" dxfId="185" priority="1" operator="greaterThan">
      <formula>1.08</formula>
    </cfRule>
  </conditionalFormatting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Mickey Ampie</cp:lastModifiedBy>
  <dcterms:created xsi:type="dcterms:W3CDTF">2026-07-04T22:45:20Z</dcterms:created>
  <dcterms:modified xsi:type="dcterms:W3CDTF">2026-07-04T22:46:05Z</dcterms:modified>
</cp:coreProperties>
</file>